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8" codeName="{6BE1CDB9-6C1C-A5B6-3FC1-E231EC3C600E}"/>
  <workbookPr codeName="Questa_cartella_di_lavoro" defaultThemeVersion="124226"/>
  <mc:AlternateContent xmlns:mc="http://schemas.openxmlformats.org/markup-compatibility/2006">
    <mc:Choice Requires="x15">
      <x15ac:absPath xmlns:x15ac="http://schemas.microsoft.com/office/spreadsheetml/2010/11/ac" url="/Users/macmini/everis/gh/cav/pilot/doc/Italy-provided/"/>
    </mc:Choice>
  </mc:AlternateContent>
  <xr:revisionPtr revIDLastSave="0" documentId="13_ncr:9_{77C26283-1131-7D48-BDC5-56A81F89570D}" xr6:coauthVersionLast="45" xr6:coauthVersionMax="45" xr10:uidLastSave="{00000000-0000-0000-0000-000000000000}"/>
  <bookViews>
    <workbookView xWindow="800" yWindow="460" windowWidth="29400" windowHeight="19000" tabRatio="794" xr2:uid="{00000000-000D-0000-FFFF-FFFF00000000}"/>
  </bookViews>
  <sheets>
    <sheet name="evaluation tool" sheetId="2" r:id="rId1"/>
  </sheets>
  <definedNames>
    <definedName name="_xlnm._FilterDatabase" localSheetId="0" hidden="1">'evaluation tool'!$A$1:$AN$142</definedName>
    <definedName name="AB">#REF!</definedName>
    <definedName name="AC">#REF!</definedName>
    <definedName name="AD">#REF!</definedName>
    <definedName name="AE">#REF!</definedName>
    <definedName name="AF">#REF!</definedName>
    <definedName name="AG">#REF!</definedName>
    <definedName name="AH">#REF!</definedName>
    <definedName name="AI">#REF!</definedName>
    <definedName name="AL">#REF!</definedName>
    <definedName name="BC">#REF!</definedName>
    <definedName name="BD">#REF!</definedName>
    <definedName name="BE">#REF!</definedName>
    <definedName name="BF">#REF!</definedName>
    <definedName name="BG">#REF!</definedName>
    <definedName name="BH">#REF!</definedName>
    <definedName name="BI">#REF!</definedName>
    <definedName name="BL">#REF!</definedName>
    <definedName name="CD">#REF!</definedName>
    <definedName name="CE">#REF!</definedName>
    <definedName name="CF">#REF!</definedName>
    <definedName name="CG">#REF!</definedName>
    <definedName name="CH">#REF!</definedName>
    <definedName name="CI">#REF!</definedName>
    <definedName name="CL">#REF!</definedName>
    <definedName name="DE">#REF!</definedName>
    <definedName name="DF">#REF!</definedName>
    <definedName name="DG">#REF!</definedName>
    <definedName name="DH">#REF!</definedName>
    <definedName name="DI">#REF!</definedName>
    <definedName name="DL">#REF!</definedName>
    <definedName name="EF">#REF!</definedName>
    <definedName name="EG">#REF!</definedName>
    <definedName name="EH">#REF!</definedName>
    <definedName name="EI">#REF!</definedName>
    <definedName name="EL">#REF!</definedName>
    <definedName name="FG">#REF!</definedName>
    <definedName name="FH">#REF!</definedName>
    <definedName name="FI">#REF!</definedName>
    <definedName name="FL">#REF!</definedName>
    <definedName name="GH">#REF!</definedName>
    <definedName name="GI">#REF!</definedName>
    <definedName name="GL">#REF!</definedName>
    <definedName name="HI">#REF!</definedName>
    <definedName name="HL">#REF!</definedName>
    <definedName name="IL">#REF!</definedName>
    <definedName name="ListaA">#REF!</definedName>
    <definedName name="ListaB">#REF!</definedName>
    <definedName name="ListaC">#REF!</definedName>
    <definedName name="ListaD">#REF!</definedName>
    <definedName name="ListaE">#REF!</definedName>
    <definedName name="ListaF">#REF!</definedName>
    <definedName name="ListaG">#REF!</definedName>
    <definedName name="ListaH">#REF!</definedName>
    <definedName name="ListaI">#REF!</definedName>
    <definedName name="ListaL">#REF!</definedName>
  </definedNames>
  <calcPr calcId="191029"/>
</workbook>
</file>

<file path=xl/calcChain.xml><?xml version="1.0" encoding="utf-8"?>
<calcChain xmlns="http://schemas.openxmlformats.org/spreadsheetml/2006/main">
  <c r="B76" i="2" l="1"/>
  <c r="B4" i="2"/>
  <c r="B21" i="2"/>
  <c r="B75" i="2"/>
  <c r="B57" i="2" l="1"/>
  <c r="B100" i="2"/>
  <c r="B12" i="2"/>
  <c r="B55" i="2"/>
  <c r="B98" i="2"/>
  <c r="B10" i="2"/>
  <c r="B53" i="2"/>
  <c r="B96" i="2"/>
  <c r="B8" i="2"/>
  <c r="B51" i="2"/>
  <c r="B94" i="2"/>
  <c r="B6" i="2"/>
  <c r="B49" i="2"/>
  <c r="B81" i="2"/>
  <c r="B90" i="2"/>
  <c r="B45" i="2"/>
  <c r="B88" i="2"/>
  <c r="B43" i="2"/>
  <c r="B86" i="2"/>
  <c r="B41" i="2"/>
  <c r="B40" i="2"/>
  <c r="B83" i="2"/>
  <c r="B38" i="2"/>
  <c r="B70" i="2"/>
  <c r="B123" i="2"/>
  <c r="B35" i="2"/>
  <c r="B78" i="2"/>
  <c r="B121" i="2"/>
  <c r="B33" i="2"/>
  <c r="B119" i="2"/>
  <c r="B31" i="2"/>
  <c r="B74" i="2"/>
  <c r="B117" i="2"/>
  <c r="B29" i="2"/>
  <c r="B72" i="2"/>
  <c r="B115" i="2"/>
  <c r="B27" i="2"/>
  <c r="B59" i="2"/>
  <c r="B112" i="2"/>
  <c r="B24" i="2"/>
  <c r="B67" i="2"/>
  <c r="B110" i="2"/>
  <c r="B22" i="2"/>
  <c r="B108" i="2"/>
  <c r="B20" i="2"/>
  <c r="B107" i="2"/>
  <c r="B19" i="2"/>
  <c r="B62" i="2"/>
  <c r="B61" i="2"/>
  <c r="B104" i="2"/>
  <c r="B16" i="2"/>
  <c r="B48" i="2"/>
  <c r="B5" i="2"/>
  <c r="B101" i="2"/>
  <c r="B13" i="2"/>
  <c r="B56" i="2"/>
  <c r="B99" i="2"/>
  <c r="B11" i="2"/>
  <c r="B54" i="2"/>
  <c r="B97" i="2"/>
  <c r="B9" i="2"/>
  <c r="B52" i="2"/>
  <c r="B95" i="2"/>
  <c r="B7" i="2"/>
  <c r="B50" i="2"/>
  <c r="B93" i="2"/>
  <c r="B37" i="2"/>
  <c r="B46" i="2"/>
  <c r="B89" i="2"/>
  <c r="B44" i="2"/>
  <c r="B87" i="2"/>
  <c r="B42" i="2"/>
  <c r="B85" i="2"/>
  <c r="B84" i="2"/>
  <c r="B39" i="2"/>
  <c r="B82" i="2"/>
  <c r="B114" i="2"/>
  <c r="B26" i="2"/>
  <c r="B79" i="2"/>
  <c r="B122" i="2"/>
  <c r="B34" i="2"/>
  <c r="B77" i="2"/>
  <c r="B120" i="2"/>
  <c r="B32" i="2"/>
  <c r="B118" i="2"/>
  <c r="B30" i="2"/>
  <c r="B73" i="2"/>
  <c r="B116" i="2"/>
  <c r="B28" i="2"/>
  <c r="B71" i="2"/>
  <c r="B103" i="2"/>
  <c r="B15" i="2"/>
  <c r="B68" i="2"/>
  <c r="B111" i="2"/>
  <c r="B23" i="2"/>
  <c r="B66" i="2"/>
  <c r="B109" i="2"/>
  <c r="B64" i="2"/>
  <c r="B63" i="2"/>
  <c r="B106" i="2"/>
  <c r="B18" i="2"/>
  <c r="B105" i="2"/>
  <c r="B17" i="2"/>
  <c r="B60" i="2"/>
  <c r="B92" i="2"/>
  <c r="B65" i="2"/>
  <c r="E4" i="2" l="1"/>
  <c r="E81" i="2"/>
  <c r="E92" i="2"/>
  <c r="E103" i="2"/>
  <c r="E37" i="2"/>
  <c r="E59" i="2"/>
  <c r="E26" i="2"/>
  <c r="E114" i="2"/>
  <c r="E15" i="2"/>
  <c r="E48" i="2"/>
  <c r="E70" i="2"/>
  <c r="C8" i="2"/>
  <c r="C12" i="2"/>
  <c r="C117" i="2"/>
  <c r="C123" i="2"/>
  <c r="C119" i="2"/>
  <c r="C114" i="2"/>
  <c r="C120" i="2"/>
  <c r="C115" i="2"/>
  <c r="C121" i="2"/>
  <c r="C116" i="2"/>
  <c r="C122" i="2"/>
  <c r="C118" i="2"/>
  <c r="C6" i="2"/>
  <c r="C10" i="2"/>
  <c r="C16" i="2"/>
  <c r="C15" i="2"/>
  <c r="C17" i="2"/>
  <c r="C19" i="2"/>
  <c r="C24" i="2"/>
  <c r="C23" i="2"/>
  <c r="C20" i="2"/>
  <c r="C21" i="2"/>
  <c r="C22" i="2"/>
  <c r="C18" i="2"/>
  <c r="C49" i="2"/>
  <c r="C48" i="2"/>
  <c r="C54" i="2"/>
  <c r="C56" i="2"/>
  <c r="C51" i="2"/>
  <c r="C57" i="2"/>
  <c r="C52" i="2"/>
  <c r="C53" i="2"/>
  <c r="C55" i="2"/>
  <c r="C50" i="2"/>
  <c r="C70" i="2"/>
  <c r="C76" i="2"/>
  <c r="C77" i="2"/>
  <c r="C72" i="2"/>
  <c r="C78" i="2"/>
  <c r="C73" i="2"/>
  <c r="C79" i="2"/>
  <c r="C74" i="2"/>
  <c r="C75" i="2"/>
  <c r="C71" i="2"/>
  <c r="C5" i="2"/>
  <c r="C11" i="2"/>
  <c r="C7" i="2"/>
  <c r="C95" i="2"/>
  <c r="C101" i="2"/>
  <c r="C97" i="2"/>
  <c r="C92" i="2"/>
  <c r="C98" i="2"/>
  <c r="C93" i="2"/>
  <c r="C99" i="2"/>
  <c r="C94" i="2"/>
  <c r="C100" i="2"/>
  <c r="C96" i="2"/>
  <c r="C112" i="2"/>
  <c r="C107" i="2"/>
  <c r="C108" i="2"/>
  <c r="C103" i="2"/>
  <c r="C109" i="2"/>
  <c r="C104" i="2"/>
  <c r="C110" i="2"/>
  <c r="C111" i="2"/>
  <c r="C106" i="2"/>
  <c r="C105" i="2"/>
  <c r="C37" i="2"/>
  <c r="C43" i="2"/>
  <c r="C38" i="2"/>
  <c r="C40" i="2"/>
  <c r="C46" i="2"/>
  <c r="C42" i="2"/>
  <c r="C44" i="2"/>
  <c r="C45" i="2"/>
  <c r="C39" i="2"/>
  <c r="C41" i="2"/>
  <c r="C64" i="2"/>
  <c r="C59" i="2"/>
  <c r="C65" i="2"/>
  <c r="C60" i="2"/>
  <c r="C61" i="2"/>
  <c r="C67" i="2"/>
  <c r="C68" i="2"/>
  <c r="C63" i="2"/>
  <c r="C66" i="2"/>
  <c r="C62" i="2"/>
  <c r="C13" i="2"/>
  <c r="C4" i="2"/>
  <c r="C26" i="2"/>
  <c r="C32" i="2"/>
  <c r="C34" i="2"/>
  <c r="C29" i="2"/>
  <c r="C35" i="2"/>
  <c r="C28" i="2"/>
  <c r="C30" i="2"/>
  <c r="C31" i="2"/>
  <c r="C33" i="2"/>
  <c r="C27" i="2"/>
  <c r="C90" i="2"/>
  <c r="C85" i="2"/>
  <c r="C86" i="2"/>
  <c r="C81" i="2"/>
  <c r="C87" i="2"/>
  <c r="C82" i="2"/>
  <c r="C88" i="2"/>
  <c r="C89" i="2"/>
  <c r="C84" i="2"/>
  <c r="C83" i="2"/>
  <c r="C9" i="2"/>
  <c r="E46" i="2" l="1"/>
  <c r="E88" i="2"/>
  <c r="E45" i="2"/>
  <c r="E43" i="2"/>
  <c r="E85" i="2"/>
  <c r="E38" i="2"/>
  <c r="E116" i="2"/>
  <c r="E82" i="2"/>
  <c r="E33" i="2"/>
  <c r="E90" i="2"/>
  <c r="E79" i="2"/>
  <c r="E87" i="2"/>
  <c r="E72" i="2"/>
  <c r="E21" i="2"/>
  <c r="E31" i="2"/>
  <c r="E44" i="2"/>
  <c r="E55" i="2"/>
  <c r="E54" i="2"/>
  <c r="E123" i="2"/>
  <c r="E117" i="2"/>
  <c r="E86" i="2"/>
  <c r="E22" i="2"/>
  <c r="E20" i="2"/>
  <c r="E52" i="2"/>
  <c r="E57" i="2"/>
  <c r="E66" i="2"/>
  <c r="E61" i="2"/>
  <c r="E60" i="2"/>
  <c r="E9" i="2"/>
  <c r="E23" i="2"/>
  <c r="E29" i="2"/>
  <c r="E41" i="2"/>
  <c r="E42" i="2"/>
  <c r="E39" i="2"/>
  <c r="E51" i="2"/>
  <c r="E50" i="2"/>
  <c r="E49" i="2"/>
  <c r="E84" i="2"/>
  <c r="E83" i="2"/>
  <c r="E89" i="2"/>
  <c r="E98" i="2"/>
  <c r="E111" i="2"/>
  <c r="E122" i="2"/>
  <c r="E119" i="2"/>
  <c r="E30" i="2"/>
  <c r="E32" i="2"/>
  <c r="E95" i="2"/>
  <c r="E6" i="2"/>
  <c r="E77" i="2"/>
  <c r="E76" i="2"/>
  <c r="E104" i="2"/>
  <c r="E108" i="2"/>
  <c r="E71" i="2"/>
  <c r="E73" i="2"/>
  <c r="E74" i="2"/>
  <c r="E78" i="2"/>
  <c r="E65" i="2"/>
  <c r="E28" i="2"/>
  <c r="E34" i="2"/>
  <c r="E5" i="2"/>
  <c r="E7" i="2"/>
  <c r="E97" i="2"/>
  <c r="E67" i="2"/>
  <c r="E10" i="2"/>
  <c r="E13" i="2"/>
  <c r="E63" i="2"/>
  <c r="E12" i="2"/>
  <c r="E53" i="2"/>
  <c r="E56" i="2"/>
  <c r="E100" i="2"/>
  <c r="E75" i="2"/>
  <c r="E105" i="2"/>
  <c r="E27" i="2"/>
  <c r="E35" i="2"/>
  <c r="E68" i="2"/>
  <c r="E11" i="2"/>
  <c r="E62" i="2"/>
  <c r="E64" i="2"/>
  <c r="E99" i="2"/>
  <c r="E121" i="2"/>
  <c r="E8" i="2"/>
  <c r="E17" i="2"/>
  <c r="E18" i="2"/>
  <c r="E40" i="2"/>
  <c r="E110" i="2"/>
  <c r="E101" i="2"/>
  <c r="E120" i="2"/>
  <c r="E118" i="2"/>
  <c r="E115" i="2"/>
  <c r="E109" i="2"/>
  <c r="E107" i="2"/>
  <c r="E106" i="2"/>
  <c r="E112" i="2"/>
  <c r="E94" i="2"/>
  <c r="E96" i="2"/>
  <c r="E93" i="2"/>
  <c r="E19" i="2"/>
  <c r="E16" i="2"/>
  <c r="E24" i="2"/>
</calcChain>
</file>

<file path=xl/sharedStrings.xml><?xml version="1.0" encoding="utf-8"?>
<sst xmlns="http://schemas.openxmlformats.org/spreadsheetml/2006/main" count="1976" uniqueCount="65">
  <si>
    <t>D</t>
  </si>
  <si>
    <t>A</t>
  </si>
  <si>
    <t>B</t>
  </si>
  <si>
    <t>C</t>
  </si>
  <si>
    <t>E</t>
  </si>
  <si>
    <t>F</t>
  </si>
  <si>
    <t>G</t>
  </si>
  <si>
    <t>H</t>
  </si>
  <si>
    <t>I</t>
  </si>
  <si>
    <t>L</t>
  </si>
  <si>
    <t>A2</t>
  </si>
  <si>
    <t>B2</t>
  </si>
  <si>
    <t>C2</t>
  </si>
  <si>
    <t>D2</t>
  </si>
  <si>
    <t>E2</t>
  </si>
  <si>
    <t>F2</t>
  </si>
  <si>
    <t>G2</t>
  </si>
  <si>
    <t>H2</t>
  </si>
  <si>
    <t>I2</t>
  </si>
  <si>
    <t>A3</t>
  </si>
  <si>
    <t>B3</t>
  </si>
  <si>
    <t>C3</t>
  </si>
  <si>
    <t>D3</t>
  </si>
  <si>
    <t>E3</t>
  </si>
  <si>
    <t>F3</t>
  </si>
  <si>
    <t>G3</t>
  </si>
  <si>
    <t>H3</t>
  </si>
  <si>
    <t>I3</t>
  </si>
  <si>
    <t>A4</t>
  </si>
  <si>
    <t>B4</t>
  </si>
  <si>
    <t>C4</t>
  </si>
  <si>
    <t>D4</t>
  </si>
  <si>
    <t>E4</t>
  </si>
  <si>
    <t>F4</t>
  </si>
  <si>
    <t>G4</t>
  </si>
  <si>
    <t>H4</t>
  </si>
  <si>
    <t>I4</t>
  </si>
  <si>
    <t>A5</t>
  </si>
  <si>
    <t>B5</t>
  </si>
  <si>
    <t>D5</t>
  </si>
  <si>
    <t>E5</t>
  </si>
  <si>
    <t>F5</t>
  </si>
  <si>
    <t>G5</t>
  </si>
  <si>
    <t>H5</t>
  </si>
  <si>
    <t>I5</t>
  </si>
  <si>
    <t>A6</t>
  </si>
  <si>
    <t>B6</t>
  </si>
  <si>
    <t>C6</t>
  </si>
  <si>
    <t>D6</t>
  </si>
  <si>
    <t>E6</t>
  </si>
  <si>
    <t>F6</t>
  </si>
  <si>
    <t>H6</t>
  </si>
  <si>
    <t>I6</t>
  </si>
  <si>
    <t>L2</t>
  </si>
  <si>
    <t>L3</t>
  </si>
  <si>
    <t>L4</t>
  </si>
  <si>
    <t>L5</t>
  </si>
  <si>
    <t>L6</t>
  </si>
  <si>
    <r>
      <rPr>
        <sz val="11"/>
        <color theme="4" tint="-0.249977111117893"/>
        <rFont val="Calibri"/>
        <family val="2"/>
      </rPr>
      <t>Σ</t>
    </r>
    <r>
      <rPr>
        <i/>
        <sz val="11"/>
        <color theme="4" tint="-0.249977111117893"/>
        <rFont val="Calibri"/>
        <family val="2"/>
      </rPr>
      <t xml:space="preserve"> </t>
    </r>
    <r>
      <rPr>
        <i/>
        <sz val="11"/>
        <color theme="4" tint="-0.249977111117893"/>
        <rFont val="Calibri"/>
        <family val="2"/>
        <scheme val="minor"/>
      </rPr>
      <t>Confronto</t>
    </r>
  </si>
  <si>
    <t>Partecipanti</t>
  </si>
  <si>
    <t>Valutazione</t>
  </si>
  <si>
    <t xml:space="preserve"> </t>
  </si>
  <si>
    <t xml:space="preserve">EVALUATOR 1 </t>
  </si>
  <si>
    <t>EVALUATOR 3</t>
  </si>
  <si>
    <t xml:space="preserve">EVALUATOR 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</si>
</sst>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0"/>
      <name val="Calibri"/>
      <family val="2"/>
      <scheme val="minor"/>
    </font>
    <font>
      <i/>
      <sz val="11"/>
      <color theme="4" tint="-0.249977111117893"/>
      <name val="Calibri"/>
      <family val="2"/>
      <scheme val="minor"/>
    </font>
    <font>
      <b/>
      <sz val="22"/>
      <color theme="4" tint="-0.249977111117893"/>
      <name val="Calibri"/>
      <family val="2"/>
      <scheme val="minor"/>
    </font>
    <font>
      <sz val="11"/>
      <color theme="4" tint="-0.249977111117893"/>
      <name val="Calibri"/>
      <family val="2"/>
      <scheme val="minor"/>
    </font>
    <font>
      <sz val="11"/>
      <color theme="4" tint="-0.249977111117893"/>
      <name val="Calibri"/>
      <family val="2"/>
    </font>
    <font>
      <i/>
      <sz val="11"/>
      <color theme="4" tint="-0.249977111117893"/>
      <name val="Calibri"/>
      <family val="2"/>
    </font>
    <font>
      <b/>
      <i/>
      <sz val="22"/>
      <color theme="4" tint="-0.249977111117893"/>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39997558519241921"/>
        <bgColor indexed="64"/>
      </patternFill>
    </fill>
    <fill>
      <patternFill patternType="solid">
        <fgColor theme="4" tint="0.79998168889431442"/>
        <bgColor indexed="64"/>
      </patternFill>
    </fill>
  </fills>
  <borders count="9">
    <border>
      <left/>
      <right/>
      <top/>
      <bottom/>
      <diagonal/>
    </border>
    <border>
      <left style="medium">
        <color theme="4" tint="0.39994506668294322"/>
      </left>
      <right/>
      <top style="medium">
        <color theme="4" tint="0.39994506668294322"/>
      </top>
      <bottom/>
      <diagonal/>
    </border>
    <border>
      <left style="medium">
        <color theme="4" tint="0.39994506668294322"/>
      </left>
      <right/>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39994506668294322"/>
      </left>
      <right/>
      <top style="thin">
        <color theme="4" tint="0.39994506668294322"/>
      </top>
      <bottom/>
      <diagonal/>
    </border>
    <border>
      <left/>
      <right/>
      <top style="thin">
        <color theme="4" tint="0.39994506668294322"/>
      </top>
      <bottom/>
      <diagonal/>
    </border>
    <border>
      <left style="thin">
        <color theme="4" tint="0.39994506668294322"/>
      </left>
      <right/>
      <top/>
      <bottom/>
      <diagonal/>
    </border>
    <border>
      <left style="thin">
        <color theme="4" tint="0.39994506668294322"/>
      </left>
      <right/>
      <top/>
      <bottom style="thin">
        <color theme="4" tint="0.39994506668294322"/>
      </bottom>
      <diagonal/>
    </border>
    <border>
      <left style="thin">
        <color theme="4" tint="0.39991454817346722"/>
      </left>
      <right style="thin">
        <color theme="4" tint="0.39988402966399123"/>
      </right>
      <top style="thin">
        <color theme="4" tint="0.39991454817346722"/>
      </top>
      <bottom style="thin">
        <color theme="4" tint="0.39991454817346722"/>
      </bottom>
      <diagonal/>
    </border>
  </borders>
  <cellStyleXfs count="1">
    <xf numFmtId="0" fontId="0" fillId="0" borderId="0"/>
  </cellStyleXfs>
  <cellXfs count="21">
    <xf numFmtId="0" fontId="0" fillId="0" borderId="0" xfId="0"/>
    <xf numFmtId="0" fontId="1" fillId="3" borderId="0" xfId="0" applyFont="1" applyFill="1" applyAlignment="1">
      <alignment horizontal="center"/>
    </xf>
    <xf numFmtId="0" fontId="0" fillId="2" borderId="1" xfId="0" applyFill="1" applyBorder="1"/>
    <xf numFmtId="0" fontId="0" fillId="2" borderId="2" xfId="0" applyFill="1" applyBorder="1"/>
    <xf numFmtId="0" fontId="0" fillId="2" borderId="0" xfId="0" applyFill="1" applyBorder="1"/>
    <xf numFmtId="0" fontId="1" fillId="3" borderId="6" xfId="0" applyFont="1" applyFill="1" applyBorder="1" applyAlignment="1">
      <alignment horizontal="center"/>
    </xf>
    <xf numFmtId="0" fontId="1" fillId="3" borderId="7" xfId="0" applyFont="1" applyFill="1" applyBorder="1" applyAlignment="1">
      <alignment horizontal="center"/>
    </xf>
    <xf numFmtId="0" fontId="7" fillId="4" borderId="0" xfId="0" applyFont="1" applyFill="1"/>
    <xf numFmtId="0" fontId="0" fillId="4" borderId="0" xfId="0" applyFill="1" applyAlignment="1">
      <alignment horizontal="center"/>
    </xf>
    <xf numFmtId="0" fontId="0" fillId="4" borderId="0" xfId="0" applyFill="1"/>
    <xf numFmtId="0" fontId="3" fillId="4" borderId="0" xfId="0" applyFont="1" applyFill="1"/>
    <xf numFmtId="0" fontId="1" fillId="4" borderId="0" xfId="0" applyFont="1" applyFill="1" applyAlignment="1">
      <alignment horizontal="center"/>
    </xf>
    <xf numFmtId="0" fontId="2" fillId="3" borderId="0" xfId="0" applyFont="1" applyFill="1"/>
    <xf numFmtId="0" fontId="2" fillId="4" borderId="4" xfId="0" applyFont="1" applyFill="1" applyBorder="1" applyAlignment="1">
      <alignment horizontal="center"/>
    </xf>
    <xf numFmtId="0" fontId="2" fillId="4" borderId="5" xfId="0" applyFont="1" applyFill="1" applyBorder="1" applyAlignment="1">
      <alignment horizontal="center"/>
    </xf>
    <xf numFmtId="2" fontId="4" fillId="4" borderId="0" xfId="0" applyNumberFormat="1" applyFont="1" applyFill="1" applyBorder="1" applyAlignment="1">
      <alignment horizontal="center"/>
    </xf>
    <xf numFmtId="0" fontId="4" fillId="4" borderId="0" xfId="0" applyFont="1" applyFill="1" applyBorder="1" applyAlignment="1">
      <alignment horizontal="center"/>
    </xf>
    <xf numFmtId="0" fontId="0" fillId="0" borderId="3" xfId="0" applyBorder="1" applyAlignment="1" applyProtection="1">
      <protection locked="0"/>
    </xf>
    <xf numFmtId="0" fontId="0" fillId="0" borderId="3" xfId="0" applyBorder="1" applyProtection="1">
      <protection locked="0"/>
    </xf>
    <xf numFmtId="0" fontId="0" fillId="0" borderId="8" xfId="0" applyBorder="1" applyAlignment="1" applyProtection="1">
      <protection locked="0"/>
    </xf>
    <xf numFmtId="0" fontId="0" fillId="0" borderId="8" xfId="0" applyBorder="1" applyProtection="1">
      <protection locked="0"/>
    </xf>
  </cellXfs>
  <cellStyles count="1">
    <cellStyle name="Normal" xfId="0" builtinId="0"/>
  </cellStyles>
  <dxfs count="66">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AN131"/>
  <sheetViews>
    <sheetView showGridLines="0" tabSelected="1" topLeftCell="F1" workbookViewId="0">
      <selection activeCell="Q7" sqref="Q7"/>
    </sheetView>
  </sheetViews>
  <sheetFormatPr baseColWidth="10" defaultColWidth="9.1640625" defaultRowHeight="15" outlineLevelRow="1" x14ac:dyDescent="0.2"/>
  <cols>
    <col min="1" max="1" width="11.6640625" style="9" customWidth="1"/>
    <col min="2" max="2" width="15" style="8" customWidth="1"/>
    <col min="3" max="5" width="17.5" style="8" customWidth="1"/>
    <col min="6" max="6" width="5.5" style="9" customWidth="1"/>
    <col min="7" max="16" width="5.1640625" style="9" customWidth="1"/>
    <col min="17" max="18" width="5.5" style="9" customWidth="1"/>
    <col min="19" max="28" width="5.1640625" style="9" customWidth="1"/>
    <col min="29" max="30" width="5.5" style="9" customWidth="1"/>
    <col min="31" max="40" width="5.1640625" style="9" customWidth="1"/>
    <col min="41" max="43" width="4.5" style="9" customWidth="1"/>
    <col min="44" max="16384" width="9.1640625" style="9"/>
  </cols>
  <sheetData>
    <row r="1" spans="1:40" ht="29" x14ac:dyDescent="0.35">
      <c r="A1" s="7" t="s">
        <v>60</v>
      </c>
      <c r="F1" s="10" t="s">
        <v>62</v>
      </c>
      <c r="R1" s="10" t="s">
        <v>64</v>
      </c>
      <c r="AD1" s="10" t="s">
        <v>63</v>
      </c>
    </row>
    <row r="2" spans="1:40" ht="6" customHeight="1" x14ac:dyDescent="0.2">
      <c r="F2" s="11"/>
      <c r="R2" s="11"/>
      <c r="AD2" s="11"/>
    </row>
    <row r="3" spans="1:40" ht="16" outlineLevel="1" thickBot="1" x14ac:dyDescent="0.25">
      <c r="A3" s="13" t="s">
        <v>59</v>
      </c>
      <c r="B3" s="14" t="s">
        <v>58</v>
      </c>
      <c r="C3" s="14"/>
      <c r="D3" s="14"/>
      <c r="E3" s="14"/>
      <c r="F3" s="12"/>
      <c r="G3" s="1" t="s">
        <v>1</v>
      </c>
      <c r="H3" s="1" t="s">
        <v>2</v>
      </c>
      <c r="I3" s="1" t="s">
        <v>3</v>
      </c>
      <c r="J3" s="1" t="s">
        <v>0</v>
      </c>
      <c r="K3" s="1" t="s">
        <v>4</v>
      </c>
      <c r="L3" s="1" t="s">
        <v>5</v>
      </c>
      <c r="M3" s="1" t="s">
        <v>6</v>
      </c>
      <c r="N3" s="1" t="s">
        <v>7</v>
      </c>
      <c r="O3" s="1" t="s">
        <v>8</v>
      </c>
      <c r="P3" s="1" t="s">
        <v>9</v>
      </c>
      <c r="R3" s="12"/>
      <c r="S3" s="1" t="s">
        <v>1</v>
      </c>
      <c r="T3" s="1" t="s">
        <v>2</v>
      </c>
      <c r="U3" s="1" t="s">
        <v>3</v>
      </c>
      <c r="V3" s="1" t="s">
        <v>0</v>
      </c>
      <c r="W3" s="1" t="s">
        <v>4</v>
      </c>
      <c r="X3" s="1" t="s">
        <v>5</v>
      </c>
      <c r="Y3" s="1" t="s">
        <v>6</v>
      </c>
      <c r="Z3" s="1" t="s">
        <v>7</v>
      </c>
      <c r="AA3" s="1" t="s">
        <v>8</v>
      </c>
      <c r="AB3" s="1" t="s">
        <v>9</v>
      </c>
      <c r="AD3" s="12"/>
      <c r="AE3" s="1" t="s">
        <v>1</v>
      </c>
      <c r="AF3" s="1" t="s">
        <v>2</v>
      </c>
      <c r="AG3" s="1" t="s">
        <v>3</v>
      </c>
      <c r="AH3" s="1" t="s">
        <v>0</v>
      </c>
      <c r="AI3" s="1" t="s">
        <v>4</v>
      </c>
      <c r="AJ3" s="1" t="s">
        <v>5</v>
      </c>
      <c r="AK3" s="1" t="s">
        <v>6</v>
      </c>
      <c r="AL3" s="1" t="s">
        <v>7</v>
      </c>
      <c r="AM3" s="1" t="s">
        <v>8</v>
      </c>
      <c r="AN3" s="1" t="s">
        <v>9</v>
      </c>
    </row>
    <row r="4" spans="1:40" outlineLevel="1" x14ac:dyDescent="0.2">
      <c r="A4" s="5" t="s">
        <v>1</v>
      </c>
      <c r="B4" s="15" t="e">
        <f>SUMIF(#REF!,A4,#REF!)+#REF!</f>
        <v>#REF!</v>
      </c>
      <c r="C4" s="16" t="e">
        <f t="shared" ref="C4:C13" si="0">LARGE($B$4:$B$13,D4)</f>
        <v>#REF!</v>
      </c>
      <c r="D4" s="16">
        <v>1</v>
      </c>
      <c r="E4" s="15" t="e">
        <f>IF(SUM(B4:B13)=0,0,D4)</f>
        <v>#REF!</v>
      </c>
      <c r="F4" s="1" t="s">
        <v>1</v>
      </c>
      <c r="G4" s="2"/>
      <c r="H4" s="17" t="s">
        <v>11</v>
      </c>
      <c r="I4" s="17" t="s">
        <v>19</v>
      </c>
      <c r="J4" s="17" t="s">
        <v>13</v>
      </c>
      <c r="K4" s="17" t="s">
        <v>19</v>
      </c>
      <c r="L4" s="17" t="s">
        <v>10</v>
      </c>
      <c r="M4" s="17" t="s">
        <v>19</v>
      </c>
      <c r="N4" s="17" t="s">
        <v>17</v>
      </c>
      <c r="O4" s="17">
        <v>1</v>
      </c>
      <c r="P4" s="19" t="s">
        <v>28</v>
      </c>
      <c r="R4" s="1" t="s">
        <v>1</v>
      </c>
      <c r="S4" s="2"/>
      <c r="T4" s="17">
        <v>1</v>
      </c>
      <c r="U4" s="17" t="s">
        <v>28</v>
      </c>
      <c r="V4" s="17">
        <v>1</v>
      </c>
      <c r="W4" s="17">
        <v>1</v>
      </c>
      <c r="X4" s="17">
        <v>1</v>
      </c>
      <c r="Y4" s="17">
        <v>1</v>
      </c>
      <c r="Z4" s="17">
        <v>1</v>
      </c>
      <c r="AA4" s="17">
        <v>1</v>
      </c>
      <c r="AB4" s="19" t="s">
        <v>10</v>
      </c>
      <c r="AD4" s="1" t="s">
        <v>1</v>
      </c>
      <c r="AE4" s="2"/>
      <c r="AF4" s="17" t="s">
        <v>20</v>
      </c>
      <c r="AG4" s="17" t="s">
        <v>19</v>
      </c>
      <c r="AH4" s="17" t="s">
        <v>22</v>
      </c>
      <c r="AI4" s="17" t="s">
        <v>14</v>
      </c>
      <c r="AJ4" s="17" t="s">
        <v>24</v>
      </c>
      <c r="AK4" s="17" t="s">
        <v>37</v>
      </c>
      <c r="AL4" s="17" t="s">
        <v>17</v>
      </c>
      <c r="AM4" s="17" t="s">
        <v>18</v>
      </c>
      <c r="AN4" s="19" t="s">
        <v>19</v>
      </c>
    </row>
    <row r="5" spans="1:40" outlineLevel="1" x14ac:dyDescent="0.2">
      <c r="A5" s="5" t="s">
        <v>2</v>
      </c>
      <c r="B5" s="15" t="e">
        <f>SUMIF(#REF!,A5,#REF!)+#REF!</f>
        <v>#REF!</v>
      </c>
      <c r="C5" s="16" t="e">
        <f t="shared" si="0"/>
        <v>#REF!</v>
      </c>
      <c r="D5" s="16">
        <v>2</v>
      </c>
      <c r="E5" s="15" t="e">
        <f t="shared" ref="E5:E13" si="1">(C5/$C$4)*$E$4</f>
        <v>#REF!</v>
      </c>
      <c r="F5" s="1" t="s">
        <v>2</v>
      </c>
      <c r="G5" s="3"/>
      <c r="H5" s="4"/>
      <c r="I5" s="18" t="s">
        <v>11</v>
      </c>
      <c r="J5" s="18" t="s">
        <v>13</v>
      </c>
      <c r="K5" s="18" t="s">
        <v>11</v>
      </c>
      <c r="L5" s="18" t="s">
        <v>11</v>
      </c>
      <c r="M5" s="18" t="s">
        <v>20</v>
      </c>
      <c r="N5" s="18">
        <v>1</v>
      </c>
      <c r="O5" s="18" t="s">
        <v>11</v>
      </c>
      <c r="P5" s="20" t="s">
        <v>20</v>
      </c>
      <c r="R5" s="1" t="s">
        <v>2</v>
      </c>
      <c r="S5" s="3"/>
      <c r="T5" s="4"/>
      <c r="U5" s="18" t="s">
        <v>11</v>
      </c>
      <c r="V5" s="18" t="s">
        <v>13</v>
      </c>
      <c r="W5" s="18">
        <v>1</v>
      </c>
      <c r="X5" s="18">
        <v>1</v>
      </c>
      <c r="Y5" s="18" t="s">
        <v>20</v>
      </c>
      <c r="Z5" s="18">
        <v>1</v>
      </c>
      <c r="AA5" s="18" t="s">
        <v>18</v>
      </c>
      <c r="AB5" s="20" t="s">
        <v>20</v>
      </c>
      <c r="AD5" s="1" t="s">
        <v>2</v>
      </c>
      <c r="AE5" s="3"/>
      <c r="AF5" s="4"/>
      <c r="AG5" s="18" t="s">
        <v>20</v>
      </c>
      <c r="AH5" s="18" t="s">
        <v>13</v>
      </c>
      <c r="AI5" s="18">
        <v>1</v>
      </c>
      <c r="AJ5" s="18">
        <v>1</v>
      </c>
      <c r="AK5" s="18" t="s">
        <v>20</v>
      </c>
      <c r="AL5" s="18">
        <v>1</v>
      </c>
      <c r="AM5" s="18">
        <v>1</v>
      </c>
      <c r="AN5" s="20" t="s">
        <v>38</v>
      </c>
    </row>
    <row r="6" spans="1:40" outlineLevel="1" x14ac:dyDescent="0.2">
      <c r="A6" s="5" t="s">
        <v>3</v>
      </c>
      <c r="B6" s="15" t="e">
        <f>SUMIF(#REF!,A6,#REF!)+#REF!</f>
        <v>#REF!</v>
      </c>
      <c r="C6" s="16" t="e">
        <f t="shared" si="0"/>
        <v>#REF!</v>
      </c>
      <c r="D6" s="16">
        <v>3</v>
      </c>
      <c r="E6" s="15" t="e">
        <f t="shared" si="1"/>
        <v>#REF!</v>
      </c>
      <c r="F6" s="1" t="s">
        <v>3</v>
      </c>
      <c r="G6" s="3"/>
      <c r="H6" s="4"/>
      <c r="I6" s="4"/>
      <c r="J6" s="18" t="s">
        <v>31</v>
      </c>
      <c r="K6" s="18" t="s">
        <v>23</v>
      </c>
      <c r="L6" s="18" t="s">
        <v>24</v>
      </c>
      <c r="M6" s="18" t="s">
        <v>16</v>
      </c>
      <c r="N6" s="18" t="s">
        <v>35</v>
      </c>
      <c r="O6" s="18" t="s">
        <v>27</v>
      </c>
      <c r="P6" s="20" t="s">
        <v>12</v>
      </c>
      <c r="R6" s="1" t="s">
        <v>3</v>
      </c>
      <c r="S6" s="3"/>
      <c r="T6" s="4"/>
      <c r="U6" s="4"/>
      <c r="V6" s="18" t="s">
        <v>31</v>
      </c>
      <c r="W6" s="18" t="s">
        <v>32</v>
      </c>
      <c r="X6" s="18" t="s">
        <v>24</v>
      </c>
      <c r="Y6" s="18" t="s">
        <v>25</v>
      </c>
      <c r="Z6" s="18" t="s">
        <v>26</v>
      </c>
      <c r="AA6" s="18" t="s">
        <v>27</v>
      </c>
      <c r="AB6" s="20" t="s">
        <v>53</v>
      </c>
      <c r="AD6" s="1" t="s">
        <v>3</v>
      </c>
      <c r="AE6" s="3"/>
      <c r="AF6" s="4"/>
      <c r="AG6" s="4"/>
      <c r="AH6" s="18" t="s">
        <v>39</v>
      </c>
      <c r="AI6" s="18" t="s">
        <v>23</v>
      </c>
      <c r="AJ6" s="18" t="s">
        <v>24</v>
      </c>
      <c r="AK6" s="18">
        <v>1</v>
      </c>
      <c r="AL6" s="18" t="s">
        <v>26</v>
      </c>
      <c r="AM6" s="18" t="s">
        <v>27</v>
      </c>
      <c r="AN6" s="20">
        <v>1</v>
      </c>
    </row>
    <row r="7" spans="1:40" outlineLevel="1" x14ac:dyDescent="0.2">
      <c r="A7" s="5" t="s">
        <v>0</v>
      </c>
      <c r="B7" s="15" t="e">
        <f>SUMIF(#REF!,A7,#REF!)+#REF!</f>
        <v>#REF!</v>
      </c>
      <c r="C7" s="16" t="e">
        <f t="shared" si="0"/>
        <v>#REF!</v>
      </c>
      <c r="D7" s="16">
        <v>4</v>
      </c>
      <c r="E7" s="15" t="e">
        <f t="shared" si="1"/>
        <v>#REF!</v>
      </c>
      <c r="F7" s="1" t="s">
        <v>0</v>
      </c>
      <c r="G7" s="3"/>
      <c r="H7" s="4"/>
      <c r="I7" s="4"/>
      <c r="J7" s="4"/>
      <c r="K7" s="18" t="s">
        <v>13</v>
      </c>
      <c r="L7" s="18" t="s">
        <v>22</v>
      </c>
      <c r="M7" s="18" t="s">
        <v>31</v>
      </c>
      <c r="N7" s="18" t="s">
        <v>13</v>
      </c>
      <c r="O7" s="18" t="s">
        <v>13</v>
      </c>
      <c r="P7" s="20" t="s">
        <v>39</v>
      </c>
      <c r="R7" s="1" t="s">
        <v>0</v>
      </c>
      <c r="S7" s="3"/>
      <c r="T7" s="4"/>
      <c r="U7" s="4"/>
      <c r="V7" s="4"/>
      <c r="W7" s="18" t="s">
        <v>13</v>
      </c>
      <c r="X7" s="18">
        <v>1</v>
      </c>
      <c r="Y7" s="18" t="s">
        <v>22</v>
      </c>
      <c r="Z7" s="18" t="s">
        <v>13</v>
      </c>
      <c r="AA7" s="18">
        <v>1</v>
      </c>
      <c r="AB7" s="20" t="s">
        <v>22</v>
      </c>
      <c r="AD7" s="1" t="s">
        <v>0</v>
      </c>
      <c r="AE7" s="3"/>
      <c r="AF7" s="4"/>
      <c r="AG7" s="4"/>
      <c r="AH7" s="4"/>
      <c r="AI7" s="18" t="s">
        <v>13</v>
      </c>
      <c r="AJ7" s="18" t="s">
        <v>13</v>
      </c>
      <c r="AK7" s="18" t="s">
        <v>22</v>
      </c>
      <c r="AL7" s="18" t="s">
        <v>13</v>
      </c>
      <c r="AM7" s="18" t="s">
        <v>13</v>
      </c>
      <c r="AN7" s="20" t="s">
        <v>39</v>
      </c>
    </row>
    <row r="8" spans="1:40" outlineLevel="1" x14ac:dyDescent="0.2">
      <c r="A8" s="5" t="s">
        <v>4</v>
      </c>
      <c r="B8" s="15" t="e">
        <f>SUMIF(#REF!,A8,#REF!)+#REF!</f>
        <v>#REF!</v>
      </c>
      <c r="C8" s="16" t="e">
        <f t="shared" si="0"/>
        <v>#REF!</v>
      </c>
      <c r="D8" s="16">
        <v>5</v>
      </c>
      <c r="E8" s="15" t="e">
        <f t="shared" si="1"/>
        <v>#REF!</v>
      </c>
      <c r="F8" s="1" t="s">
        <v>4</v>
      </c>
      <c r="G8" s="3"/>
      <c r="H8" s="4"/>
      <c r="I8" s="4"/>
      <c r="J8" s="4"/>
      <c r="K8" s="4"/>
      <c r="L8" s="18" t="s">
        <v>14</v>
      </c>
      <c r="M8" s="18" t="s">
        <v>23</v>
      </c>
      <c r="N8" s="18" t="s">
        <v>17</v>
      </c>
      <c r="O8" s="18">
        <v>1</v>
      </c>
      <c r="P8" s="20" t="s">
        <v>32</v>
      </c>
      <c r="R8" s="1" t="s">
        <v>4</v>
      </c>
      <c r="S8" s="3"/>
      <c r="T8" s="4"/>
      <c r="U8" s="4"/>
      <c r="V8" s="4"/>
      <c r="W8" s="4"/>
      <c r="X8" s="18">
        <v>1</v>
      </c>
      <c r="Y8" s="18" t="s">
        <v>14</v>
      </c>
      <c r="Z8" s="18">
        <v>1</v>
      </c>
      <c r="AA8" s="18" t="s">
        <v>18</v>
      </c>
      <c r="AB8" s="20" t="s">
        <v>14</v>
      </c>
      <c r="AD8" s="1" t="s">
        <v>4</v>
      </c>
      <c r="AE8" s="3"/>
      <c r="AF8" s="4"/>
      <c r="AG8" s="4"/>
      <c r="AH8" s="4"/>
      <c r="AI8" s="4"/>
      <c r="AJ8" s="18">
        <v>1</v>
      </c>
      <c r="AK8" s="18" t="s">
        <v>40</v>
      </c>
      <c r="AL8" s="18">
        <v>1</v>
      </c>
      <c r="AM8" s="18">
        <v>1</v>
      </c>
      <c r="AN8" s="20" t="s">
        <v>40</v>
      </c>
    </row>
    <row r="9" spans="1:40" outlineLevel="1" x14ac:dyDescent="0.2">
      <c r="A9" s="5" t="s">
        <v>5</v>
      </c>
      <c r="B9" s="15" t="e">
        <f>SUMIF(#REF!,A9,#REF!)+#REF!</f>
        <v>#REF!</v>
      </c>
      <c r="C9" s="16" t="e">
        <f t="shared" si="0"/>
        <v>#REF!</v>
      </c>
      <c r="D9" s="16">
        <v>6</v>
      </c>
      <c r="E9" s="15" t="e">
        <f t="shared" si="1"/>
        <v>#REF!</v>
      </c>
      <c r="F9" s="1" t="s">
        <v>5</v>
      </c>
      <c r="G9" s="3"/>
      <c r="H9" s="4"/>
      <c r="I9" s="4"/>
      <c r="J9" s="4"/>
      <c r="K9" s="4"/>
      <c r="L9" s="4"/>
      <c r="M9" s="18" t="s">
        <v>15</v>
      </c>
      <c r="N9" s="18" t="s">
        <v>17</v>
      </c>
      <c r="O9" s="18" t="s">
        <v>18</v>
      </c>
      <c r="P9" s="20" t="s">
        <v>24</v>
      </c>
      <c r="R9" s="1" t="s">
        <v>5</v>
      </c>
      <c r="S9" s="3"/>
      <c r="T9" s="4"/>
      <c r="U9" s="4"/>
      <c r="V9" s="4"/>
      <c r="W9" s="4"/>
      <c r="X9" s="4"/>
      <c r="Y9" s="18" t="s">
        <v>15</v>
      </c>
      <c r="Z9" s="18">
        <v>1</v>
      </c>
      <c r="AA9" s="18" t="s">
        <v>18</v>
      </c>
      <c r="AB9" s="20" t="s">
        <v>15</v>
      </c>
      <c r="AD9" s="1" t="s">
        <v>5</v>
      </c>
      <c r="AE9" s="3"/>
      <c r="AF9" s="4"/>
      <c r="AG9" s="4"/>
      <c r="AH9" s="4"/>
      <c r="AI9" s="4"/>
      <c r="AJ9" s="4"/>
      <c r="AK9" s="18" t="s">
        <v>41</v>
      </c>
      <c r="AL9" s="18">
        <v>1</v>
      </c>
      <c r="AM9" s="18" t="s">
        <v>15</v>
      </c>
      <c r="AN9" s="20" t="s">
        <v>41</v>
      </c>
    </row>
    <row r="10" spans="1:40" outlineLevel="1" x14ac:dyDescent="0.2">
      <c r="A10" s="5" t="s">
        <v>6</v>
      </c>
      <c r="B10" s="15" t="e">
        <f>SUMIF(#REF!,A10,#REF!)+#REF!</f>
        <v>#REF!</v>
      </c>
      <c r="C10" s="16" t="e">
        <f t="shared" si="0"/>
        <v>#REF!</v>
      </c>
      <c r="D10" s="16">
        <v>7</v>
      </c>
      <c r="E10" s="15" t="e">
        <f t="shared" si="1"/>
        <v>#REF!</v>
      </c>
      <c r="F10" s="1" t="s">
        <v>6</v>
      </c>
      <c r="G10" s="3"/>
      <c r="H10" s="4"/>
      <c r="I10" s="4"/>
      <c r="J10" s="4"/>
      <c r="K10" s="4"/>
      <c r="L10" s="4"/>
      <c r="M10" s="4"/>
      <c r="N10" s="18" t="s">
        <v>26</v>
      </c>
      <c r="O10" s="18" t="s">
        <v>27</v>
      </c>
      <c r="P10" s="20" t="s">
        <v>16</v>
      </c>
      <c r="R10" s="1" t="s">
        <v>6</v>
      </c>
      <c r="S10" s="3"/>
      <c r="T10" s="4"/>
      <c r="U10" s="4"/>
      <c r="V10" s="4"/>
      <c r="W10" s="4"/>
      <c r="X10" s="4"/>
      <c r="Y10" s="4"/>
      <c r="Z10" s="18" t="s">
        <v>17</v>
      </c>
      <c r="AA10" s="18" t="s">
        <v>27</v>
      </c>
      <c r="AB10" s="20" t="s">
        <v>16</v>
      </c>
      <c r="AD10" s="1" t="s">
        <v>6</v>
      </c>
      <c r="AE10" s="3"/>
      <c r="AF10" s="4"/>
      <c r="AG10" s="4"/>
      <c r="AH10" s="4"/>
      <c r="AI10" s="4"/>
      <c r="AJ10" s="4"/>
      <c r="AK10" s="4"/>
      <c r="AL10" s="18" t="s">
        <v>43</v>
      </c>
      <c r="AM10" s="18" t="s">
        <v>36</v>
      </c>
      <c r="AN10" s="20">
        <v>1</v>
      </c>
    </row>
    <row r="11" spans="1:40" outlineLevel="1" x14ac:dyDescent="0.2">
      <c r="A11" s="5" t="s">
        <v>7</v>
      </c>
      <c r="B11" s="15" t="e">
        <f>SUMIF(#REF!,A11,#REF!)+#REF!</f>
        <v>#REF!</v>
      </c>
      <c r="C11" s="16" t="e">
        <f t="shared" si="0"/>
        <v>#REF!</v>
      </c>
      <c r="D11" s="16">
        <v>8</v>
      </c>
      <c r="E11" s="15" t="e">
        <f t="shared" si="1"/>
        <v>#REF!</v>
      </c>
      <c r="F11" s="1" t="s">
        <v>7</v>
      </c>
      <c r="G11" s="3"/>
      <c r="H11" s="4"/>
      <c r="I11" s="4"/>
      <c r="J11" s="4"/>
      <c r="K11" s="4"/>
      <c r="L11" s="4"/>
      <c r="M11" s="4"/>
      <c r="N11" s="4"/>
      <c r="O11" s="18" t="s">
        <v>17</v>
      </c>
      <c r="P11" s="20" t="s">
        <v>55</v>
      </c>
      <c r="R11" s="1" t="s">
        <v>7</v>
      </c>
      <c r="S11" s="3"/>
      <c r="T11" s="4"/>
      <c r="U11" s="4"/>
      <c r="V11" s="4"/>
      <c r="W11" s="4"/>
      <c r="X11" s="4"/>
      <c r="Y11" s="4"/>
      <c r="Z11" s="4"/>
      <c r="AA11" s="18" t="s">
        <v>18</v>
      </c>
      <c r="AB11" s="20" t="s">
        <v>26</v>
      </c>
      <c r="AD11" s="1" t="s">
        <v>7</v>
      </c>
      <c r="AE11" s="3"/>
      <c r="AF11" s="4"/>
      <c r="AG11" s="4"/>
      <c r="AH11" s="4"/>
      <c r="AI11" s="4"/>
      <c r="AJ11" s="4"/>
      <c r="AK11" s="4"/>
      <c r="AL11" s="4"/>
      <c r="AM11" s="18">
        <v>1</v>
      </c>
      <c r="AN11" s="20" t="s">
        <v>43</v>
      </c>
    </row>
    <row r="12" spans="1:40" outlineLevel="1" x14ac:dyDescent="0.2">
      <c r="A12" s="5" t="s">
        <v>8</v>
      </c>
      <c r="B12" s="15" t="e">
        <f>SUMIF(#REF!,A12,#REF!)+#REF!</f>
        <v>#REF!</v>
      </c>
      <c r="C12" s="16" t="e">
        <f t="shared" si="0"/>
        <v>#REF!</v>
      </c>
      <c r="D12" s="16">
        <v>9</v>
      </c>
      <c r="E12" s="15" t="e">
        <f t="shared" si="1"/>
        <v>#REF!</v>
      </c>
      <c r="F12" s="1" t="s">
        <v>8</v>
      </c>
      <c r="G12" s="3"/>
      <c r="H12" s="4"/>
      <c r="I12" s="4"/>
      <c r="J12" s="4"/>
      <c r="K12" s="4"/>
      <c r="L12" s="4"/>
      <c r="M12" s="4"/>
      <c r="N12" s="4"/>
      <c r="O12" s="4"/>
      <c r="P12" s="20" t="s">
        <v>36</v>
      </c>
      <c r="R12" s="1" t="s">
        <v>8</v>
      </c>
      <c r="S12" s="3"/>
      <c r="T12" s="4"/>
      <c r="U12" s="4"/>
      <c r="V12" s="4"/>
      <c r="W12" s="4"/>
      <c r="X12" s="4"/>
      <c r="Y12" s="4"/>
      <c r="Z12" s="4"/>
      <c r="AA12" s="4"/>
      <c r="AB12" s="20" t="s">
        <v>27</v>
      </c>
      <c r="AD12" s="1" t="s">
        <v>8</v>
      </c>
      <c r="AE12" s="3"/>
      <c r="AF12" s="4"/>
      <c r="AG12" s="4"/>
      <c r="AH12" s="4"/>
      <c r="AI12" s="4"/>
      <c r="AJ12" s="4"/>
      <c r="AK12" s="4"/>
      <c r="AL12" s="4"/>
      <c r="AM12" s="4"/>
      <c r="AN12" s="20" t="s">
        <v>44</v>
      </c>
    </row>
    <row r="13" spans="1:40" outlineLevel="1" x14ac:dyDescent="0.2">
      <c r="A13" s="6" t="s">
        <v>9</v>
      </c>
      <c r="B13" s="15" t="e">
        <f>SUMIF(#REF!,A13,#REF!)+#REF!</f>
        <v>#REF!</v>
      </c>
      <c r="C13" s="16" t="e">
        <f t="shared" si="0"/>
        <v>#REF!</v>
      </c>
      <c r="D13" s="16">
        <v>10</v>
      </c>
      <c r="E13" s="15" t="e">
        <f t="shared" si="1"/>
        <v>#REF!</v>
      </c>
      <c r="F13" s="1" t="s">
        <v>9</v>
      </c>
      <c r="G13" s="3"/>
      <c r="H13" s="4"/>
      <c r="I13" s="4"/>
      <c r="J13" s="4"/>
      <c r="K13" s="4"/>
      <c r="L13" s="4"/>
      <c r="M13" s="4"/>
      <c r="N13" s="4"/>
      <c r="O13" s="4"/>
      <c r="P13" s="4"/>
      <c r="R13" s="1" t="s">
        <v>9</v>
      </c>
      <c r="S13" s="3"/>
      <c r="T13" s="4"/>
      <c r="U13" s="4"/>
      <c r="V13" s="4"/>
      <c r="W13" s="4"/>
      <c r="X13" s="4"/>
      <c r="Y13" s="4"/>
      <c r="Z13" s="4"/>
      <c r="AA13" s="4"/>
      <c r="AB13" s="4"/>
      <c r="AD13" s="1" t="s">
        <v>9</v>
      </c>
      <c r="AE13" s="3"/>
      <c r="AF13" s="4"/>
      <c r="AG13" s="4"/>
      <c r="AH13" s="4"/>
      <c r="AI13" s="4"/>
      <c r="AJ13" s="4"/>
      <c r="AK13" s="4"/>
      <c r="AL13" s="4"/>
      <c r="AM13" s="4"/>
      <c r="AN13" s="4"/>
    </row>
    <row r="14" spans="1:40" ht="16" outlineLevel="1" thickBot="1" x14ac:dyDescent="0.25">
      <c r="A14" s="13" t="s">
        <v>59</v>
      </c>
      <c r="B14" s="14" t="s">
        <v>58</v>
      </c>
      <c r="C14" s="14"/>
      <c r="D14" s="14"/>
      <c r="E14" s="14"/>
      <c r="F14" s="12"/>
      <c r="G14" s="1" t="s">
        <v>1</v>
      </c>
      <c r="H14" s="1" t="s">
        <v>2</v>
      </c>
      <c r="I14" s="1" t="s">
        <v>3</v>
      </c>
      <c r="J14" s="1" t="s">
        <v>0</v>
      </c>
      <c r="K14" s="1" t="s">
        <v>4</v>
      </c>
      <c r="L14" s="1" t="s">
        <v>5</v>
      </c>
      <c r="M14" s="1" t="s">
        <v>6</v>
      </c>
      <c r="N14" s="1" t="s">
        <v>7</v>
      </c>
      <c r="O14" s="1" t="s">
        <v>8</v>
      </c>
      <c r="P14" s="1" t="s">
        <v>9</v>
      </c>
      <c r="R14" s="12"/>
      <c r="S14" s="1" t="s">
        <v>1</v>
      </c>
      <c r="T14" s="1" t="s">
        <v>2</v>
      </c>
      <c r="U14" s="1" t="s">
        <v>3</v>
      </c>
      <c r="V14" s="1" t="s">
        <v>0</v>
      </c>
      <c r="W14" s="1" t="s">
        <v>4</v>
      </c>
      <c r="X14" s="1" t="s">
        <v>5</v>
      </c>
      <c r="Y14" s="1" t="s">
        <v>6</v>
      </c>
      <c r="Z14" s="1" t="s">
        <v>7</v>
      </c>
      <c r="AA14" s="1" t="s">
        <v>8</v>
      </c>
      <c r="AB14" s="1" t="s">
        <v>9</v>
      </c>
      <c r="AD14" s="12"/>
      <c r="AE14" s="1" t="s">
        <v>1</v>
      </c>
      <c r="AF14" s="1" t="s">
        <v>2</v>
      </c>
      <c r="AG14" s="1" t="s">
        <v>3</v>
      </c>
      <c r="AH14" s="1" t="s">
        <v>0</v>
      </c>
      <c r="AI14" s="1" t="s">
        <v>4</v>
      </c>
      <c r="AJ14" s="1" t="s">
        <v>5</v>
      </c>
      <c r="AK14" s="1" t="s">
        <v>6</v>
      </c>
      <c r="AL14" s="1" t="s">
        <v>7</v>
      </c>
      <c r="AM14" s="1" t="s">
        <v>8</v>
      </c>
      <c r="AN14" s="1" t="s">
        <v>9</v>
      </c>
    </row>
    <row r="15" spans="1:40" outlineLevel="1" x14ac:dyDescent="0.2">
      <c r="A15" s="5" t="s">
        <v>1</v>
      </c>
      <c r="B15" s="15" t="e">
        <f>SUMIF(#REF!,A15,#REF!)+#REF!</f>
        <v>#REF!</v>
      </c>
      <c r="C15" s="16" t="e">
        <f t="shared" ref="C15:C24" si="2">LARGE($B$15:$B$24,D15)</f>
        <v>#REF!</v>
      </c>
      <c r="D15" s="16">
        <v>1</v>
      </c>
      <c r="E15" s="15" t="e">
        <f>IF(SUM(B15:B24)=0,0,D15)</f>
        <v>#REF!</v>
      </c>
      <c r="F15" s="1" t="s">
        <v>1</v>
      </c>
      <c r="G15" s="2"/>
      <c r="H15" s="17" t="s">
        <v>19</v>
      </c>
      <c r="I15" s="17" t="s">
        <v>28</v>
      </c>
      <c r="J15" s="17" t="s">
        <v>19</v>
      </c>
      <c r="K15" s="17" t="s">
        <v>10</v>
      </c>
      <c r="L15" s="17" t="s">
        <v>10</v>
      </c>
      <c r="M15" s="17" t="s">
        <v>28</v>
      </c>
      <c r="N15" s="17" t="s">
        <v>19</v>
      </c>
      <c r="O15" s="17" t="s">
        <v>19</v>
      </c>
      <c r="P15" s="19" t="s">
        <v>19</v>
      </c>
      <c r="R15" s="1" t="s">
        <v>1</v>
      </c>
      <c r="S15" s="2"/>
      <c r="T15" s="17" t="s">
        <v>19</v>
      </c>
      <c r="U15" s="17" t="s">
        <v>37</v>
      </c>
      <c r="V15" s="17" t="s">
        <v>19</v>
      </c>
      <c r="W15" s="17" t="s">
        <v>10</v>
      </c>
      <c r="X15" s="17" t="s">
        <v>10</v>
      </c>
      <c r="Y15" s="17" t="s">
        <v>19</v>
      </c>
      <c r="Z15" s="17" t="s">
        <v>10</v>
      </c>
      <c r="AA15" s="17" t="s">
        <v>19</v>
      </c>
      <c r="AB15" s="19" t="s">
        <v>19</v>
      </c>
      <c r="AD15" s="1" t="s">
        <v>1</v>
      </c>
      <c r="AE15" s="2"/>
      <c r="AF15" s="17" t="s">
        <v>10</v>
      </c>
      <c r="AG15" s="17" t="s">
        <v>37</v>
      </c>
      <c r="AH15" s="17">
        <v>1</v>
      </c>
      <c r="AI15" s="17">
        <v>1</v>
      </c>
      <c r="AJ15" s="17" t="s">
        <v>10</v>
      </c>
      <c r="AK15" s="17" t="s">
        <v>28</v>
      </c>
      <c r="AL15" s="17" t="s">
        <v>19</v>
      </c>
      <c r="AM15" s="17" t="s">
        <v>37</v>
      </c>
      <c r="AN15" s="19" t="s">
        <v>37</v>
      </c>
    </row>
    <row r="16" spans="1:40" outlineLevel="1" x14ac:dyDescent="0.2">
      <c r="A16" s="5" t="s">
        <v>2</v>
      </c>
      <c r="B16" s="15" t="e">
        <f>SUMIF(#REF!,A16,#REF!)+#REF!</f>
        <v>#REF!</v>
      </c>
      <c r="C16" s="16" t="e">
        <f t="shared" si="2"/>
        <v>#REF!</v>
      </c>
      <c r="D16" s="16">
        <v>2</v>
      </c>
      <c r="E16" s="15" t="e">
        <f t="shared" ref="E16:E21" si="3">(C16/$C$15)*$E$15</f>
        <v>#REF!</v>
      </c>
      <c r="F16" s="1" t="s">
        <v>2</v>
      </c>
      <c r="G16" s="3"/>
      <c r="H16" s="4"/>
      <c r="I16" s="18" t="s">
        <v>29</v>
      </c>
      <c r="J16" s="18">
        <v>1</v>
      </c>
      <c r="K16" s="18" t="s">
        <v>23</v>
      </c>
      <c r="L16" s="18" t="s">
        <v>11</v>
      </c>
      <c r="M16" s="18" t="s">
        <v>11</v>
      </c>
      <c r="N16" s="18" t="s">
        <v>11</v>
      </c>
      <c r="O16" s="18" t="s">
        <v>11</v>
      </c>
      <c r="P16" s="20" t="s">
        <v>20</v>
      </c>
      <c r="R16" s="1" t="s">
        <v>2</v>
      </c>
      <c r="S16" s="3"/>
      <c r="T16" s="4"/>
      <c r="U16" s="18" t="s">
        <v>20</v>
      </c>
      <c r="V16" s="18" t="s">
        <v>22</v>
      </c>
      <c r="W16" s="18" t="s">
        <v>23</v>
      </c>
      <c r="X16" s="18" t="s">
        <v>15</v>
      </c>
      <c r="Y16" s="18" t="s">
        <v>11</v>
      </c>
      <c r="Z16" s="18" t="s">
        <v>26</v>
      </c>
      <c r="AA16" s="18" t="s">
        <v>18</v>
      </c>
      <c r="AB16" s="20">
        <v>1</v>
      </c>
      <c r="AD16" s="1" t="s">
        <v>2</v>
      </c>
      <c r="AE16" s="3"/>
      <c r="AF16" s="4"/>
      <c r="AG16" s="18" t="s">
        <v>29</v>
      </c>
      <c r="AH16" s="18" t="s">
        <v>13</v>
      </c>
      <c r="AI16" s="18" t="s">
        <v>14</v>
      </c>
      <c r="AJ16" s="18">
        <v>1</v>
      </c>
      <c r="AK16" s="18" t="s">
        <v>20</v>
      </c>
      <c r="AL16" s="18" t="s">
        <v>11</v>
      </c>
      <c r="AM16" s="18" t="s">
        <v>29</v>
      </c>
      <c r="AN16" s="20" t="s">
        <v>29</v>
      </c>
    </row>
    <row r="17" spans="1:40" outlineLevel="1" x14ac:dyDescent="0.2">
      <c r="A17" s="5" t="s">
        <v>3</v>
      </c>
      <c r="B17" s="15" t="e">
        <f>SUMIF(#REF!,A17,#REF!)+#REF!</f>
        <v>#REF!</v>
      </c>
      <c r="C17" s="16" t="e">
        <f t="shared" si="2"/>
        <v>#REF!</v>
      </c>
      <c r="D17" s="16">
        <v>3</v>
      </c>
      <c r="E17" s="15" t="e">
        <f t="shared" si="3"/>
        <v>#REF!</v>
      </c>
      <c r="F17" s="1" t="s">
        <v>3</v>
      </c>
      <c r="G17" s="3"/>
      <c r="H17" s="4"/>
      <c r="I17" s="4"/>
      <c r="J17" s="18" t="s">
        <v>31</v>
      </c>
      <c r="K17" s="18" t="s">
        <v>32</v>
      </c>
      <c r="L17" s="18" t="s">
        <v>33</v>
      </c>
      <c r="M17" s="18" t="s">
        <v>34</v>
      </c>
      <c r="N17" s="18" t="s">
        <v>35</v>
      </c>
      <c r="O17" s="18" t="s">
        <v>44</v>
      </c>
      <c r="P17" s="20" t="s">
        <v>55</v>
      </c>
      <c r="R17" s="1" t="s">
        <v>3</v>
      </c>
      <c r="S17" s="3"/>
      <c r="T17" s="4"/>
      <c r="U17" s="4"/>
      <c r="V17" s="18" t="s">
        <v>31</v>
      </c>
      <c r="W17" s="18" t="s">
        <v>32</v>
      </c>
      <c r="X17" s="18" t="s">
        <v>24</v>
      </c>
      <c r="Y17" s="18" t="s">
        <v>25</v>
      </c>
      <c r="Z17" s="18" t="s">
        <v>35</v>
      </c>
      <c r="AA17" s="18" t="s">
        <v>27</v>
      </c>
      <c r="AB17" s="20" t="s">
        <v>53</v>
      </c>
      <c r="AD17" s="1" t="s">
        <v>3</v>
      </c>
      <c r="AE17" s="3"/>
      <c r="AF17" s="4"/>
      <c r="AG17" s="4"/>
      <c r="AH17" s="18" t="s">
        <v>39</v>
      </c>
      <c r="AI17" s="18" t="s">
        <v>40</v>
      </c>
      <c r="AJ17" s="18" t="s">
        <v>33</v>
      </c>
      <c r="AK17" s="18" t="s">
        <v>16</v>
      </c>
      <c r="AL17" s="18" t="s">
        <v>26</v>
      </c>
      <c r="AM17" s="18">
        <v>1</v>
      </c>
      <c r="AN17" s="20">
        <v>1</v>
      </c>
    </row>
    <row r="18" spans="1:40" outlineLevel="1" x14ac:dyDescent="0.2">
      <c r="A18" s="5" t="s">
        <v>0</v>
      </c>
      <c r="B18" s="15" t="e">
        <f>SUMIF(#REF!,A18,#REF!)+#REF!</f>
        <v>#REF!</v>
      </c>
      <c r="C18" s="16" t="e">
        <f t="shared" si="2"/>
        <v>#REF!</v>
      </c>
      <c r="D18" s="16">
        <v>4</v>
      </c>
      <c r="E18" s="15" t="e">
        <f t="shared" si="3"/>
        <v>#REF!</v>
      </c>
      <c r="F18" s="1" t="s">
        <v>0</v>
      </c>
      <c r="G18" s="3"/>
      <c r="H18" s="4"/>
      <c r="I18" s="4"/>
      <c r="J18" s="4"/>
      <c r="K18" s="18">
        <v>1</v>
      </c>
      <c r="L18" s="18">
        <v>1</v>
      </c>
      <c r="M18" s="18" t="s">
        <v>13</v>
      </c>
      <c r="N18" s="18" t="s">
        <v>22</v>
      </c>
      <c r="O18" s="18" t="s">
        <v>31</v>
      </c>
      <c r="P18" s="20" t="s">
        <v>31</v>
      </c>
      <c r="R18" s="1" t="s">
        <v>0</v>
      </c>
      <c r="S18" s="3"/>
      <c r="T18" s="4"/>
      <c r="U18" s="4"/>
      <c r="V18" s="4"/>
      <c r="W18" s="18">
        <v>1</v>
      </c>
      <c r="X18" s="18" t="s">
        <v>13</v>
      </c>
      <c r="Y18" s="18" t="s">
        <v>13</v>
      </c>
      <c r="Z18" s="18">
        <v>1</v>
      </c>
      <c r="AA18" s="18" t="s">
        <v>13</v>
      </c>
      <c r="AB18" s="20" t="s">
        <v>22</v>
      </c>
      <c r="AD18" s="1" t="s">
        <v>0</v>
      </c>
      <c r="AE18" s="3"/>
      <c r="AF18" s="4"/>
      <c r="AG18" s="4"/>
      <c r="AH18" s="4"/>
      <c r="AI18" s="18">
        <v>1</v>
      </c>
      <c r="AJ18" s="18" t="s">
        <v>13</v>
      </c>
      <c r="AK18" s="18" t="s">
        <v>31</v>
      </c>
      <c r="AL18" s="18" t="s">
        <v>22</v>
      </c>
      <c r="AM18" s="18" t="s">
        <v>39</v>
      </c>
      <c r="AN18" s="20" t="s">
        <v>39</v>
      </c>
    </row>
    <row r="19" spans="1:40" outlineLevel="1" x14ac:dyDescent="0.2">
      <c r="A19" s="5" t="s">
        <v>4</v>
      </c>
      <c r="B19" s="15" t="e">
        <f>SUMIF(#REF!,A19,#REF!)+#REF!</f>
        <v>#REF!</v>
      </c>
      <c r="C19" s="16" t="e">
        <f t="shared" si="2"/>
        <v>#REF!</v>
      </c>
      <c r="D19" s="16">
        <v>5</v>
      </c>
      <c r="E19" s="15" t="e">
        <f t="shared" si="3"/>
        <v>#REF!</v>
      </c>
      <c r="F19" s="1" t="s">
        <v>4</v>
      </c>
      <c r="G19" s="3"/>
      <c r="H19" s="4"/>
      <c r="I19" s="4"/>
      <c r="J19" s="4"/>
      <c r="K19" s="4"/>
      <c r="L19" s="18" t="s">
        <v>23</v>
      </c>
      <c r="M19" s="18" t="s">
        <v>23</v>
      </c>
      <c r="N19" s="18" t="s">
        <v>32</v>
      </c>
      <c r="O19" s="18" t="s">
        <v>32</v>
      </c>
      <c r="P19" s="20" t="s">
        <v>23</v>
      </c>
      <c r="R19" s="1" t="s">
        <v>4</v>
      </c>
      <c r="S19" s="3"/>
      <c r="T19" s="4"/>
      <c r="U19" s="4"/>
      <c r="V19" s="4"/>
      <c r="W19" s="4"/>
      <c r="X19" s="18" t="s">
        <v>14</v>
      </c>
      <c r="Y19" s="18" t="s">
        <v>14</v>
      </c>
      <c r="Z19" s="18">
        <v>1</v>
      </c>
      <c r="AA19" s="18" t="s">
        <v>14</v>
      </c>
      <c r="AB19" s="20" t="s">
        <v>23</v>
      </c>
      <c r="AD19" s="1" t="s">
        <v>4</v>
      </c>
      <c r="AE19" s="3"/>
      <c r="AF19" s="4"/>
      <c r="AG19" s="4"/>
      <c r="AH19" s="4"/>
      <c r="AI19" s="4"/>
      <c r="AJ19" s="18" t="s">
        <v>14</v>
      </c>
      <c r="AK19" s="18" t="s">
        <v>32</v>
      </c>
      <c r="AL19" s="18" t="s">
        <v>23</v>
      </c>
      <c r="AM19" s="18" t="s">
        <v>40</v>
      </c>
      <c r="AN19" s="20" t="s">
        <v>40</v>
      </c>
    </row>
    <row r="20" spans="1:40" outlineLevel="1" x14ac:dyDescent="0.2">
      <c r="A20" s="5" t="s">
        <v>5</v>
      </c>
      <c r="B20" s="15" t="e">
        <f>SUMIF(#REF!,A20,#REF!)+#REF!</f>
        <v>#REF!</v>
      </c>
      <c r="C20" s="16" t="e">
        <f t="shared" si="2"/>
        <v>#REF!</v>
      </c>
      <c r="D20" s="16">
        <v>6</v>
      </c>
      <c r="E20" s="15" t="e">
        <f t="shared" si="3"/>
        <v>#REF!</v>
      </c>
      <c r="F20" s="1" t="s">
        <v>5</v>
      </c>
      <c r="G20" s="3"/>
      <c r="H20" s="4"/>
      <c r="I20" s="4"/>
      <c r="J20" s="4"/>
      <c r="K20" s="4"/>
      <c r="L20" s="4"/>
      <c r="M20" s="18" t="s">
        <v>15</v>
      </c>
      <c r="N20" s="18" t="s">
        <v>24</v>
      </c>
      <c r="O20" s="18" t="s">
        <v>24</v>
      </c>
      <c r="P20" s="20" t="s">
        <v>15</v>
      </c>
      <c r="R20" s="1" t="s">
        <v>5</v>
      </c>
      <c r="S20" s="3"/>
      <c r="T20" s="4"/>
      <c r="U20" s="4"/>
      <c r="V20" s="4"/>
      <c r="W20" s="4"/>
      <c r="X20" s="4"/>
      <c r="Y20" s="18">
        <v>1</v>
      </c>
      <c r="Z20" s="18" t="s">
        <v>17</v>
      </c>
      <c r="AA20" s="18">
        <v>1</v>
      </c>
      <c r="AB20" s="20" t="s">
        <v>15</v>
      </c>
      <c r="AD20" s="1" t="s">
        <v>5</v>
      </c>
      <c r="AE20" s="3"/>
      <c r="AF20" s="4"/>
      <c r="AG20" s="4"/>
      <c r="AH20" s="4"/>
      <c r="AI20" s="4"/>
      <c r="AJ20" s="4"/>
      <c r="AK20" s="18" t="s">
        <v>24</v>
      </c>
      <c r="AL20" s="18" t="s">
        <v>15</v>
      </c>
      <c r="AM20" s="18" t="s">
        <v>33</v>
      </c>
      <c r="AN20" s="20" t="s">
        <v>33</v>
      </c>
    </row>
    <row r="21" spans="1:40" outlineLevel="1" x14ac:dyDescent="0.2">
      <c r="A21" s="5" t="s">
        <v>6</v>
      </c>
      <c r="B21" s="15" t="e">
        <f>SUMIF(#REF!,A21,#REF!)+#REF!</f>
        <v>#REF!</v>
      </c>
      <c r="C21" s="16" t="e">
        <f t="shared" si="2"/>
        <v>#REF!</v>
      </c>
      <c r="D21" s="16">
        <v>7</v>
      </c>
      <c r="E21" s="15" t="e">
        <f t="shared" si="3"/>
        <v>#REF!</v>
      </c>
      <c r="F21" s="1" t="s">
        <v>6</v>
      </c>
      <c r="G21" s="3"/>
      <c r="H21" s="4"/>
      <c r="I21" s="4"/>
      <c r="J21" s="4"/>
      <c r="K21" s="4"/>
      <c r="L21" s="4"/>
      <c r="M21" s="4"/>
      <c r="N21" s="18" t="s">
        <v>16</v>
      </c>
      <c r="O21" s="18" t="s">
        <v>16</v>
      </c>
      <c r="P21" s="20">
        <v>1</v>
      </c>
      <c r="R21" s="1" t="s">
        <v>6</v>
      </c>
      <c r="S21" s="3"/>
      <c r="T21" s="4"/>
      <c r="U21" s="4"/>
      <c r="V21" s="4"/>
      <c r="W21" s="4"/>
      <c r="X21" s="4"/>
      <c r="Y21" s="4"/>
      <c r="Z21" s="18" t="s">
        <v>17</v>
      </c>
      <c r="AA21" s="18">
        <v>1</v>
      </c>
      <c r="AB21" s="20" t="s">
        <v>16</v>
      </c>
      <c r="AD21" s="1" t="s">
        <v>6</v>
      </c>
      <c r="AE21" s="3"/>
      <c r="AF21" s="4"/>
      <c r="AG21" s="4"/>
      <c r="AH21" s="4"/>
      <c r="AI21" s="4"/>
      <c r="AJ21" s="4"/>
      <c r="AK21" s="4"/>
      <c r="AL21" s="18" t="s">
        <v>17</v>
      </c>
      <c r="AM21" s="18" t="s">
        <v>16</v>
      </c>
      <c r="AN21" s="20" t="s">
        <v>16</v>
      </c>
    </row>
    <row r="22" spans="1:40" outlineLevel="1" x14ac:dyDescent="0.2">
      <c r="A22" s="5" t="s">
        <v>7</v>
      </c>
      <c r="B22" s="15" t="e">
        <f>SUMIF(#REF!,A22,#REF!)+#REF!</f>
        <v>#REF!</v>
      </c>
      <c r="C22" s="16" t="e">
        <f t="shared" si="2"/>
        <v>#REF!</v>
      </c>
      <c r="D22" s="16">
        <v>8</v>
      </c>
      <c r="E22" s="15" t="e">
        <f t="shared" ref="E22:E24" si="4">(C22/$C$15)*$E$15</f>
        <v>#REF!</v>
      </c>
      <c r="F22" s="1" t="s">
        <v>7</v>
      </c>
      <c r="G22" s="3"/>
      <c r="H22" s="4"/>
      <c r="I22" s="4"/>
      <c r="J22" s="4"/>
      <c r="K22" s="4"/>
      <c r="L22" s="4"/>
      <c r="M22" s="4"/>
      <c r="N22" s="4"/>
      <c r="O22" s="18">
        <v>1</v>
      </c>
      <c r="P22" s="20" t="s">
        <v>53</v>
      </c>
      <c r="R22" s="1" t="s">
        <v>7</v>
      </c>
      <c r="S22" s="3"/>
      <c r="T22" s="4"/>
      <c r="U22" s="4"/>
      <c r="V22" s="4"/>
      <c r="W22" s="4"/>
      <c r="X22" s="4"/>
      <c r="Y22" s="4"/>
      <c r="Z22" s="4"/>
      <c r="AA22" s="18" t="s">
        <v>17</v>
      </c>
      <c r="AB22" s="20" t="s">
        <v>26</v>
      </c>
      <c r="AD22" s="1" t="s">
        <v>7</v>
      </c>
      <c r="AE22" s="3"/>
      <c r="AF22" s="4"/>
      <c r="AG22" s="4"/>
      <c r="AH22" s="4"/>
      <c r="AI22" s="4"/>
      <c r="AJ22" s="4"/>
      <c r="AK22" s="4"/>
      <c r="AL22" s="4"/>
      <c r="AM22" s="18" t="s">
        <v>26</v>
      </c>
      <c r="AN22" s="20" t="s">
        <v>26</v>
      </c>
    </row>
    <row r="23" spans="1:40" outlineLevel="1" x14ac:dyDescent="0.2">
      <c r="A23" s="5" t="s">
        <v>8</v>
      </c>
      <c r="B23" s="15" t="e">
        <f>SUMIF(#REF!,A23,#REF!)+#REF!</f>
        <v>#REF!</v>
      </c>
      <c r="C23" s="16" t="e">
        <f t="shared" si="2"/>
        <v>#REF!</v>
      </c>
      <c r="D23" s="16">
        <v>9</v>
      </c>
      <c r="E23" s="15" t="e">
        <f t="shared" si="4"/>
        <v>#REF!</v>
      </c>
      <c r="F23" s="1" t="s">
        <v>8</v>
      </c>
      <c r="G23" s="3"/>
      <c r="H23" s="4"/>
      <c r="I23" s="4"/>
      <c r="J23" s="4"/>
      <c r="K23" s="4"/>
      <c r="L23" s="4"/>
      <c r="M23" s="4"/>
      <c r="N23" s="4"/>
      <c r="O23" s="4"/>
      <c r="P23" s="20" t="s">
        <v>53</v>
      </c>
      <c r="R23" s="1" t="s">
        <v>8</v>
      </c>
      <c r="S23" s="3"/>
      <c r="T23" s="4"/>
      <c r="U23" s="4"/>
      <c r="V23" s="4"/>
      <c r="W23" s="4"/>
      <c r="X23" s="4"/>
      <c r="Y23" s="4"/>
      <c r="Z23" s="4"/>
      <c r="AA23" s="4"/>
      <c r="AB23" s="20" t="s">
        <v>18</v>
      </c>
      <c r="AD23" s="1" t="s">
        <v>8</v>
      </c>
      <c r="AE23" s="3"/>
      <c r="AF23" s="4"/>
      <c r="AG23" s="4"/>
      <c r="AH23" s="4"/>
      <c r="AI23" s="4"/>
      <c r="AJ23" s="4"/>
      <c r="AK23" s="4"/>
      <c r="AL23" s="4"/>
      <c r="AM23" s="4"/>
      <c r="AN23" s="20">
        <v>1</v>
      </c>
    </row>
    <row r="24" spans="1:40" outlineLevel="1" x14ac:dyDescent="0.2">
      <c r="A24" s="6" t="s">
        <v>9</v>
      </c>
      <c r="B24" s="15" t="e">
        <f>SUMIF(#REF!,A24,#REF!)+#REF!</f>
        <v>#REF!</v>
      </c>
      <c r="C24" s="16" t="e">
        <f t="shared" si="2"/>
        <v>#REF!</v>
      </c>
      <c r="D24" s="16">
        <v>10</v>
      </c>
      <c r="E24" s="15" t="e">
        <f t="shared" si="4"/>
        <v>#REF!</v>
      </c>
      <c r="F24" s="1" t="s">
        <v>9</v>
      </c>
      <c r="G24" s="3"/>
      <c r="H24" s="4"/>
      <c r="I24" s="4"/>
      <c r="J24" s="4"/>
      <c r="K24" s="4"/>
      <c r="L24" s="4"/>
      <c r="M24" s="4"/>
      <c r="N24" s="4"/>
      <c r="O24" s="4"/>
      <c r="P24" s="4"/>
      <c r="R24" s="1" t="s">
        <v>9</v>
      </c>
      <c r="S24" s="3"/>
      <c r="T24" s="4"/>
      <c r="U24" s="4"/>
      <c r="V24" s="4"/>
      <c r="W24" s="4"/>
      <c r="X24" s="4"/>
      <c r="Y24" s="4"/>
      <c r="Z24" s="4"/>
      <c r="AA24" s="4"/>
      <c r="AB24" s="4"/>
      <c r="AD24" s="1" t="s">
        <v>9</v>
      </c>
      <c r="AE24" s="3"/>
      <c r="AF24" s="4"/>
      <c r="AG24" s="4"/>
      <c r="AH24" s="4"/>
      <c r="AI24" s="4"/>
      <c r="AJ24" s="4"/>
      <c r="AK24" s="4"/>
      <c r="AL24" s="4"/>
      <c r="AM24" s="4"/>
      <c r="AN24" s="4"/>
    </row>
    <row r="25" spans="1:40" ht="16" outlineLevel="1" thickBot="1" x14ac:dyDescent="0.25">
      <c r="A25" s="13" t="s">
        <v>59</v>
      </c>
      <c r="B25" s="14" t="s">
        <v>58</v>
      </c>
      <c r="C25" s="14"/>
      <c r="D25" s="14"/>
      <c r="E25" s="14"/>
      <c r="F25" s="12"/>
      <c r="G25" s="1" t="s">
        <v>1</v>
      </c>
      <c r="H25" s="1" t="s">
        <v>2</v>
      </c>
      <c r="I25" s="1" t="s">
        <v>3</v>
      </c>
      <c r="J25" s="1" t="s">
        <v>0</v>
      </c>
      <c r="K25" s="1" t="s">
        <v>4</v>
      </c>
      <c r="L25" s="1" t="s">
        <v>5</v>
      </c>
      <c r="M25" s="1" t="s">
        <v>6</v>
      </c>
      <c r="N25" s="1" t="s">
        <v>7</v>
      </c>
      <c r="O25" s="1" t="s">
        <v>8</v>
      </c>
      <c r="P25" s="1" t="s">
        <v>9</v>
      </c>
      <c r="R25" s="12"/>
      <c r="S25" s="1" t="s">
        <v>1</v>
      </c>
      <c r="T25" s="1" t="s">
        <v>2</v>
      </c>
      <c r="U25" s="1" t="s">
        <v>3</v>
      </c>
      <c r="V25" s="1" t="s">
        <v>0</v>
      </c>
      <c r="W25" s="1" t="s">
        <v>4</v>
      </c>
      <c r="X25" s="1" t="s">
        <v>5</v>
      </c>
      <c r="Y25" s="1" t="s">
        <v>6</v>
      </c>
      <c r="Z25" s="1" t="s">
        <v>7</v>
      </c>
      <c r="AA25" s="1" t="s">
        <v>8</v>
      </c>
      <c r="AB25" s="1" t="s">
        <v>9</v>
      </c>
      <c r="AD25" s="12"/>
      <c r="AE25" s="1" t="s">
        <v>1</v>
      </c>
      <c r="AF25" s="1" t="s">
        <v>2</v>
      </c>
      <c r="AG25" s="1" t="s">
        <v>3</v>
      </c>
      <c r="AH25" s="1" t="s">
        <v>0</v>
      </c>
      <c r="AI25" s="1" t="s">
        <v>4</v>
      </c>
      <c r="AJ25" s="1" t="s">
        <v>5</v>
      </c>
      <c r="AK25" s="1" t="s">
        <v>6</v>
      </c>
      <c r="AL25" s="1" t="s">
        <v>7</v>
      </c>
      <c r="AM25" s="1" t="s">
        <v>8</v>
      </c>
      <c r="AN25" s="1" t="s">
        <v>9</v>
      </c>
    </row>
    <row r="26" spans="1:40" outlineLevel="1" x14ac:dyDescent="0.2">
      <c r="A26" s="5" t="s">
        <v>1</v>
      </c>
      <c r="B26" s="15" t="e">
        <f>SUMIF(#REF!,A26,#REF!)+#REF!</f>
        <v>#REF!</v>
      </c>
      <c r="C26" s="16" t="e">
        <f t="shared" ref="C26:C35" si="5">LARGE($B$26:$B$35,D26)</f>
        <v>#REF!</v>
      </c>
      <c r="D26" s="16">
        <v>1</v>
      </c>
      <c r="E26" s="15" t="e">
        <f>IF(SUM(B26:B35)=0,0,D26)</f>
        <v>#REF!</v>
      </c>
      <c r="F26" s="1" t="s">
        <v>1</v>
      </c>
      <c r="G26" s="2"/>
      <c r="H26" s="17" t="s">
        <v>11</v>
      </c>
      <c r="I26" s="17" t="s">
        <v>19</v>
      </c>
      <c r="J26" s="17" t="s">
        <v>31</v>
      </c>
      <c r="K26" s="17" t="s">
        <v>14</v>
      </c>
      <c r="L26" s="17" t="s">
        <v>10</v>
      </c>
      <c r="M26" s="17" t="s">
        <v>19</v>
      </c>
      <c r="N26" s="17" t="s">
        <v>19</v>
      </c>
      <c r="O26" s="17" t="s">
        <v>27</v>
      </c>
      <c r="P26" s="19" t="s">
        <v>19</v>
      </c>
      <c r="R26" s="1" t="s">
        <v>1</v>
      </c>
      <c r="S26" s="2"/>
      <c r="T26" s="17">
        <v>1</v>
      </c>
      <c r="U26" s="17" t="s">
        <v>10</v>
      </c>
      <c r="V26" s="17">
        <v>1</v>
      </c>
      <c r="W26" s="17" t="s">
        <v>14</v>
      </c>
      <c r="X26" s="17" t="s">
        <v>15</v>
      </c>
      <c r="Y26" s="17">
        <v>1</v>
      </c>
      <c r="Z26" s="17">
        <v>1</v>
      </c>
      <c r="AA26" s="17">
        <v>1</v>
      </c>
      <c r="AB26" s="19" t="s">
        <v>19</v>
      </c>
      <c r="AD26" s="1" t="s">
        <v>1</v>
      </c>
      <c r="AE26" s="2"/>
      <c r="AF26" s="17" t="s">
        <v>20</v>
      </c>
      <c r="AG26" s="17" t="s">
        <v>12</v>
      </c>
      <c r="AH26" s="17" t="s">
        <v>31</v>
      </c>
      <c r="AI26" s="17" t="s">
        <v>10</v>
      </c>
      <c r="AJ26" s="17" t="s">
        <v>33</v>
      </c>
      <c r="AK26" s="17" t="s">
        <v>10</v>
      </c>
      <c r="AL26" s="17" t="s">
        <v>10</v>
      </c>
      <c r="AM26" s="17" t="s">
        <v>27</v>
      </c>
      <c r="AN26" s="19" t="s">
        <v>10</v>
      </c>
    </row>
    <row r="27" spans="1:40" outlineLevel="1" x14ac:dyDescent="0.2">
      <c r="A27" s="5" t="s">
        <v>2</v>
      </c>
      <c r="B27" s="15" t="e">
        <f>SUMIF(#REF!,A27,#REF!)+#REF!</f>
        <v>#REF!</v>
      </c>
      <c r="C27" s="16" t="e">
        <f t="shared" si="5"/>
        <v>#REF!</v>
      </c>
      <c r="D27" s="16">
        <v>2</v>
      </c>
      <c r="E27" s="15" t="e">
        <f>(C27/$C$26)*$E$26</f>
        <v>#REF!</v>
      </c>
      <c r="F27" s="1" t="s">
        <v>2</v>
      </c>
      <c r="G27" s="3"/>
      <c r="H27" s="4"/>
      <c r="I27" s="18" t="s">
        <v>11</v>
      </c>
      <c r="J27" s="18" t="s">
        <v>13</v>
      </c>
      <c r="K27" s="18">
        <v>1</v>
      </c>
      <c r="L27" s="18" t="s">
        <v>11</v>
      </c>
      <c r="M27" s="18" t="s">
        <v>11</v>
      </c>
      <c r="N27" s="18" t="s">
        <v>20</v>
      </c>
      <c r="O27" s="18" t="s">
        <v>18</v>
      </c>
      <c r="P27" s="20" t="s">
        <v>20</v>
      </c>
      <c r="R27" s="1" t="s">
        <v>2</v>
      </c>
      <c r="S27" s="3"/>
      <c r="T27" s="4"/>
      <c r="U27" s="18" t="s">
        <v>12</v>
      </c>
      <c r="V27" s="18">
        <v>1</v>
      </c>
      <c r="W27" s="18">
        <v>1</v>
      </c>
      <c r="X27" s="18" t="s">
        <v>15</v>
      </c>
      <c r="Y27" s="18" t="s">
        <v>16</v>
      </c>
      <c r="Z27" s="18" t="s">
        <v>11</v>
      </c>
      <c r="AA27" s="18" t="s">
        <v>18</v>
      </c>
      <c r="AB27" s="20" t="s">
        <v>11</v>
      </c>
      <c r="AD27" s="1" t="s">
        <v>2</v>
      </c>
      <c r="AE27" s="3"/>
      <c r="AF27" s="4"/>
      <c r="AG27" s="18" t="s">
        <v>11</v>
      </c>
      <c r="AH27" s="18" t="s">
        <v>13</v>
      </c>
      <c r="AI27" s="18" t="s">
        <v>29</v>
      </c>
      <c r="AJ27" s="18" t="s">
        <v>15</v>
      </c>
      <c r="AK27" s="18" t="s">
        <v>29</v>
      </c>
      <c r="AL27" s="18" t="s">
        <v>29</v>
      </c>
      <c r="AM27" s="18">
        <v>1</v>
      </c>
      <c r="AN27" s="20" t="s">
        <v>55</v>
      </c>
    </row>
    <row r="28" spans="1:40" outlineLevel="1" x14ac:dyDescent="0.2">
      <c r="A28" s="5" t="s">
        <v>3</v>
      </c>
      <c r="B28" s="15" t="e">
        <f>SUMIF(#REF!,A28,#REF!)+#REF!</f>
        <v>#REF!</v>
      </c>
      <c r="C28" s="16" t="e">
        <f t="shared" si="5"/>
        <v>#REF!</v>
      </c>
      <c r="D28" s="16">
        <v>3</v>
      </c>
      <c r="E28" s="15" t="e">
        <f t="shared" ref="E28:E35" si="6">(C28/$C$26)*$E$26</f>
        <v>#REF!</v>
      </c>
      <c r="F28" s="1" t="s">
        <v>3</v>
      </c>
      <c r="G28" s="3"/>
      <c r="H28" s="4"/>
      <c r="I28" s="4"/>
      <c r="J28" s="18" t="s">
        <v>39</v>
      </c>
      <c r="K28" s="18" t="s">
        <v>23</v>
      </c>
      <c r="L28" s="18" t="s">
        <v>24</v>
      </c>
      <c r="M28" s="18" t="s">
        <v>16</v>
      </c>
      <c r="N28" s="18" t="s">
        <v>17</v>
      </c>
      <c r="O28" s="18" t="s">
        <v>36</v>
      </c>
      <c r="P28" s="20">
        <v>1</v>
      </c>
      <c r="R28" s="1" t="s">
        <v>3</v>
      </c>
      <c r="S28" s="3"/>
      <c r="T28" s="4"/>
      <c r="U28" s="4"/>
      <c r="V28" s="18" t="s">
        <v>31</v>
      </c>
      <c r="W28" s="18">
        <v>1</v>
      </c>
      <c r="X28" s="18" t="s">
        <v>15</v>
      </c>
      <c r="Y28" s="18" t="s">
        <v>16</v>
      </c>
      <c r="Z28" s="18" t="s">
        <v>21</v>
      </c>
      <c r="AA28" s="18" t="s">
        <v>18</v>
      </c>
      <c r="AB28" s="20">
        <v>1</v>
      </c>
      <c r="AD28" s="1" t="s">
        <v>3</v>
      </c>
      <c r="AE28" s="3"/>
      <c r="AF28" s="4"/>
      <c r="AG28" s="4"/>
      <c r="AH28" s="18" t="s">
        <v>22</v>
      </c>
      <c r="AI28" s="18" t="s">
        <v>21</v>
      </c>
      <c r="AJ28" s="18" t="s">
        <v>24</v>
      </c>
      <c r="AK28" s="18" t="s">
        <v>21</v>
      </c>
      <c r="AL28" s="18" t="s">
        <v>26</v>
      </c>
      <c r="AM28" s="18" t="s">
        <v>18</v>
      </c>
      <c r="AN28" s="20" t="s">
        <v>54</v>
      </c>
    </row>
    <row r="29" spans="1:40" outlineLevel="1" x14ac:dyDescent="0.2">
      <c r="A29" s="5" t="s">
        <v>0</v>
      </c>
      <c r="B29" s="15" t="e">
        <f>SUMIF(#REF!,A29,#REF!)+#REF!</f>
        <v>#REF!</v>
      </c>
      <c r="C29" s="16" t="e">
        <f t="shared" si="5"/>
        <v>#REF!</v>
      </c>
      <c r="D29" s="16">
        <v>4</v>
      </c>
      <c r="E29" s="15" t="e">
        <f t="shared" si="6"/>
        <v>#REF!</v>
      </c>
      <c r="F29" s="1" t="s">
        <v>0</v>
      </c>
      <c r="G29" s="3"/>
      <c r="H29" s="4"/>
      <c r="I29" s="4"/>
      <c r="J29" s="4"/>
      <c r="K29" s="18" t="s">
        <v>22</v>
      </c>
      <c r="L29" s="18" t="s">
        <v>22</v>
      </c>
      <c r="M29" s="18" t="s">
        <v>31</v>
      </c>
      <c r="N29" s="18" t="s">
        <v>31</v>
      </c>
      <c r="O29" s="18">
        <v>1</v>
      </c>
      <c r="P29" s="20" t="s">
        <v>39</v>
      </c>
      <c r="R29" s="1" t="s">
        <v>0</v>
      </c>
      <c r="S29" s="3"/>
      <c r="T29" s="4"/>
      <c r="U29" s="4"/>
      <c r="V29" s="4"/>
      <c r="W29" s="18" t="s">
        <v>13</v>
      </c>
      <c r="X29" s="18" t="s">
        <v>15</v>
      </c>
      <c r="Y29" s="18">
        <v>1</v>
      </c>
      <c r="Z29" s="18" t="s">
        <v>22</v>
      </c>
      <c r="AA29" s="18">
        <v>1</v>
      </c>
      <c r="AB29" s="20" t="s">
        <v>13</v>
      </c>
      <c r="AD29" s="1" t="s">
        <v>0</v>
      </c>
      <c r="AE29" s="3"/>
      <c r="AF29" s="4"/>
      <c r="AG29" s="4"/>
      <c r="AH29" s="4"/>
      <c r="AI29" s="18" t="s">
        <v>39</v>
      </c>
      <c r="AJ29" s="18">
        <v>1</v>
      </c>
      <c r="AK29" s="18" t="s">
        <v>39</v>
      </c>
      <c r="AL29" s="18" t="s">
        <v>39</v>
      </c>
      <c r="AM29" s="18">
        <v>1</v>
      </c>
      <c r="AN29" s="20" t="s">
        <v>39</v>
      </c>
    </row>
    <row r="30" spans="1:40" outlineLevel="1" x14ac:dyDescent="0.2">
      <c r="A30" s="5" t="s">
        <v>4</v>
      </c>
      <c r="B30" s="15" t="e">
        <f>SUMIF(#REF!,A30,#REF!)+#REF!</f>
        <v>#REF!</v>
      </c>
      <c r="C30" s="16" t="e">
        <f t="shared" si="5"/>
        <v>#REF!</v>
      </c>
      <c r="D30" s="16">
        <v>5</v>
      </c>
      <c r="E30" s="15" t="e">
        <f t="shared" si="6"/>
        <v>#REF!</v>
      </c>
      <c r="F30" s="1" t="s">
        <v>4</v>
      </c>
      <c r="G30" s="3"/>
      <c r="H30" s="4"/>
      <c r="I30" s="4"/>
      <c r="J30" s="4"/>
      <c r="K30" s="4"/>
      <c r="L30" s="18" t="s">
        <v>14</v>
      </c>
      <c r="M30" s="18" t="s">
        <v>14</v>
      </c>
      <c r="N30" s="18" t="s">
        <v>23</v>
      </c>
      <c r="O30" s="18" t="s">
        <v>18</v>
      </c>
      <c r="P30" s="20" t="s">
        <v>23</v>
      </c>
      <c r="R30" s="1" t="s">
        <v>4</v>
      </c>
      <c r="S30" s="3"/>
      <c r="T30" s="4"/>
      <c r="U30" s="4"/>
      <c r="V30" s="4"/>
      <c r="W30" s="4"/>
      <c r="X30" s="18" t="s">
        <v>15</v>
      </c>
      <c r="Y30" s="18" t="s">
        <v>16</v>
      </c>
      <c r="Z30" s="18" t="s">
        <v>23</v>
      </c>
      <c r="AA30" s="18" t="s">
        <v>18</v>
      </c>
      <c r="AB30" s="20" t="s">
        <v>14</v>
      </c>
      <c r="AD30" s="1" t="s">
        <v>4</v>
      </c>
      <c r="AE30" s="3"/>
      <c r="AF30" s="4"/>
      <c r="AG30" s="4"/>
      <c r="AH30" s="4"/>
      <c r="AI30" s="4"/>
      <c r="AJ30" s="18" t="s">
        <v>41</v>
      </c>
      <c r="AK30" s="18">
        <v>1</v>
      </c>
      <c r="AL30" s="18">
        <v>1</v>
      </c>
      <c r="AM30" s="18" t="s">
        <v>36</v>
      </c>
      <c r="AN30" s="20">
        <v>1</v>
      </c>
    </row>
    <row r="31" spans="1:40" outlineLevel="1" x14ac:dyDescent="0.2">
      <c r="A31" s="5" t="s">
        <v>5</v>
      </c>
      <c r="B31" s="15" t="e">
        <f>SUMIF(#REF!,A31,#REF!)+#REF!</f>
        <v>#REF!</v>
      </c>
      <c r="C31" s="16" t="e">
        <f t="shared" si="5"/>
        <v>#REF!</v>
      </c>
      <c r="D31" s="16">
        <v>6</v>
      </c>
      <c r="E31" s="15" t="e">
        <f t="shared" si="6"/>
        <v>#REF!</v>
      </c>
      <c r="F31" s="1" t="s">
        <v>5</v>
      </c>
      <c r="G31" s="3"/>
      <c r="H31" s="4"/>
      <c r="I31" s="4"/>
      <c r="J31" s="4"/>
      <c r="K31" s="4"/>
      <c r="L31" s="4"/>
      <c r="M31" s="18" t="s">
        <v>15</v>
      </c>
      <c r="N31" s="18" t="s">
        <v>15</v>
      </c>
      <c r="O31" s="18" t="s">
        <v>27</v>
      </c>
      <c r="P31" s="20" t="s">
        <v>24</v>
      </c>
      <c r="R31" s="1" t="s">
        <v>5</v>
      </c>
      <c r="S31" s="3"/>
      <c r="T31" s="4"/>
      <c r="U31" s="4"/>
      <c r="V31" s="4"/>
      <c r="W31" s="4"/>
      <c r="X31" s="4"/>
      <c r="Y31" s="18">
        <v>1</v>
      </c>
      <c r="Z31" s="18" t="s">
        <v>15</v>
      </c>
      <c r="AA31" s="18">
        <v>1</v>
      </c>
      <c r="AB31" s="20" t="s">
        <v>24</v>
      </c>
      <c r="AD31" s="1" t="s">
        <v>5</v>
      </c>
      <c r="AE31" s="3"/>
      <c r="AF31" s="4"/>
      <c r="AG31" s="4"/>
      <c r="AH31" s="4"/>
      <c r="AI31" s="4"/>
      <c r="AJ31" s="4"/>
      <c r="AK31" s="18" t="s">
        <v>41</v>
      </c>
      <c r="AL31" s="18" t="s">
        <v>41</v>
      </c>
      <c r="AM31" s="18" t="s">
        <v>15</v>
      </c>
      <c r="AN31" s="20" t="s">
        <v>41</v>
      </c>
    </row>
    <row r="32" spans="1:40" outlineLevel="1" x14ac:dyDescent="0.2">
      <c r="A32" s="5" t="s">
        <v>6</v>
      </c>
      <c r="B32" s="15" t="e">
        <f>SUMIF(#REF!,A32,#REF!)+#REF!</f>
        <v>#REF!</v>
      </c>
      <c r="C32" s="16" t="e">
        <f t="shared" si="5"/>
        <v>#REF!</v>
      </c>
      <c r="D32" s="16">
        <v>7</v>
      </c>
      <c r="E32" s="15" t="e">
        <f t="shared" si="6"/>
        <v>#REF!</v>
      </c>
      <c r="F32" s="1" t="s">
        <v>6</v>
      </c>
      <c r="G32" s="3"/>
      <c r="H32" s="4"/>
      <c r="I32" s="4"/>
      <c r="J32" s="4"/>
      <c r="K32" s="4"/>
      <c r="L32" s="4"/>
      <c r="M32" s="4"/>
      <c r="N32" s="18">
        <v>1</v>
      </c>
      <c r="O32" s="18" t="s">
        <v>36</v>
      </c>
      <c r="P32" s="20" t="s">
        <v>16</v>
      </c>
      <c r="R32" s="1" t="s">
        <v>6</v>
      </c>
      <c r="S32" s="3"/>
      <c r="T32" s="4"/>
      <c r="U32" s="4"/>
      <c r="V32" s="4"/>
      <c r="W32" s="4"/>
      <c r="X32" s="4"/>
      <c r="Y32" s="4"/>
      <c r="Z32" s="18" t="s">
        <v>16</v>
      </c>
      <c r="AA32" s="18">
        <v>1</v>
      </c>
      <c r="AB32" s="20" t="s">
        <v>25</v>
      </c>
      <c r="AD32" s="1" t="s">
        <v>6</v>
      </c>
      <c r="AE32" s="3"/>
      <c r="AF32" s="4"/>
      <c r="AG32" s="4"/>
      <c r="AH32" s="4"/>
      <c r="AI32" s="4"/>
      <c r="AJ32" s="4"/>
      <c r="AK32" s="4"/>
      <c r="AL32" s="18">
        <v>1</v>
      </c>
      <c r="AM32" s="18" t="s">
        <v>36</v>
      </c>
      <c r="AN32" s="20">
        <v>1</v>
      </c>
    </row>
    <row r="33" spans="1:40" outlineLevel="1" x14ac:dyDescent="0.2">
      <c r="A33" s="5" t="s">
        <v>7</v>
      </c>
      <c r="B33" s="15" t="e">
        <f>SUMIF(#REF!,A33,#REF!)+#REF!</f>
        <v>#REF!</v>
      </c>
      <c r="C33" s="16" t="e">
        <f t="shared" si="5"/>
        <v>#REF!</v>
      </c>
      <c r="D33" s="16">
        <v>8</v>
      </c>
      <c r="E33" s="15" t="e">
        <f t="shared" si="6"/>
        <v>#REF!</v>
      </c>
      <c r="F33" s="1" t="s">
        <v>7</v>
      </c>
      <c r="G33" s="3"/>
      <c r="H33" s="4"/>
      <c r="I33" s="4"/>
      <c r="J33" s="4"/>
      <c r="K33" s="4"/>
      <c r="L33" s="4"/>
      <c r="M33" s="4"/>
      <c r="N33" s="4"/>
      <c r="O33" s="18" t="s">
        <v>36</v>
      </c>
      <c r="P33" s="20" t="s">
        <v>17</v>
      </c>
      <c r="R33" s="1" t="s">
        <v>7</v>
      </c>
      <c r="S33" s="3"/>
      <c r="T33" s="4"/>
      <c r="U33" s="4"/>
      <c r="V33" s="4"/>
      <c r="W33" s="4"/>
      <c r="X33" s="4"/>
      <c r="Y33" s="4"/>
      <c r="Z33" s="4"/>
      <c r="AA33" s="18">
        <v>1</v>
      </c>
      <c r="AB33" s="20" t="s">
        <v>17</v>
      </c>
      <c r="AD33" s="1" t="s">
        <v>7</v>
      </c>
      <c r="AE33" s="3"/>
      <c r="AF33" s="4"/>
      <c r="AG33" s="4"/>
      <c r="AH33" s="4"/>
      <c r="AI33" s="4"/>
      <c r="AJ33" s="4"/>
      <c r="AK33" s="4"/>
      <c r="AL33" s="4"/>
      <c r="AM33" s="18" t="s">
        <v>36</v>
      </c>
      <c r="AN33" s="20">
        <v>1</v>
      </c>
    </row>
    <row r="34" spans="1:40" outlineLevel="1" x14ac:dyDescent="0.2">
      <c r="A34" s="5" t="s">
        <v>8</v>
      </c>
      <c r="B34" s="15" t="e">
        <f>SUMIF(#REF!,A34,#REF!)+#REF!</f>
        <v>#REF!</v>
      </c>
      <c r="C34" s="16" t="e">
        <f t="shared" si="5"/>
        <v>#REF!</v>
      </c>
      <c r="D34" s="16">
        <v>9</v>
      </c>
      <c r="E34" s="15" t="e">
        <f t="shared" si="6"/>
        <v>#REF!</v>
      </c>
      <c r="F34" s="1" t="s">
        <v>8</v>
      </c>
      <c r="G34" s="3"/>
      <c r="H34" s="4"/>
      <c r="I34" s="4"/>
      <c r="J34" s="4"/>
      <c r="K34" s="4"/>
      <c r="L34" s="4"/>
      <c r="M34" s="4"/>
      <c r="N34" s="4"/>
      <c r="O34" s="4"/>
      <c r="P34" s="20" t="s">
        <v>44</v>
      </c>
      <c r="R34" s="1" t="s">
        <v>8</v>
      </c>
      <c r="S34" s="3"/>
      <c r="T34" s="4"/>
      <c r="U34" s="4"/>
      <c r="V34" s="4"/>
      <c r="W34" s="4"/>
      <c r="X34" s="4"/>
      <c r="Y34" s="4"/>
      <c r="Z34" s="4"/>
      <c r="AA34" s="4"/>
      <c r="AB34" s="20" t="s">
        <v>18</v>
      </c>
      <c r="AD34" s="1" t="s">
        <v>8</v>
      </c>
      <c r="AE34" s="3"/>
      <c r="AF34" s="4"/>
      <c r="AG34" s="4"/>
      <c r="AH34" s="4"/>
      <c r="AI34" s="4"/>
      <c r="AJ34" s="4"/>
      <c r="AK34" s="4"/>
      <c r="AL34" s="4"/>
      <c r="AM34" s="4"/>
      <c r="AN34" s="20" t="s">
        <v>36</v>
      </c>
    </row>
    <row r="35" spans="1:40" outlineLevel="1" x14ac:dyDescent="0.2">
      <c r="A35" s="6" t="s">
        <v>9</v>
      </c>
      <c r="B35" s="15" t="e">
        <f>SUMIF(#REF!,A35,#REF!)+#REF!</f>
        <v>#REF!</v>
      </c>
      <c r="C35" s="16" t="e">
        <f t="shared" si="5"/>
        <v>#REF!</v>
      </c>
      <c r="D35" s="16">
        <v>10</v>
      </c>
      <c r="E35" s="15" t="e">
        <f t="shared" si="6"/>
        <v>#REF!</v>
      </c>
      <c r="F35" s="1" t="s">
        <v>9</v>
      </c>
      <c r="G35" s="3"/>
      <c r="H35" s="4"/>
      <c r="I35" s="4"/>
      <c r="J35" s="4"/>
      <c r="K35" s="4"/>
      <c r="L35" s="4"/>
      <c r="M35" s="4"/>
      <c r="N35" s="4"/>
      <c r="O35" s="4"/>
      <c r="P35" s="4"/>
      <c r="R35" s="1" t="s">
        <v>9</v>
      </c>
      <c r="S35" s="3"/>
      <c r="T35" s="4"/>
      <c r="U35" s="4"/>
      <c r="V35" s="4"/>
      <c r="W35" s="4"/>
      <c r="X35" s="4"/>
      <c r="Y35" s="4"/>
      <c r="Z35" s="4"/>
      <c r="AA35" s="4"/>
      <c r="AB35" s="4"/>
      <c r="AD35" s="1" t="s">
        <v>9</v>
      </c>
      <c r="AE35" s="3"/>
      <c r="AF35" s="4"/>
      <c r="AG35" s="4"/>
      <c r="AH35" s="4"/>
      <c r="AI35" s="4"/>
      <c r="AJ35" s="4"/>
      <c r="AK35" s="4"/>
      <c r="AL35" s="4"/>
      <c r="AM35" s="4"/>
      <c r="AN35" s="4"/>
    </row>
    <row r="36" spans="1:40" ht="16" outlineLevel="1" thickBot="1" x14ac:dyDescent="0.25">
      <c r="A36" s="13" t="s">
        <v>59</v>
      </c>
      <c r="B36" s="14" t="s">
        <v>58</v>
      </c>
      <c r="C36" s="14"/>
      <c r="D36" s="14"/>
      <c r="E36" s="14"/>
      <c r="F36" s="12"/>
      <c r="G36" s="1" t="s">
        <v>1</v>
      </c>
      <c r="H36" s="1" t="s">
        <v>2</v>
      </c>
      <c r="I36" s="1" t="s">
        <v>3</v>
      </c>
      <c r="J36" s="1" t="s">
        <v>0</v>
      </c>
      <c r="K36" s="1" t="s">
        <v>4</v>
      </c>
      <c r="L36" s="1" t="s">
        <v>5</v>
      </c>
      <c r="M36" s="1" t="s">
        <v>6</v>
      </c>
      <c r="N36" s="1" t="s">
        <v>7</v>
      </c>
      <c r="O36" s="1" t="s">
        <v>8</v>
      </c>
      <c r="P36" s="1" t="s">
        <v>9</v>
      </c>
      <c r="R36" s="12"/>
      <c r="S36" s="1" t="s">
        <v>1</v>
      </c>
      <c r="T36" s="1" t="s">
        <v>2</v>
      </c>
      <c r="U36" s="1" t="s">
        <v>3</v>
      </c>
      <c r="V36" s="1" t="s">
        <v>0</v>
      </c>
      <c r="W36" s="1" t="s">
        <v>4</v>
      </c>
      <c r="X36" s="1" t="s">
        <v>5</v>
      </c>
      <c r="Y36" s="1" t="s">
        <v>6</v>
      </c>
      <c r="Z36" s="1" t="s">
        <v>7</v>
      </c>
      <c r="AA36" s="1" t="s">
        <v>8</v>
      </c>
      <c r="AB36" s="1" t="s">
        <v>9</v>
      </c>
      <c r="AD36" s="12"/>
      <c r="AE36" s="1" t="s">
        <v>1</v>
      </c>
      <c r="AF36" s="1" t="s">
        <v>2</v>
      </c>
      <c r="AG36" s="1" t="s">
        <v>3</v>
      </c>
      <c r="AH36" s="1" t="s">
        <v>0</v>
      </c>
      <c r="AI36" s="1" t="s">
        <v>4</v>
      </c>
      <c r="AJ36" s="1" t="s">
        <v>5</v>
      </c>
      <c r="AK36" s="1" t="s">
        <v>6</v>
      </c>
      <c r="AL36" s="1" t="s">
        <v>7</v>
      </c>
      <c r="AM36" s="1" t="s">
        <v>8</v>
      </c>
      <c r="AN36" s="1" t="s">
        <v>9</v>
      </c>
    </row>
    <row r="37" spans="1:40" outlineLevel="1" x14ac:dyDescent="0.2">
      <c r="A37" s="5" t="s">
        <v>1</v>
      </c>
      <c r="B37" s="15" t="e">
        <f>SUMIF(#REF!,A37,#REF!)+#REF!</f>
        <v>#REF!</v>
      </c>
      <c r="C37" s="16" t="e">
        <f t="shared" ref="C37:C46" si="7">LARGE($B$37:$B$46,D37)</f>
        <v>#REF!</v>
      </c>
      <c r="D37" s="16">
        <v>1</v>
      </c>
      <c r="E37" s="15" t="e">
        <f>IF(SUM(B37:B46)=0,0,D37)</f>
        <v>#REF!</v>
      </c>
      <c r="F37" s="1" t="s">
        <v>1</v>
      </c>
      <c r="G37" s="2"/>
      <c r="H37" s="17" t="s">
        <v>10</v>
      </c>
      <c r="I37" s="17" t="s">
        <v>19</v>
      </c>
      <c r="J37" s="17">
        <v>1</v>
      </c>
      <c r="K37" s="17" t="s">
        <v>14</v>
      </c>
      <c r="L37" s="17" t="s">
        <v>15</v>
      </c>
      <c r="M37" s="17" t="s">
        <v>10</v>
      </c>
      <c r="N37" s="17" t="s">
        <v>19</v>
      </c>
      <c r="O37" s="17" t="s">
        <v>10</v>
      </c>
      <c r="P37" s="19" t="s">
        <v>19</v>
      </c>
      <c r="R37" s="1" t="s">
        <v>1</v>
      </c>
      <c r="S37" s="2"/>
      <c r="T37" s="17">
        <v>1</v>
      </c>
      <c r="U37" s="17" t="s">
        <v>19</v>
      </c>
      <c r="V37" s="17" t="s">
        <v>10</v>
      </c>
      <c r="W37" s="17" t="s">
        <v>10</v>
      </c>
      <c r="X37" s="17">
        <v>1</v>
      </c>
      <c r="Y37" s="17">
        <v>1</v>
      </c>
      <c r="Z37" s="17" t="s">
        <v>10</v>
      </c>
      <c r="AA37" s="17">
        <v>1</v>
      </c>
      <c r="AB37" s="19" t="s">
        <v>19</v>
      </c>
      <c r="AD37" s="1" t="s">
        <v>1</v>
      </c>
      <c r="AE37" s="2"/>
      <c r="AF37" s="17" t="s">
        <v>19</v>
      </c>
      <c r="AG37" s="17" t="s">
        <v>10</v>
      </c>
      <c r="AH37" s="17">
        <v>1</v>
      </c>
      <c r="AI37" s="17" t="s">
        <v>10</v>
      </c>
      <c r="AJ37" s="17">
        <v>1</v>
      </c>
      <c r="AK37" s="17">
        <v>1</v>
      </c>
      <c r="AL37" s="17" t="s">
        <v>28</v>
      </c>
      <c r="AM37" s="17">
        <v>1</v>
      </c>
      <c r="AN37" s="19" t="s">
        <v>37</v>
      </c>
    </row>
    <row r="38" spans="1:40" outlineLevel="1" x14ac:dyDescent="0.2">
      <c r="A38" s="5" t="s">
        <v>2</v>
      </c>
      <c r="B38" s="15" t="e">
        <f>SUMIF(#REF!,A38,#REF!)+#REF!</f>
        <v>#REF!</v>
      </c>
      <c r="C38" s="16" t="e">
        <f t="shared" si="7"/>
        <v>#REF!</v>
      </c>
      <c r="D38" s="16">
        <v>2</v>
      </c>
      <c r="E38" s="15" t="e">
        <f>(C38/$C$37)*$E$37</f>
        <v>#REF!</v>
      </c>
      <c r="F38" s="1" t="s">
        <v>2</v>
      </c>
      <c r="G38" s="3"/>
      <c r="H38" s="4"/>
      <c r="I38" s="18" t="s">
        <v>20</v>
      </c>
      <c r="J38" s="18" t="s">
        <v>13</v>
      </c>
      <c r="K38" s="18" t="s">
        <v>14</v>
      </c>
      <c r="L38" s="18" t="s">
        <v>24</v>
      </c>
      <c r="M38" s="18">
        <v>1</v>
      </c>
      <c r="N38" s="18" t="s">
        <v>20</v>
      </c>
      <c r="O38" s="18" t="s">
        <v>20</v>
      </c>
      <c r="P38" s="20" t="s">
        <v>11</v>
      </c>
      <c r="R38" s="1" t="s">
        <v>2</v>
      </c>
      <c r="S38" s="3"/>
      <c r="T38" s="4"/>
      <c r="U38" s="18" t="s">
        <v>12</v>
      </c>
      <c r="V38" s="18" t="s">
        <v>11</v>
      </c>
      <c r="W38" s="18">
        <v>1</v>
      </c>
      <c r="X38" s="18" t="s">
        <v>15</v>
      </c>
      <c r="Y38" s="18" t="s">
        <v>16</v>
      </c>
      <c r="Z38" s="18" t="s">
        <v>11</v>
      </c>
      <c r="AA38" s="18" t="s">
        <v>27</v>
      </c>
      <c r="AB38" s="20" t="s">
        <v>20</v>
      </c>
      <c r="AD38" s="1" t="s">
        <v>2</v>
      </c>
      <c r="AE38" s="3"/>
      <c r="AF38" s="4"/>
      <c r="AG38" s="18" t="s">
        <v>12</v>
      </c>
      <c r="AH38" s="18" t="s">
        <v>22</v>
      </c>
      <c r="AI38" s="18" t="s">
        <v>14</v>
      </c>
      <c r="AJ38" s="18" t="s">
        <v>24</v>
      </c>
      <c r="AK38" s="18" t="s">
        <v>25</v>
      </c>
      <c r="AL38" s="18" t="s">
        <v>11</v>
      </c>
      <c r="AM38" s="18" t="s">
        <v>27</v>
      </c>
      <c r="AN38" s="20" t="s">
        <v>20</v>
      </c>
    </row>
    <row r="39" spans="1:40" outlineLevel="1" x14ac:dyDescent="0.2">
      <c r="A39" s="5" t="s">
        <v>3</v>
      </c>
      <c r="B39" s="15" t="e">
        <f>SUMIF(#REF!,A39,#REF!)+#REF!</f>
        <v>#REF!</v>
      </c>
      <c r="C39" s="16" t="e">
        <f t="shared" si="7"/>
        <v>#REF!</v>
      </c>
      <c r="D39" s="16">
        <v>3</v>
      </c>
      <c r="E39" s="15" t="e">
        <f t="shared" ref="E39:E46" si="8">(C39/$C$37)*$E$37</f>
        <v>#REF!</v>
      </c>
      <c r="F39" s="1" t="s">
        <v>3</v>
      </c>
      <c r="G39" s="3"/>
      <c r="H39" s="4"/>
      <c r="I39" s="4"/>
      <c r="J39" s="18" t="s">
        <v>22</v>
      </c>
      <c r="K39" s="18" t="s">
        <v>14</v>
      </c>
      <c r="L39" s="18" t="s">
        <v>33</v>
      </c>
      <c r="M39" s="18" t="s">
        <v>25</v>
      </c>
      <c r="N39" s="18" t="s">
        <v>12</v>
      </c>
      <c r="O39" s="18">
        <v>1</v>
      </c>
      <c r="P39" s="20" t="s">
        <v>53</v>
      </c>
      <c r="R39" s="1" t="s">
        <v>3</v>
      </c>
      <c r="S39" s="3"/>
      <c r="T39" s="4"/>
      <c r="U39" s="4"/>
      <c r="V39" s="18" t="s">
        <v>13</v>
      </c>
      <c r="W39" s="18">
        <v>1</v>
      </c>
      <c r="X39" s="18" t="s">
        <v>15</v>
      </c>
      <c r="Y39" s="18" t="s">
        <v>16</v>
      </c>
      <c r="Z39" s="18" t="s">
        <v>21</v>
      </c>
      <c r="AA39" s="18" t="s">
        <v>18</v>
      </c>
      <c r="AB39" s="20">
        <v>1</v>
      </c>
      <c r="AD39" s="1" t="s">
        <v>3</v>
      </c>
      <c r="AE39" s="3"/>
      <c r="AF39" s="4"/>
      <c r="AG39" s="4"/>
      <c r="AH39" s="18" t="s">
        <v>13</v>
      </c>
      <c r="AI39" s="18">
        <v>1</v>
      </c>
      <c r="AJ39" s="18" t="s">
        <v>15</v>
      </c>
      <c r="AK39" s="18" t="s">
        <v>16</v>
      </c>
      <c r="AL39" s="18" t="s">
        <v>21</v>
      </c>
      <c r="AM39" s="18" t="s">
        <v>18</v>
      </c>
      <c r="AN39" s="20" t="s">
        <v>30</v>
      </c>
    </row>
    <row r="40" spans="1:40" outlineLevel="1" x14ac:dyDescent="0.2">
      <c r="A40" s="5" t="s">
        <v>0</v>
      </c>
      <c r="B40" s="15" t="e">
        <f>SUMIF(#REF!,A40,#REF!)+#REF!</f>
        <v>#REF!</v>
      </c>
      <c r="C40" s="16" t="e">
        <f t="shared" si="7"/>
        <v>#REF!</v>
      </c>
      <c r="D40" s="16">
        <v>4</v>
      </c>
      <c r="E40" s="15" t="e">
        <f t="shared" si="8"/>
        <v>#REF!</v>
      </c>
      <c r="F40" s="1" t="s">
        <v>0</v>
      </c>
      <c r="G40" s="3"/>
      <c r="H40" s="4"/>
      <c r="I40" s="4"/>
      <c r="J40" s="4"/>
      <c r="K40" s="18">
        <v>1</v>
      </c>
      <c r="L40" s="18" t="s">
        <v>15</v>
      </c>
      <c r="M40" s="18" t="s">
        <v>13</v>
      </c>
      <c r="N40" s="18" t="s">
        <v>31</v>
      </c>
      <c r="O40" s="18" t="s">
        <v>22</v>
      </c>
      <c r="P40" s="20" t="s">
        <v>31</v>
      </c>
      <c r="R40" s="1" t="s">
        <v>0</v>
      </c>
      <c r="S40" s="3"/>
      <c r="T40" s="4"/>
      <c r="U40" s="4"/>
      <c r="V40" s="4"/>
      <c r="W40" s="18" t="s">
        <v>13</v>
      </c>
      <c r="X40" s="18">
        <v>1</v>
      </c>
      <c r="Y40" s="18">
        <v>1</v>
      </c>
      <c r="Z40" s="18" t="s">
        <v>13</v>
      </c>
      <c r="AA40" s="18">
        <v>1</v>
      </c>
      <c r="AB40" s="20" t="s">
        <v>22</v>
      </c>
      <c r="AD40" s="1" t="s">
        <v>0</v>
      </c>
      <c r="AE40" s="3"/>
      <c r="AF40" s="4"/>
      <c r="AG40" s="4"/>
      <c r="AH40" s="4"/>
      <c r="AI40" s="18" t="s">
        <v>13</v>
      </c>
      <c r="AJ40" s="18">
        <v>1</v>
      </c>
      <c r="AK40" s="18">
        <v>1</v>
      </c>
      <c r="AL40" s="18" t="s">
        <v>31</v>
      </c>
      <c r="AM40" s="18">
        <v>1</v>
      </c>
      <c r="AN40" s="20" t="s">
        <v>39</v>
      </c>
    </row>
    <row r="41" spans="1:40" outlineLevel="1" x14ac:dyDescent="0.2">
      <c r="A41" s="5" t="s">
        <v>4</v>
      </c>
      <c r="B41" s="15" t="e">
        <f>SUMIF(#REF!,A41,#REF!)+#REF!</f>
        <v>#REF!</v>
      </c>
      <c r="C41" s="16" t="e">
        <f t="shared" si="7"/>
        <v>#REF!</v>
      </c>
      <c r="D41" s="16">
        <v>5</v>
      </c>
      <c r="E41" s="15" t="e">
        <f t="shared" si="8"/>
        <v>#REF!</v>
      </c>
      <c r="F41" s="1" t="s">
        <v>4</v>
      </c>
      <c r="G41" s="3"/>
      <c r="H41" s="4"/>
      <c r="I41" s="4"/>
      <c r="J41" s="4"/>
      <c r="K41" s="4"/>
      <c r="L41" s="18">
        <v>1</v>
      </c>
      <c r="M41" s="18" t="s">
        <v>14</v>
      </c>
      <c r="N41" s="18" t="s">
        <v>23</v>
      </c>
      <c r="O41" s="18" t="s">
        <v>14</v>
      </c>
      <c r="P41" s="20" t="s">
        <v>14</v>
      </c>
      <c r="R41" s="1" t="s">
        <v>4</v>
      </c>
      <c r="S41" s="3"/>
      <c r="T41" s="4"/>
      <c r="U41" s="4"/>
      <c r="V41" s="4"/>
      <c r="W41" s="4"/>
      <c r="X41" s="18" t="s">
        <v>15</v>
      </c>
      <c r="Y41" s="18" t="s">
        <v>16</v>
      </c>
      <c r="Z41" s="18" t="s">
        <v>23</v>
      </c>
      <c r="AA41" s="18" t="s">
        <v>18</v>
      </c>
      <c r="AB41" s="20" t="s">
        <v>23</v>
      </c>
      <c r="AD41" s="1" t="s">
        <v>4</v>
      </c>
      <c r="AE41" s="3"/>
      <c r="AF41" s="4"/>
      <c r="AG41" s="4"/>
      <c r="AH41" s="4"/>
      <c r="AI41" s="4"/>
      <c r="AJ41" s="18" t="s">
        <v>15</v>
      </c>
      <c r="AK41" s="18" t="s">
        <v>16</v>
      </c>
      <c r="AL41" s="18" t="s">
        <v>23</v>
      </c>
      <c r="AM41" s="18" t="s">
        <v>18</v>
      </c>
      <c r="AN41" s="20" t="s">
        <v>32</v>
      </c>
    </row>
    <row r="42" spans="1:40" outlineLevel="1" x14ac:dyDescent="0.2">
      <c r="A42" s="5" t="s">
        <v>5</v>
      </c>
      <c r="B42" s="15" t="e">
        <f>SUMIF(#REF!,A42,#REF!)+#REF!</f>
        <v>#REF!</v>
      </c>
      <c r="C42" s="16" t="e">
        <f t="shared" si="7"/>
        <v>#REF!</v>
      </c>
      <c r="D42" s="16">
        <v>6</v>
      </c>
      <c r="E42" s="15" t="e">
        <f t="shared" si="8"/>
        <v>#REF!</v>
      </c>
      <c r="F42" s="1" t="s">
        <v>5</v>
      </c>
      <c r="G42" s="3"/>
      <c r="H42" s="4"/>
      <c r="I42" s="4"/>
      <c r="J42" s="4"/>
      <c r="K42" s="4"/>
      <c r="L42" s="4"/>
      <c r="M42" s="18" t="s">
        <v>24</v>
      </c>
      <c r="N42" s="18" t="s">
        <v>41</v>
      </c>
      <c r="O42" s="18" t="s">
        <v>33</v>
      </c>
      <c r="P42" s="20" t="s">
        <v>24</v>
      </c>
      <c r="R42" s="1" t="s">
        <v>5</v>
      </c>
      <c r="S42" s="3"/>
      <c r="T42" s="4"/>
      <c r="U42" s="4"/>
      <c r="V42" s="4"/>
      <c r="W42" s="4"/>
      <c r="X42" s="4"/>
      <c r="Y42" s="18">
        <v>1</v>
      </c>
      <c r="Z42" s="18" t="s">
        <v>24</v>
      </c>
      <c r="AA42" s="18">
        <v>1</v>
      </c>
      <c r="AB42" s="20" t="s">
        <v>24</v>
      </c>
      <c r="AD42" s="1" t="s">
        <v>5</v>
      </c>
      <c r="AE42" s="3"/>
      <c r="AF42" s="4"/>
      <c r="AG42" s="4"/>
      <c r="AH42" s="4"/>
      <c r="AI42" s="4"/>
      <c r="AJ42" s="4"/>
      <c r="AK42" s="18">
        <v>1</v>
      </c>
      <c r="AL42" s="18" t="s">
        <v>33</v>
      </c>
      <c r="AM42" s="18">
        <v>1</v>
      </c>
      <c r="AN42" s="20" t="s">
        <v>41</v>
      </c>
    </row>
    <row r="43" spans="1:40" outlineLevel="1" x14ac:dyDescent="0.2">
      <c r="A43" s="5" t="s">
        <v>6</v>
      </c>
      <c r="B43" s="15" t="e">
        <f>SUMIF(#REF!,A43,#REF!)+#REF!</f>
        <v>#REF!</v>
      </c>
      <c r="C43" s="16" t="e">
        <f t="shared" si="7"/>
        <v>#REF!</v>
      </c>
      <c r="D43" s="16">
        <v>7</v>
      </c>
      <c r="E43" s="15" t="e">
        <f t="shared" si="8"/>
        <v>#REF!</v>
      </c>
      <c r="F43" s="1" t="s">
        <v>6</v>
      </c>
      <c r="G43" s="3"/>
      <c r="H43" s="4"/>
      <c r="I43" s="4"/>
      <c r="J43" s="4"/>
      <c r="K43" s="4"/>
      <c r="L43" s="4"/>
      <c r="M43" s="4"/>
      <c r="N43" s="18" t="s">
        <v>34</v>
      </c>
      <c r="O43" s="18" t="s">
        <v>25</v>
      </c>
      <c r="P43" s="20" t="s">
        <v>16</v>
      </c>
      <c r="R43" s="1" t="s">
        <v>6</v>
      </c>
      <c r="S43" s="3"/>
      <c r="T43" s="4"/>
      <c r="U43" s="4"/>
      <c r="V43" s="4"/>
      <c r="W43" s="4"/>
      <c r="X43" s="4"/>
      <c r="Y43" s="4"/>
      <c r="Z43" s="18" t="s">
        <v>25</v>
      </c>
      <c r="AA43" s="18">
        <v>1</v>
      </c>
      <c r="AB43" s="20" t="s">
        <v>25</v>
      </c>
      <c r="AD43" s="1" t="s">
        <v>6</v>
      </c>
      <c r="AE43" s="3"/>
      <c r="AF43" s="4"/>
      <c r="AG43" s="4"/>
      <c r="AH43" s="4"/>
      <c r="AI43" s="4"/>
      <c r="AJ43" s="4"/>
      <c r="AK43" s="4"/>
      <c r="AL43" s="18" t="s">
        <v>34</v>
      </c>
      <c r="AM43" s="18">
        <v>1</v>
      </c>
      <c r="AN43" s="20" t="s">
        <v>42</v>
      </c>
    </row>
    <row r="44" spans="1:40" outlineLevel="1" x14ac:dyDescent="0.2">
      <c r="A44" s="5" t="s">
        <v>7</v>
      </c>
      <c r="B44" s="15" t="e">
        <f>SUMIF(#REF!,A44,#REF!)+#REF!</f>
        <v>#REF!</v>
      </c>
      <c r="C44" s="16" t="e">
        <f t="shared" si="7"/>
        <v>#REF!</v>
      </c>
      <c r="D44" s="16">
        <v>8</v>
      </c>
      <c r="E44" s="15" t="e">
        <f t="shared" si="8"/>
        <v>#REF!</v>
      </c>
      <c r="F44" s="1" t="s">
        <v>7</v>
      </c>
      <c r="G44" s="3"/>
      <c r="H44" s="4"/>
      <c r="I44" s="4"/>
      <c r="J44" s="4"/>
      <c r="K44" s="4"/>
      <c r="L44" s="4"/>
      <c r="M44" s="4"/>
      <c r="N44" s="4"/>
      <c r="O44" s="18" t="s">
        <v>18</v>
      </c>
      <c r="P44" s="20" t="s">
        <v>54</v>
      </c>
      <c r="R44" s="1" t="s">
        <v>7</v>
      </c>
      <c r="S44" s="3"/>
      <c r="T44" s="4"/>
      <c r="U44" s="4"/>
      <c r="V44" s="4"/>
      <c r="W44" s="4"/>
      <c r="X44" s="4"/>
      <c r="Y44" s="4"/>
      <c r="Z44" s="4"/>
      <c r="AA44" s="18">
        <v>1</v>
      </c>
      <c r="AB44" s="20" t="s">
        <v>17</v>
      </c>
      <c r="AD44" s="1" t="s">
        <v>7</v>
      </c>
      <c r="AE44" s="3"/>
      <c r="AF44" s="4"/>
      <c r="AG44" s="4"/>
      <c r="AH44" s="4"/>
      <c r="AI44" s="4"/>
      <c r="AJ44" s="4"/>
      <c r="AK44" s="4"/>
      <c r="AL44" s="4"/>
      <c r="AM44" s="18" t="s">
        <v>36</v>
      </c>
      <c r="AN44" s="20" t="s">
        <v>17</v>
      </c>
    </row>
    <row r="45" spans="1:40" outlineLevel="1" x14ac:dyDescent="0.2">
      <c r="A45" s="5" t="s">
        <v>8</v>
      </c>
      <c r="B45" s="15" t="e">
        <f>SUMIF(#REF!,A45,#REF!)+#REF!</f>
        <v>#REF!</v>
      </c>
      <c r="C45" s="16" t="e">
        <f t="shared" si="7"/>
        <v>#REF!</v>
      </c>
      <c r="D45" s="16">
        <v>9</v>
      </c>
      <c r="E45" s="15" t="e">
        <f t="shared" si="8"/>
        <v>#REF!</v>
      </c>
      <c r="F45" s="1" t="s">
        <v>8</v>
      </c>
      <c r="G45" s="3"/>
      <c r="H45" s="4"/>
      <c r="I45" s="4"/>
      <c r="J45" s="4"/>
      <c r="K45" s="4"/>
      <c r="L45" s="4"/>
      <c r="M45" s="4"/>
      <c r="N45" s="4"/>
      <c r="O45" s="4"/>
      <c r="P45" s="20" t="s">
        <v>53</v>
      </c>
      <c r="R45" s="1" t="s">
        <v>8</v>
      </c>
      <c r="S45" s="3"/>
      <c r="T45" s="4"/>
      <c r="U45" s="4"/>
      <c r="V45" s="4"/>
      <c r="W45" s="4"/>
      <c r="X45" s="4"/>
      <c r="Y45" s="4"/>
      <c r="Z45" s="4"/>
      <c r="AA45" s="4"/>
      <c r="AB45" s="20" t="s">
        <v>27</v>
      </c>
      <c r="AD45" s="1" t="s">
        <v>8</v>
      </c>
      <c r="AE45" s="3"/>
      <c r="AF45" s="4"/>
      <c r="AG45" s="4"/>
      <c r="AH45" s="4"/>
      <c r="AI45" s="4"/>
      <c r="AJ45" s="4"/>
      <c r="AK45" s="4"/>
      <c r="AL45" s="4"/>
      <c r="AM45" s="4"/>
      <c r="AN45" s="20" t="s">
        <v>44</v>
      </c>
    </row>
    <row r="46" spans="1:40" outlineLevel="1" x14ac:dyDescent="0.2">
      <c r="A46" s="6" t="s">
        <v>9</v>
      </c>
      <c r="B46" s="15" t="e">
        <f>SUMIF(#REF!,A46,#REF!)+#REF!</f>
        <v>#REF!</v>
      </c>
      <c r="C46" s="16" t="e">
        <f t="shared" si="7"/>
        <v>#REF!</v>
      </c>
      <c r="D46" s="16">
        <v>10</v>
      </c>
      <c r="E46" s="15" t="e">
        <f t="shared" si="8"/>
        <v>#REF!</v>
      </c>
      <c r="F46" s="1" t="s">
        <v>9</v>
      </c>
      <c r="G46" s="3"/>
      <c r="H46" s="4"/>
      <c r="I46" s="4"/>
      <c r="J46" s="4"/>
      <c r="K46" s="4"/>
      <c r="L46" s="4"/>
      <c r="M46" s="4"/>
      <c r="N46" s="4"/>
      <c r="O46" s="4"/>
      <c r="P46" s="4"/>
      <c r="R46" s="1" t="s">
        <v>9</v>
      </c>
      <c r="S46" s="3"/>
      <c r="T46" s="4"/>
      <c r="U46" s="4"/>
      <c r="V46" s="4"/>
      <c r="W46" s="4"/>
      <c r="X46" s="4"/>
      <c r="Y46" s="4"/>
      <c r="Z46" s="4"/>
      <c r="AA46" s="4"/>
      <c r="AB46" s="4"/>
      <c r="AD46" s="1" t="s">
        <v>9</v>
      </c>
      <c r="AE46" s="3"/>
      <c r="AF46" s="4"/>
      <c r="AG46" s="4"/>
      <c r="AH46" s="4"/>
      <c r="AI46" s="4"/>
      <c r="AJ46" s="4"/>
      <c r="AK46" s="4"/>
      <c r="AL46" s="4"/>
      <c r="AM46" s="4"/>
      <c r="AN46" s="4"/>
    </row>
    <row r="47" spans="1:40" ht="16" outlineLevel="1" thickBot="1" x14ac:dyDescent="0.25">
      <c r="A47" s="13" t="s">
        <v>59</v>
      </c>
      <c r="B47" s="14" t="s">
        <v>58</v>
      </c>
      <c r="C47" s="14"/>
      <c r="D47" s="14"/>
      <c r="E47" s="14"/>
      <c r="F47" s="12"/>
      <c r="G47" s="1" t="s">
        <v>1</v>
      </c>
      <c r="H47" s="1" t="s">
        <v>2</v>
      </c>
      <c r="I47" s="1" t="s">
        <v>3</v>
      </c>
      <c r="J47" s="1" t="s">
        <v>0</v>
      </c>
      <c r="K47" s="1" t="s">
        <v>4</v>
      </c>
      <c r="L47" s="1" t="s">
        <v>5</v>
      </c>
      <c r="M47" s="1" t="s">
        <v>6</v>
      </c>
      <c r="N47" s="1" t="s">
        <v>7</v>
      </c>
      <c r="O47" s="1" t="s">
        <v>8</v>
      </c>
      <c r="P47" s="1" t="s">
        <v>9</v>
      </c>
      <c r="R47" s="12"/>
      <c r="S47" s="1" t="s">
        <v>1</v>
      </c>
      <c r="T47" s="1" t="s">
        <v>2</v>
      </c>
      <c r="U47" s="1" t="s">
        <v>3</v>
      </c>
      <c r="V47" s="1" t="s">
        <v>0</v>
      </c>
      <c r="W47" s="1" t="s">
        <v>4</v>
      </c>
      <c r="X47" s="1" t="s">
        <v>5</v>
      </c>
      <c r="Y47" s="1" t="s">
        <v>6</v>
      </c>
      <c r="Z47" s="1" t="s">
        <v>7</v>
      </c>
      <c r="AA47" s="1" t="s">
        <v>8</v>
      </c>
      <c r="AB47" s="1" t="s">
        <v>9</v>
      </c>
      <c r="AD47" s="12"/>
      <c r="AE47" s="1" t="s">
        <v>1</v>
      </c>
      <c r="AF47" s="1" t="s">
        <v>2</v>
      </c>
      <c r="AG47" s="1" t="s">
        <v>3</v>
      </c>
      <c r="AH47" s="1" t="s">
        <v>0</v>
      </c>
      <c r="AI47" s="1" t="s">
        <v>4</v>
      </c>
      <c r="AJ47" s="1" t="s">
        <v>5</v>
      </c>
      <c r="AK47" s="1" t="s">
        <v>6</v>
      </c>
      <c r="AL47" s="1" t="s">
        <v>7</v>
      </c>
      <c r="AM47" s="1" t="s">
        <v>8</v>
      </c>
      <c r="AN47" s="1" t="s">
        <v>9</v>
      </c>
    </row>
    <row r="48" spans="1:40" outlineLevel="1" x14ac:dyDescent="0.2">
      <c r="A48" s="5" t="s">
        <v>1</v>
      </c>
      <c r="B48" s="15" t="e">
        <f>SUMIF(#REF!,A48,#REF!)+#REF!</f>
        <v>#REF!</v>
      </c>
      <c r="C48" s="16" t="e">
        <f t="shared" ref="C48:C57" si="9">LARGE($B$48:$B$57,D48)</f>
        <v>#REF!</v>
      </c>
      <c r="D48" s="16">
        <v>1</v>
      </c>
      <c r="E48" s="15" t="e">
        <f>IF(SUM(B48:B57)=0,0,D48)</f>
        <v>#REF!</v>
      </c>
      <c r="F48" s="1" t="s">
        <v>1</v>
      </c>
      <c r="G48" s="2"/>
      <c r="H48" s="17" t="s">
        <v>10</v>
      </c>
      <c r="I48" s="17" t="s">
        <v>19</v>
      </c>
      <c r="J48" s="17">
        <v>1</v>
      </c>
      <c r="K48" s="17" t="s">
        <v>10</v>
      </c>
      <c r="L48" s="17" t="s">
        <v>10</v>
      </c>
      <c r="M48" s="17" t="s">
        <v>19</v>
      </c>
      <c r="N48" s="17" t="s">
        <v>10</v>
      </c>
      <c r="O48" s="17" t="s">
        <v>10</v>
      </c>
      <c r="P48" s="19" t="s">
        <v>19</v>
      </c>
      <c r="R48" s="1" t="s">
        <v>1</v>
      </c>
      <c r="S48" s="2"/>
      <c r="T48" s="17">
        <v>1</v>
      </c>
      <c r="U48" s="17" t="s">
        <v>19</v>
      </c>
      <c r="V48" s="17">
        <v>1</v>
      </c>
      <c r="W48" s="17" t="s">
        <v>10</v>
      </c>
      <c r="X48" s="17">
        <v>1</v>
      </c>
      <c r="Y48" s="17" t="s">
        <v>10</v>
      </c>
      <c r="Z48" s="17">
        <v>1</v>
      </c>
      <c r="AA48" s="17" t="s">
        <v>10</v>
      </c>
      <c r="AB48" s="19" t="s">
        <v>10</v>
      </c>
      <c r="AD48" s="1" t="s">
        <v>1</v>
      </c>
      <c r="AE48" s="2"/>
      <c r="AF48" s="17" t="s">
        <v>28</v>
      </c>
      <c r="AG48" s="17" t="s">
        <v>45</v>
      </c>
      <c r="AH48" s="17">
        <v>1</v>
      </c>
      <c r="AI48" s="17" t="s">
        <v>10</v>
      </c>
      <c r="AJ48" s="17">
        <v>1</v>
      </c>
      <c r="AK48" s="17" t="s">
        <v>19</v>
      </c>
      <c r="AL48" s="17" t="s">
        <v>10</v>
      </c>
      <c r="AM48" s="17" t="s">
        <v>19</v>
      </c>
      <c r="AN48" s="19" t="s">
        <v>19</v>
      </c>
    </row>
    <row r="49" spans="1:40" outlineLevel="1" x14ac:dyDescent="0.2">
      <c r="A49" s="5" t="s">
        <v>2</v>
      </c>
      <c r="B49" s="15" t="e">
        <f>SUMIF(#REF!,A49,#REF!)+#REF!</f>
        <v>#REF!</v>
      </c>
      <c r="C49" s="16" t="e">
        <f t="shared" si="9"/>
        <v>#REF!</v>
      </c>
      <c r="D49" s="16">
        <v>2</v>
      </c>
      <c r="E49" s="15" t="e">
        <f>(C49/$C$48)*$E$48</f>
        <v>#REF!</v>
      </c>
      <c r="F49" s="1" t="s">
        <v>2</v>
      </c>
      <c r="G49" s="3"/>
      <c r="H49" s="4"/>
      <c r="I49" s="18" t="s">
        <v>20</v>
      </c>
      <c r="J49" s="18" t="s">
        <v>13</v>
      </c>
      <c r="K49" s="18">
        <v>1</v>
      </c>
      <c r="L49" s="18" t="s">
        <v>11</v>
      </c>
      <c r="M49" s="18" t="s">
        <v>11</v>
      </c>
      <c r="N49" s="18">
        <v>1</v>
      </c>
      <c r="O49" s="18">
        <v>1</v>
      </c>
      <c r="P49" s="20" t="s">
        <v>11</v>
      </c>
      <c r="R49" s="1" t="s">
        <v>2</v>
      </c>
      <c r="S49" s="3"/>
      <c r="T49" s="4"/>
      <c r="U49" s="18" t="s">
        <v>20</v>
      </c>
      <c r="V49" s="18" t="s">
        <v>11</v>
      </c>
      <c r="W49" s="18" t="s">
        <v>14</v>
      </c>
      <c r="X49" s="18" t="s">
        <v>15</v>
      </c>
      <c r="Y49" s="18">
        <v>1</v>
      </c>
      <c r="Z49" s="18" t="s">
        <v>17</v>
      </c>
      <c r="AA49" s="18">
        <v>1</v>
      </c>
      <c r="AB49" s="20">
        <v>1</v>
      </c>
      <c r="AD49" s="1" t="s">
        <v>2</v>
      </c>
      <c r="AE49" s="3"/>
      <c r="AF49" s="4"/>
      <c r="AG49" s="18" t="s">
        <v>29</v>
      </c>
      <c r="AH49" s="18" t="s">
        <v>22</v>
      </c>
      <c r="AI49" s="18" t="s">
        <v>23</v>
      </c>
      <c r="AJ49" s="18" t="s">
        <v>41</v>
      </c>
      <c r="AK49" s="18">
        <v>1</v>
      </c>
      <c r="AL49" s="18" t="s">
        <v>17</v>
      </c>
      <c r="AM49" s="18">
        <v>1</v>
      </c>
      <c r="AN49" s="20" t="s">
        <v>53</v>
      </c>
    </row>
    <row r="50" spans="1:40" outlineLevel="1" x14ac:dyDescent="0.2">
      <c r="A50" s="5" t="s">
        <v>3</v>
      </c>
      <c r="B50" s="15" t="e">
        <f>SUMIF(#REF!,A50,#REF!)+#REF!</f>
        <v>#REF!</v>
      </c>
      <c r="C50" s="16" t="e">
        <f t="shared" si="9"/>
        <v>#REF!</v>
      </c>
      <c r="D50" s="16">
        <v>3</v>
      </c>
      <c r="E50" s="15" t="e">
        <f t="shared" ref="E50:E57" si="10">(C50/$C$48)*$E$48</f>
        <v>#REF!</v>
      </c>
      <c r="F50" s="1" t="s">
        <v>3</v>
      </c>
      <c r="G50" s="3"/>
      <c r="H50" s="4"/>
      <c r="I50" s="4"/>
      <c r="J50" s="18" t="s">
        <v>39</v>
      </c>
      <c r="K50" s="18" t="s">
        <v>23</v>
      </c>
      <c r="L50" s="18" t="s">
        <v>24</v>
      </c>
      <c r="M50" s="18" t="s">
        <v>16</v>
      </c>
      <c r="N50" s="18" t="s">
        <v>26</v>
      </c>
      <c r="O50" s="18" t="s">
        <v>27</v>
      </c>
      <c r="P50" s="20" t="s">
        <v>53</v>
      </c>
      <c r="R50" s="1" t="s">
        <v>3</v>
      </c>
      <c r="S50" s="3"/>
      <c r="T50" s="4"/>
      <c r="U50" s="4"/>
      <c r="V50" s="18" t="s">
        <v>22</v>
      </c>
      <c r="W50" s="18" t="s">
        <v>23</v>
      </c>
      <c r="X50" s="18" t="s">
        <v>24</v>
      </c>
      <c r="Y50" s="18" t="s">
        <v>16</v>
      </c>
      <c r="Z50" s="18" t="s">
        <v>26</v>
      </c>
      <c r="AA50" s="18" t="s">
        <v>27</v>
      </c>
      <c r="AB50" s="20" t="s">
        <v>54</v>
      </c>
      <c r="AD50" s="1" t="s">
        <v>3</v>
      </c>
      <c r="AE50" s="3"/>
      <c r="AF50" s="4"/>
      <c r="AG50" s="4"/>
      <c r="AH50" s="18" t="s">
        <v>48</v>
      </c>
      <c r="AI50" s="18" t="s">
        <v>40</v>
      </c>
      <c r="AJ50" s="18" t="s">
        <v>50</v>
      </c>
      <c r="AK50" s="18" t="s">
        <v>34</v>
      </c>
      <c r="AL50" s="18" t="s">
        <v>35</v>
      </c>
      <c r="AM50" s="18" t="s">
        <v>36</v>
      </c>
      <c r="AN50" s="20" t="s">
        <v>55</v>
      </c>
    </row>
    <row r="51" spans="1:40" outlineLevel="1" x14ac:dyDescent="0.2">
      <c r="A51" s="5" t="s">
        <v>0</v>
      </c>
      <c r="B51" s="15" t="e">
        <f>SUMIF(#REF!,A51,#REF!)+#REF!</f>
        <v>#REF!</v>
      </c>
      <c r="C51" s="16" t="e">
        <f t="shared" si="9"/>
        <v>#REF!</v>
      </c>
      <c r="D51" s="16">
        <v>4</v>
      </c>
      <c r="E51" s="15" t="e">
        <f t="shared" si="10"/>
        <v>#REF!</v>
      </c>
      <c r="F51" s="1" t="s">
        <v>0</v>
      </c>
      <c r="G51" s="3"/>
      <c r="H51" s="4"/>
      <c r="I51" s="4"/>
      <c r="J51" s="4"/>
      <c r="K51" s="18" t="s">
        <v>13</v>
      </c>
      <c r="L51" s="18" t="s">
        <v>13</v>
      </c>
      <c r="M51" s="18" t="s">
        <v>22</v>
      </c>
      <c r="N51" s="18" t="s">
        <v>13</v>
      </c>
      <c r="O51" s="18" t="s">
        <v>31</v>
      </c>
      <c r="P51" s="20" t="s">
        <v>22</v>
      </c>
      <c r="R51" s="1" t="s">
        <v>0</v>
      </c>
      <c r="S51" s="3"/>
      <c r="T51" s="4"/>
      <c r="U51" s="4"/>
      <c r="V51" s="4"/>
      <c r="W51" s="18" t="s">
        <v>23</v>
      </c>
      <c r="X51" s="18" t="s">
        <v>24</v>
      </c>
      <c r="Y51" s="18" t="s">
        <v>25</v>
      </c>
      <c r="Z51" s="18" t="s">
        <v>22</v>
      </c>
      <c r="AA51" s="18" t="s">
        <v>22</v>
      </c>
      <c r="AB51" s="20" t="s">
        <v>13</v>
      </c>
      <c r="AD51" s="1" t="s">
        <v>0</v>
      </c>
      <c r="AE51" s="3"/>
      <c r="AF51" s="4"/>
      <c r="AG51" s="4"/>
      <c r="AH51" s="4"/>
      <c r="AI51" s="18" t="s">
        <v>13</v>
      </c>
      <c r="AJ51" s="18">
        <v>1</v>
      </c>
      <c r="AK51" s="18" t="s">
        <v>22</v>
      </c>
      <c r="AL51" s="18" t="s">
        <v>13</v>
      </c>
      <c r="AM51" s="18" t="s">
        <v>31</v>
      </c>
      <c r="AN51" s="20" t="s">
        <v>22</v>
      </c>
    </row>
    <row r="52" spans="1:40" outlineLevel="1" x14ac:dyDescent="0.2">
      <c r="A52" s="5" t="s">
        <v>4</v>
      </c>
      <c r="B52" s="15" t="e">
        <f>SUMIF(#REF!,A52,#REF!)+#REF!</f>
        <v>#REF!</v>
      </c>
      <c r="C52" s="16" t="e">
        <f t="shared" si="9"/>
        <v>#REF!</v>
      </c>
      <c r="D52" s="16">
        <v>5</v>
      </c>
      <c r="E52" s="15" t="e">
        <f t="shared" si="10"/>
        <v>#REF!</v>
      </c>
      <c r="F52" s="1" t="s">
        <v>4</v>
      </c>
      <c r="G52" s="3"/>
      <c r="H52" s="4"/>
      <c r="I52" s="4"/>
      <c r="J52" s="4"/>
      <c r="K52" s="4"/>
      <c r="L52" s="18" t="s">
        <v>14</v>
      </c>
      <c r="M52" s="18" t="s">
        <v>23</v>
      </c>
      <c r="N52" s="18" t="s">
        <v>14</v>
      </c>
      <c r="O52" s="18">
        <v>1</v>
      </c>
      <c r="P52" s="20" t="s">
        <v>23</v>
      </c>
      <c r="R52" s="1" t="s">
        <v>4</v>
      </c>
      <c r="S52" s="3"/>
      <c r="T52" s="4"/>
      <c r="U52" s="4"/>
      <c r="V52" s="4"/>
      <c r="W52" s="4"/>
      <c r="X52" s="18">
        <v>1</v>
      </c>
      <c r="Y52" s="18" t="s">
        <v>23</v>
      </c>
      <c r="Z52" s="18" t="s">
        <v>14</v>
      </c>
      <c r="AA52" s="18" t="s">
        <v>14</v>
      </c>
      <c r="AB52" s="20" t="s">
        <v>14</v>
      </c>
      <c r="AD52" s="1" t="s">
        <v>4</v>
      </c>
      <c r="AE52" s="3"/>
      <c r="AF52" s="4"/>
      <c r="AG52" s="4"/>
      <c r="AH52" s="4"/>
      <c r="AI52" s="4"/>
      <c r="AJ52" s="18" t="s">
        <v>15</v>
      </c>
      <c r="AK52" s="18" t="s">
        <v>23</v>
      </c>
      <c r="AL52" s="18" t="s">
        <v>14</v>
      </c>
      <c r="AM52" s="18" t="s">
        <v>14</v>
      </c>
      <c r="AN52" s="20" t="s">
        <v>14</v>
      </c>
    </row>
    <row r="53" spans="1:40" outlineLevel="1" x14ac:dyDescent="0.2">
      <c r="A53" s="5" t="s">
        <v>5</v>
      </c>
      <c r="B53" s="15" t="e">
        <f>SUMIF(#REF!,A53,#REF!)+#REF!</f>
        <v>#REF!</v>
      </c>
      <c r="C53" s="16" t="e">
        <f t="shared" si="9"/>
        <v>#REF!</v>
      </c>
      <c r="D53" s="16">
        <v>6</v>
      </c>
      <c r="E53" s="15" t="e">
        <f>(C53/$C$48)*$E$48</f>
        <v>#REF!</v>
      </c>
      <c r="F53" s="1" t="s">
        <v>5</v>
      </c>
      <c r="G53" s="3"/>
      <c r="H53" s="4"/>
      <c r="I53" s="4"/>
      <c r="J53" s="4"/>
      <c r="K53" s="4"/>
      <c r="L53" s="4"/>
      <c r="M53" s="18" t="s">
        <v>15</v>
      </c>
      <c r="N53" s="18">
        <v>1</v>
      </c>
      <c r="O53" s="18" t="s">
        <v>18</v>
      </c>
      <c r="P53" s="20" t="s">
        <v>15</v>
      </c>
      <c r="R53" s="1" t="s">
        <v>5</v>
      </c>
      <c r="S53" s="3"/>
      <c r="T53" s="4"/>
      <c r="U53" s="4"/>
      <c r="V53" s="4"/>
      <c r="W53" s="4"/>
      <c r="X53" s="4"/>
      <c r="Y53" s="18" t="s">
        <v>24</v>
      </c>
      <c r="Z53" s="18" t="s">
        <v>15</v>
      </c>
      <c r="AA53" s="18" t="s">
        <v>24</v>
      </c>
      <c r="AB53" s="20" t="s">
        <v>15</v>
      </c>
      <c r="AD53" s="1" t="s">
        <v>5</v>
      </c>
      <c r="AE53" s="3"/>
      <c r="AF53" s="4"/>
      <c r="AG53" s="4"/>
      <c r="AH53" s="4"/>
      <c r="AI53" s="4"/>
      <c r="AJ53" s="4"/>
      <c r="AK53" s="18" t="s">
        <v>24</v>
      </c>
      <c r="AL53" s="18" t="s">
        <v>15</v>
      </c>
      <c r="AM53" s="18" t="s">
        <v>24</v>
      </c>
      <c r="AN53" s="20" t="s">
        <v>15</v>
      </c>
    </row>
    <row r="54" spans="1:40" outlineLevel="1" x14ac:dyDescent="0.2">
      <c r="A54" s="5" t="s">
        <v>6</v>
      </c>
      <c r="B54" s="15" t="e">
        <f>SUMIF(#REF!,A54,#REF!)+#REF!</f>
        <v>#REF!</v>
      </c>
      <c r="C54" s="16" t="e">
        <f t="shared" si="9"/>
        <v>#REF!</v>
      </c>
      <c r="D54" s="16">
        <v>7</v>
      </c>
      <c r="E54" s="15" t="e">
        <f t="shared" si="10"/>
        <v>#REF!</v>
      </c>
      <c r="F54" s="1" t="s">
        <v>6</v>
      </c>
      <c r="G54" s="3"/>
      <c r="H54" s="4"/>
      <c r="I54" s="4"/>
      <c r="J54" s="4"/>
      <c r="K54" s="4"/>
      <c r="L54" s="4"/>
      <c r="M54" s="4"/>
      <c r="N54" s="18" t="s">
        <v>17</v>
      </c>
      <c r="O54" s="18" t="s">
        <v>18</v>
      </c>
      <c r="P54" s="20">
        <v>1</v>
      </c>
      <c r="R54" s="1" t="s">
        <v>6</v>
      </c>
      <c r="S54" s="3"/>
      <c r="T54" s="4"/>
      <c r="U54" s="4"/>
      <c r="V54" s="4"/>
      <c r="W54" s="4"/>
      <c r="X54" s="4"/>
      <c r="Y54" s="4"/>
      <c r="Z54" s="18" t="s">
        <v>26</v>
      </c>
      <c r="AA54" s="18" t="s">
        <v>18</v>
      </c>
      <c r="AB54" s="20" t="s">
        <v>53</v>
      </c>
      <c r="AD54" s="1" t="s">
        <v>6</v>
      </c>
      <c r="AE54" s="3"/>
      <c r="AF54" s="4"/>
      <c r="AG54" s="4"/>
      <c r="AH54" s="4"/>
      <c r="AI54" s="4"/>
      <c r="AJ54" s="4"/>
      <c r="AK54" s="4"/>
      <c r="AL54" s="18" t="s">
        <v>17</v>
      </c>
      <c r="AM54" s="18">
        <v>1</v>
      </c>
      <c r="AN54" s="20" t="s">
        <v>53</v>
      </c>
    </row>
    <row r="55" spans="1:40" outlineLevel="1" x14ac:dyDescent="0.2">
      <c r="A55" s="5" t="s">
        <v>7</v>
      </c>
      <c r="B55" s="15" t="e">
        <f>SUMIF(#REF!,A55,#REF!)+#REF!</f>
        <v>#REF!</v>
      </c>
      <c r="C55" s="16" t="e">
        <f t="shared" si="9"/>
        <v>#REF!</v>
      </c>
      <c r="D55" s="16">
        <v>8</v>
      </c>
      <c r="E55" s="15" t="e">
        <f t="shared" si="10"/>
        <v>#REF!</v>
      </c>
      <c r="F55" s="1" t="s">
        <v>7</v>
      </c>
      <c r="G55" s="3"/>
      <c r="H55" s="4"/>
      <c r="I55" s="4"/>
      <c r="J55" s="4"/>
      <c r="K55" s="4"/>
      <c r="L55" s="4"/>
      <c r="M55" s="4"/>
      <c r="N55" s="4"/>
      <c r="O55" s="18" t="s">
        <v>18</v>
      </c>
      <c r="P55" s="20" t="s">
        <v>17</v>
      </c>
      <c r="R55" s="1" t="s">
        <v>7</v>
      </c>
      <c r="S55" s="3"/>
      <c r="T55" s="4"/>
      <c r="U55" s="4"/>
      <c r="V55" s="4"/>
      <c r="W55" s="4"/>
      <c r="X55" s="4"/>
      <c r="Y55" s="4"/>
      <c r="Z55" s="4"/>
      <c r="AA55" s="18" t="s">
        <v>17</v>
      </c>
      <c r="AB55" s="20" t="s">
        <v>53</v>
      </c>
      <c r="AD55" s="1" t="s">
        <v>7</v>
      </c>
      <c r="AE55" s="3"/>
      <c r="AF55" s="4"/>
      <c r="AG55" s="4"/>
      <c r="AH55" s="4"/>
      <c r="AI55" s="4"/>
      <c r="AJ55" s="4"/>
      <c r="AK55" s="4"/>
      <c r="AL55" s="4"/>
      <c r="AM55" s="18" t="s">
        <v>17</v>
      </c>
      <c r="AN55" s="20" t="s">
        <v>17</v>
      </c>
    </row>
    <row r="56" spans="1:40" outlineLevel="1" x14ac:dyDescent="0.2">
      <c r="A56" s="5" t="s">
        <v>8</v>
      </c>
      <c r="B56" s="15" t="e">
        <f>SUMIF(#REF!,A56,#REF!)+#REF!</f>
        <v>#REF!</v>
      </c>
      <c r="C56" s="16" t="e">
        <f t="shared" si="9"/>
        <v>#REF!</v>
      </c>
      <c r="D56" s="16">
        <v>9</v>
      </c>
      <c r="E56" s="15" t="e">
        <f t="shared" si="10"/>
        <v>#REF!</v>
      </c>
      <c r="F56" s="1" t="s">
        <v>8</v>
      </c>
      <c r="G56" s="3"/>
      <c r="H56" s="4"/>
      <c r="I56" s="4"/>
      <c r="J56" s="4"/>
      <c r="K56" s="4"/>
      <c r="L56" s="4"/>
      <c r="M56" s="4"/>
      <c r="N56" s="4"/>
      <c r="O56" s="4"/>
      <c r="P56" s="20" t="s">
        <v>18</v>
      </c>
      <c r="R56" s="1" t="s">
        <v>8</v>
      </c>
      <c r="S56" s="3"/>
      <c r="T56" s="4"/>
      <c r="U56" s="4"/>
      <c r="V56" s="4"/>
      <c r="W56" s="4"/>
      <c r="X56" s="4"/>
      <c r="Y56" s="4"/>
      <c r="Z56" s="4"/>
      <c r="AA56" s="4"/>
      <c r="AB56" s="20" t="s">
        <v>53</v>
      </c>
      <c r="AD56" s="1" t="s">
        <v>8</v>
      </c>
      <c r="AE56" s="3"/>
      <c r="AF56" s="4"/>
      <c r="AG56" s="4"/>
      <c r="AH56" s="4"/>
      <c r="AI56" s="4"/>
      <c r="AJ56" s="4"/>
      <c r="AK56" s="4"/>
      <c r="AL56" s="4"/>
      <c r="AM56" s="4"/>
      <c r="AN56" s="20" t="s">
        <v>53</v>
      </c>
    </row>
    <row r="57" spans="1:40" outlineLevel="1" x14ac:dyDescent="0.2">
      <c r="A57" s="6" t="s">
        <v>9</v>
      </c>
      <c r="B57" s="15" t="e">
        <f>SUMIF(#REF!,A57,#REF!)+#REF!</f>
        <v>#REF!</v>
      </c>
      <c r="C57" s="16" t="e">
        <f t="shared" si="9"/>
        <v>#REF!</v>
      </c>
      <c r="D57" s="16">
        <v>10</v>
      </c>
      <c r="E57" s="15" t="e">
        <f t="shared" si="10"/>
        <v>#REF!</v>
      </c>
      <c r="F57" s="1" t="s">
        <v>9</v>
      </c>
      <c r="G57" s="3"/>
      <c r="H57" s="4"/>
      <c r="I57" s="4"/>
      <c r="J57" s="4"/>
      <c r="K57" s="4"/>
      <c r="L57" s="4"/>
      <c r="M57" s="4"/>
      <c r="N57" s="4"/>
      <c r="O57" s="4"/>
      <c r="P57" s="4"/>
      <c r="R57" s="1" t="s">
        <v>9</v>
      </c>
      <c r="S57" s="3"/>
      <c r="T57" s="4"/>
      <c r="U57" s="4"/>
      <c r="V57" s="4"/>
      <c r="W57" s="4"/>
      <c r="X57" s="4"/>
      <c r="Y57" s="4"/>
      <c r="Z57" s="4"/>
      <c r="AA57" s="4"/>
      <c r="AB57" s="4"/>
      <c r="AD57" s="1" t="s">
        <v>9</v>
      </c>
      <c r="AE57" s="3"/>
      <c r="AF57" s="4"/>
      <c r="AG57" s="4"/>
      <c r="AH57" s="4"/>
      <c r="AI57" s="4"/>
      <c r="AJ57" s="4"/>
      <c r="AK57" s="4"/>
      <c r="AL57" s="4"/>
      <c r="AM57" s="4"/>
      <c r="AN57" s="4"/>
    </row>
    <row r="58" spans="1:40" ht="16" outlineLevel="1" thickBot="1" x14ac:dyDescent="0.25">
      <c r="A58" s="13" t="s">
        <v>59</v>
      </c>
      <c r="B58" s="14" t="s">
        <v>58</v>
      </c>
      <c r="C58" s="14"/>
      <c r="D58" s="14"/>
      <c r="E58" s="14"/>
      <c r="F58" s="12"/>
      <c r="G58" s="1" t="s">
        <v>1</v>
      </c>
      <c r="H58" s="1" t="s">
        <v>2</v>
      </c>
      <c r="I58" s="1" t="s">
        <v>3</v>
      </c>
      <c r="J58" s="1" t="s">
        <v>0</v>
      </c>
      <c r="K58" s="1" t="s">
        <v>4</v>
      </c>
      <c r="L58" s="1" t="s">
        <v>5</v>
      </c>
      <c r="M58" s="1" t="s">
        <v>6</v>
      </c>
      <c r="N58" s="1" t="s">
        <v>7</v>
      </c>
      <c r="O58" s="1" t="s">
        <v>8</v>
      </c>
      <c r="P58" s="1" t="s">
        <v>9</v>
      </c>
      <c r="R58" s="12"/>
      <c r="S58" s="1" t="s">
        <v>1</v>
      </c>
      <c r="T58" s="1" t="s">
        <v>2</v>
      </c>
      <c r="U58" s="1" t="s">
        <v>3</v>
      </c>
      <c r="V58" s="1" t="s">
        <v>0</v>
      </c>
      <c r="W58" s="1" t="s">
        <v>4</v>
      </c>
      <c r="X58" s="1" t="s">
        <v>5</v>
      </c>
      <c r="Y58" s="1" t="s">
        <v>6</v>
      </c>
      <c r="Z58" s="1" t="s">
        <v>7</v>
      </c>
      <c r="AA58" s="1" t="s">
        <v>8</v>
      </c>
      <c r="AB58" s="1" t="s">
        <v>9</v>
      </c>
      <c r="AD58" s="12"/>
      <c r="AE58" s="1" t="s">
        <v>1</v>
      </c>
      <c r="AF58" s="1" t="s">
        <v>2</v>
      </c>
      <c r="AG58" s="1" t="s">
        <v>3</v>
      </c>
      <c r="AH58" s="1" t="s">
        <v>0</v>
      </c>
      <c r="AI58" s="1" t="s">
        <v>4</v>
      </c>
      <c r="AJ58" s="1" t="s">
        <v>5</v>
      </c>
      <c r="AK58" s="1" t="s">
        <v>6</v>
      </c>
      <c r="AL58" s="1" t="s">
        <v>7</v>
      </c>
      <c r="AM58" s="1" t="s">
        <v>8</v>
      </c>
      <c r="AN58" s="1" t="s">
        <v>9</v>
      </c>
    </row>
    <row r="59" spans="1:40" outlineLevel="1" x14ac:dyDescent="0.2">
      <c r="A59" s="5" t="s">
        <v>1</v>
      </c>
      <c r="B59" s="15" t="e">
        <f>SUMIF(#REF!,A59,#REF!)+#REF!</f>
        <v>#REF!</v>
      </c>
      <c r="C59" s="16" t="e">
        <f t="shared" ref="C59:C68" si="11">LARGE($B$59:$B$68,D59)</f>
        <v>#REF!</v>
      </c>
      <c r="D59" s="16">
        <v>1</v>
      </c>
      <c r="E59" s="15" t="e">
        <f>IF(SUM(B59:B68)=0,0,D59)</f>
        <v>#REF!</v>
      </c>
      <c r="F59" s="1" t="s">
        <v>1</v>
      </c>
      <c r="G59" s="2"/>
      <c r="H59" s="17">
        <v>1</v>
      </c>
      <c r="I59" s="17" t="s">
        <v>19</v>
      </c>
      <c r="J59" s="17">
        <v>1</v>
      </c>
      <c r="K59" s="17" t="s">
        <v>10</v>
      </c>
      <c r="L59" s="17" t="s">
        <v>10</v>
      </c>
      <c r="M59" s="17" t="s">
        <v>19</v>
      </c>
      <c r="N59" s="17" t="s">
        <v>17</v>
      </c>
      <c r="O59" s="17" t="s">
        <v>10</v>
      </c>
      <c r="P59" s="19">
        <v>1</v>
      </c>
      <c r="R59" s="1" t="s">
        <v>1</v>
      </c>
      <c r="S59" s="2"/>
      <c r="T59" s="17">
        <v>1</v>
      </c>
      <c r="U59" s="17" t="s">
        <v>28</v>
      </c>
      <c r="V59" s="17" t="s">
        <v>10</v>
      </c>
      <c r="W59" s="17">
        <v>1</v>
      </c>
      <c r="X59" s="17">
        <v>1</v>
      </c>
      <c r="Y59" s="17" t="s">
        <v>19</v>
      </c>
      <c r="Z59" s="17" t="s">
        <v>10</v>
      </c>
      <c r="AA59" s="17" t="s">
        <v>10</v>
      </c>
      <c r="AB59" s="19" t="s">
        <v>19</v>
      </c>
      <c r="AD59" s="1" t="s">
        <v>1</v>
      </c>
      <c r="AE59" s="2"/>
      <c r="AF59" s="17" t="s">
        <v>19</v>
      </c>
      <c r="AG59" s="17" t="s">
        <v>45</v>
      </c>
      <c r="AH59" s="17" t="s">
        <v>10</v>
      </c>
      <c r="AI59" s="17">
        <v>1</v>
      </c>
      <c r="AJ59" s="17">
        <v>1</v>
      </c>
      <c r="AK59" s="17" t="s">
        <v>37</v>
      </c>
      <c r="AL59" s="17" t="s">
        <v>19</v>
      </c>
      <c r="AM59" s="17" t="s">
        <v>19</v>
      </c>
      <c r="AN59" s="19" t="s">
        <v>19</v>
      </c>
    </row>
    <row r="60" spans="1:40" outlineLevel="1" x14ac:dyDescent="0.2">
      <c r="A60" s="5" t="s">
        <v>2</v>
      </c>
      <c r="B60" s="15" t="e">
        <f>SUMIF(#REF!,A60,#REF!)+#REF!</f>
        <v>#REF!</v>
      </c>
      <c r="C60" s="16" t="e">
        <f t="shared" si="11"/>
        <v>#REF!</v>
      </c>
      <c r="D60" s="16">
        <v>2</v>
      </c>
      <c r="E60" s="15" t="e">
        <f>(C60/$C$59)*$E$59</f>
        <v>#REF!</v>
      </c>
      <c r="F60" s="1" t="s">
        <v>2</v>
      </c>
      <c r="G60" s="3"/>
      <c r="H60" s="4"/>
      <c r="I60" s="18" t="s">
        <v>20</v>
      </c>
      <c r="J60" s="18">
        <v>1</v>
      </c>
      <c r="K60" s="18" t="s">
        <v>11</v>
      </c>
      <c r="L60" s="18" t="s">
        <v>11</v>
      </c>
      <c r="M60" s="18" t="s">
        <v>11</v>
      </c>
      <c r="N60" s="18">
        <v>1</v>
      </c>
      <c r="O60" s="18">
        <v>1</v>
      </c>
      <c r="P60" s="20" t="s">
        <v>11</v>
      </c>
      <c r="R60" s="1" t="s">
        <v>2</v>
      </c>
      <c r="S60" s="3"/>
      <c r="T60" s="4"/>
      <c r="U60" s="18" t="s">
        <v>20</v>
      </c>
      <c r="V60" s="18">
        <v>1</v>
      </c>
      <c r="W60" s="18" t="s">
        <v>23</v>
      </c>
      <c r="X60" s="18" t="s">
        <v>24</v>
      </c>
      <c r="Y60" s="18">
        <v>1</v>
      </c>
      <c r="Z60" s="18" t="s">
        <v>17</v>
      </c>
      <c r="AA60" s="18">
        <v>1</v>
      </c>
      <c r="AB60" s="20">
        <v>1</v>
      </c>
      <c r="AD60" s="1" t="s">
        <v>2</v>
      </c>
      <c r="AE60" s="3"/>
      <c r="AF60" s="4"/>
      <c r="AG60" s="18" t="s">
        <v>46</v>
      </c>
      <c r="AH60" s="18" t="s">
        <v>13</v>
      </c>
      <c r="AI60" s="18" t="s">
        <v>32</v>
      </c>
      <c r="AJ60" s="18" t="s">
        <v>33</v>
      </c>
      <c r="AK60" s="18" t="s">
        <v>20</v>
      </c>
      <c r="AL60" s="18">
        <v>1</v>
      </c>
      <c r="AM60" s="18">
        <v>1</v>
      </c>
      <c r="AN60" s="20">
        <v>1</v>
      </c>
    </row>
    <row r="61" spans="1:40" outlineLevel="1" x14ac:dyDescent="0.2">
      <c r="A61" s="5" t="s">
        <v>3</v>
      </c>
      <c r="B61" s="15" t="e">
        <f>SUMIF(#REF!,A61,#REF!)+#REF!</f>
        <v>#REF!</v>
      </c>
      <c r="C61" s="16" t="e">
        <f t="shared" si="11"/>
        <v>#REF!</v>
      </c>
      <c r="D61" s="16">
        <v>3</v>
      </c>
      <c r="E61" s="15" t="e">
        <f t="shared" ref="E61:E68" si="12">(C61/$C$59)*$E$59</f>
        <v>#REF!</v>
      </c>
      <c r="F61" s="1" t="s">
        <v>3</v>
      </c>
      <c r="G61" s="3"/>
      <c r="H61" s="4"/>
      <c r="I61" s="4"/>
      <c r="J61" s="18" t="s">
        <v>22</v>
      </c>
      <c r="K61" s="18" t="s">
        <v>23</v>
      </c>
      <c r="L61" s="18" t="s">
        <v>24</v>
      </c>
      <c r="M61" s="18" t="s">
        <v>16</v>
      </c>
      <c r="N61" s="18" t="s">
        <v>35</v>
      </c>
      <c r="O61" s="18" t="s">
        <v>27</v>
      </c>
      <c r="P61" s="20" t="s">
        <v>54</v>
      </c>
      <c r="R61" s="1" t="s">
        <v>3</v>
      </c>
      <c r="S61" s="3"/>
      <c r="T61" s="4"/>
      <c r="U61" s="4"/>
      <c r="V61" s="18" t="s">
        <v>22</v>
      </c>
      <c r="W61" s="18" t="s">
        <v>32</v>
      </c>
      <c r="X61" s="18" t="s">
        <v>33</v>
      </c>
      <c r="Y61" s="18">
        <v>1</v>
      </c>
      <c r="Z61" s="18" t="s">
        <v>26</v>
      </c>
      <c r="AA61" s="18" t="s">
        <v>27</v>
      </c>
      <c r="AB61" s="20" t="s">
        <v>54</v>
      </c>
      <c r="AD61" s="1" t="s">
        <v>3</v>
      </c>
      <c r="AE61" s="3"/>
      <c r="AF61" s="4"/>
      <c r="AG61" s="4"/>
      <c r="AH61" s="18" t="s">
        <v>39</v>
      </c>
      <c r="AI61" s="18" t="s">
        <v>40</v>
      </c>
      <c r="AJ61" s="18" t="s">
        <v>41</v>
      </c>
      <c r="AK61" s="18" t="s">
        <v>25</v>
      </c>
      <c r="AL61" s="18" t="s">
        <v>43</v>
      </c>
      <c r="AM61" s="18" t="s">
        <v>44</v>
      </c>
      <c r="AN61" s="20" t="s">
        <v>56</v>
      </c>
    </row>
    <row r="62" spans="1:40" outlineLevel="1" x14ac:dyDescent="0.2">
      <c r="A62" s="5" t="s">
        <v>0</v>
      </c>
      <c r="B62" s="15" t="e">
        <f>SUMIF(#REF!,A62,#REF!)+#REF!</f>
        <v>#REF!</v>
      </c>
      <c r="C62" s="16" t="e">
        <f t="shared" si="11"/>
        <v>#REF!</v>
      </c>
      <c r="D62" s="16">
        <v>4</v>
      </c>
      <c r="E62" s="15" t="e">
        <f t="shared" si="12"/>
        <v>#REF!</v>
      </c>
      <c r="F62" s="1" t="s">
        <v>0</v>
      </c>
      <c r="G62" s="3"/>
      <c r="H62" s="4"/>
      <c r="I62" s="4"/>
      <c r="J62" s="4"/>
      <c r="K62" s="18" t="s">
        <v>13</v>
      </c>
      <c r="L62" s="18" t="s">
        <v>13</v>
      </c>
      <c r="M62" s="18" t="s">
        <v>22</v>
      </c>
      <c r="N62" s="18" t="s">
        <v>17</v>
      </c>
      <c r="O62" s="18" t="s">
        <v>13</v>
      </c>
      <c r="P62" s="20">
        <v>1</v>
      </c>
      <c r="R62" s="1" t="s">
        <v>0</v>
      </c>
      <c r="S62" s="3"/>
      <c r="T62" s="4"/>
      <c r="U62" s="4"/>
      <c r="V62" s="4"/>
      <c r="W62" s="18" t="s">
        <v>14</v>
      </c>
      <c r="X62" s="18" t="s">
        <v>15</v>
      </c>
      <c r="Y62" s="18" t="s">
        <v>22</v>
      </c>
      <c r="Z62" s="18" t="s">
        <v>13</v>
      </c>
      <c r="AA62" s="18" t="s">
        <v>22</v>
      </c>
      <c r="AB62" s="20" t="s">
        <v>13</v>
      </c>
      <c r="AD62" s="1" t="s">
        <v>0</v>
      </c>
      <c r="AE62" s="3"/>
      <c r="AF62" s="4"/>
      <c r="AG62" s="4"/>
      <c r="AH62" s="4"/>
      <c r="AI62" s="18" t="s">
        <v>14</v>
      </c>
      <c r="AJ62" s="18" t="s">
        <v>15</v>
      </c>
      <c r="AK62" s="18" t="s">
        <v>31</v>
      </c>
      <c r="AL62" s="18" t="s">
        <v>13</v>
      </c>
      <c r="AM62" s="18" t="s">
        <v>13</v>
      </c>
      <c r="AN62" s="20" t="s">
        <v>13</v>
      </c>
    </row>
    <row r="63" spans="1:40" outlineLevel="1" x14ac:dyDescent="0.2">
      <c r="A63" s="5" t="s">
        <v>4</v>
      </c>
      <c r="B63" s="15" t="e">
        <f>SUMIF(#REF!,A63,#REF!)+#REF!</f>
        <v>#REF!</v>
      </c>
      <c r="C63" s="16" t="e">
        <f t="shared" si="11"/>
        <v>#REF!</v>
      </c>
      <c r="D63" s="16">
        <v>5</v>
      </c>
      <c r="E63" s="15" t="e">
        <f t="shared" si="12"/>
        <v>#REF!</v>
      </c>
      <c r="F63" s="1" t="s">
        <v>4</v>
      </c>
      <c r="G63" s="3"/>
      <c r="H63" s="4"/>
      <c r="I63" s="4"/>
      <c r="J63" s="4"/>
      <c r="K63" s="4"/>
      <c r="L63" s="18">
        <v>1</v>
      </c>
      <c r="M63" s="18" t="s">
        <v>14</v>
      </c>
      <c r="N63" s="18" t="s">
        <v>17</v>
      </c>
      <c r="O63" s="18">
        <v>1</v>
      </c>
      <c r="P63" s="20" t="s">
        <v>53</v>
      </c>
      <c r="R63" s="1" t="s">
        <v>4</v>
      </c>
      <c r="S63" s="3"/>
      <c r="T63" s="4"/>
      <c r="U63" s="4"/>
      <c r="V63" s="4"/>
      <c r="W63" s="4"/>
      <c r="X63" s="18">
        <v>1</v>
      </c>
      <c r="Y63" s="18" t="s">
        <v>23</v>
      </c>
      <c r="Z63" s="18" t="s">
        <v>14</v>
      </c>
      <c r="AA63" s="18" t="s">
        <v>23</v>
      </c>
      <c r="AB63" s="20" t="s">
        <v>14</v>
      </c>
      <c r="AD63" s="1" t="s">
        <v>4</v>
      </c>
      <c r="AE63" s="3"/>
      <c r="AF63" s="4"/>
      <c r="AG63" s="4"/>
      <c r="AH63" s="4"/>
      <c r="AI63" s="4"/>
      <c r="AJ63" s="18" t="s">
        <v>14</v>
      </c>
      <c r="AK63" s="18" t="s">
        <v>23</v>
      </c>
      <c r="AL63" s="18" t="s">
        <v>23</v>
      </c>
      <c r="AM63" s="18" t="s">
        <v>32</v>
      </c>
      <c r="AN63" s="20" t="s">
        <v>55</v>
      </c>
    </row>
    <row r="64" spans="1:40" outlineLevel="1" x14ac:dyDescent="0.2">
      <c r="A64" s="5" t="s">
        <v>5</v>
      </c>
      <c r="B64" s="15" t="e">
        <f>SUMIF(#REF!,A64,#REF!)+#REF!</f>
        <v>#REF!</v>
      </c>
      <c r="C64" s="16" t="e">
        <f t="shared" si="11"/>
        <v>#REF!</v>
      </c>
      <c r="D64" s="16">
        <v>6</v>
      </c>
      <c r="E64" s="15" t="e">
        <f t="shared" si="12"/>
        <v>#REF!</v>
      </c>
      <c r="F64" s="1" t="s">
        <v>5</v>
      </c>
      <c r="G64" s="3"/>
      <c r="H64" s="4"/>
      <c r="I64" s="4"/>
      <c r="J64" s="4"/>
      <c r="K64" s="4"/>
      <c r="L64" s="4"/>
      <c r="M64" s="18" t="s">
        <v>15</v>
      </c>
      <c r="N64" s="18" t="s">
        <v>17</v>
      </c>
      <c r="O64" s="18">
        <v>1</v>
      </c>
      <c r="P64" s="20" t="s">
        <v>53</v>
      </c>
      <c r="R64" s="1" t="s">
        <v>5</v>
      </c>
      <c r="S64" s="3"/>
      <c r="T64" s="4"/>
      <c r="U64" s="4"/>
      <c r="V64" s="4"/>
      <c r="W64" s="4"/>
      <c r="X64" s="4"/>
      <c r="Y64" s="18" t="s">
        <v>15</v>
      </c>
      <c r="Z64" s="18" t="s">
        <v>15</v>
      </c>
      <c r="AA64" s="18" t="s">
        <v>24</v>
      </c>
      <c r="AB64" s="20" t="s">
        <v>15</v>
      </c>
      <c r="AD64" s="1" t="s">
        <v>5</v>
      </c>
      <c r="AE64" s="3"/>
      <c r="AF64" s="4"/>
      <c r="AG64" s="4"/>
      <c r="AH64" s="4"/>
      <c r="AI64" s="4"/>
      <c r="AJ64" s="4"/>
      <c r="AK64" s="18" t="s">
        <v>33</v>
      </c>
      <c r="AL64" s="18" t="s">
        <v>24</v>
      </c>
      <c r="AM64" s="18" t="s">
        <v>24</v>
      </c>
      <c r="AN64" s="20" t="s">
        <v>24</v>
      </c>
    </row>
    <row r="65" spans="1:40" outlineLevel="1" x14ac:dyDescent="0.2">
      <c r="A65" s="5" t="s">
        <v>6</v>
      </c>
      <c r="B65" s="15" t="e">
        <f>SUMIF(#REF!,A65,#REF!)+#REF!</f>
        <v>#REF!</v>
      </c>
      <c r="C65" s="16" t="e">
        <f t="shared" si="11"/>
        <v>#REF!</v>
      </c>
      <c r="D65" s="16">
        <v>7</v>
      </c>
      <c r="E65" s="15" t="e">
        <f t="shared" si="12"/>
        <v>#REF!</v>
      </c>
      <c r="F65" s="1" t="s">
        <v>6</v>
      </c>
      <c r="G65" s="3"/>
      <c r="H65" s="4"/>
      <c r="I65" s="4"/>
      <c r="J65" s="4"/>
      <c r="K65" s="4"/>
      <c r="L65" s="4"/>
      <c r="M65" s="4"/>
      <c r="N65" s="18" t="s">
        <v>26</v>
      </c>
      <c r="O65" s="18" t="s">
        <v>18</v>
      </c>
      <c r="P65" s="20" t="s">
        <v>54</v>
      </c>
      <c r="R65" s="1" t="s">
        <v>6</v>
      </c>
      <c r="S65" s="3"/>
      <c r="T65" s="4"/>
      <c r="U65" s="4"/>
      <c r="V65" s="4"/>
      <c r="W65" s="4"/>
      <c r="X65" s="4"/>
      <c r="Y65" s="4"/>
      <c r="Z65" s="18" t="s">
        <v>26</v>
      </c>
      <c r="AA65" s="18" t="s">
        <v>18</v>
      </c>
      <c r="AB65" s="20" t="s">
        <v>54</v>
      </c>
      <c r="AD65" s="1" t="s">
        <v>6</v>
      </c>
      <c r="AE65" s="3"/>
      <c r="AF65" s="4"/>
      <c r="AG65" s="4"/>
      <c r="AH65" s="4"/>
      <c r="AI65" s="4"/>
      <c r="AJ65" s="4"/>
      <c r="AK65" s="4"/>
      <c r="AL65" s="18" t="s">
        <v>26</v>
      </c>
      <c r="AM65" s="18" t="s">
        <v>18</v>
      </c>
      <c r="AN65" s="20" t="s">
        <v>53</v>
      </c>
    </row>
    <row r="66" spans="1:40" outlineLevel="1" x14ac:dyDescent="0.2">
      <c r="A66" s="5" t="s">
        <v>7</v>
      </c>
      <c r="B66" s="15" t="e">
        <f>SUMIF(#REF!,A66,#REF!)+#REF!</f>
        <v>#REF!</v>
      </c>
      <c r="C66" s="16" t="e">
        <f t="shared" si="11"/>
        <v>#REF!</v>
      </c>
      <c r="D66" s="16">
        <v>8</v>
      </c>
      <c r="E66" s="15" t="e">
        <f t="shared" si="12"/>
        <v>#REF!</v>
      </c>
      <c r="F66" s="1" t="s">
        <v>7</v>
      </c>
      <c r="G66" s="3"/>
      <c r="H66" s="4"/>
      <c r="I66" s="4"/>
      <c r="J66" s="4"/>
      <c r="K66" s="4"/>
      <c r="L66" s="4"/>
      <c r="M66" s="4"/>
      <c r="N66" s="4"/>
      <c r="O66" s="18" t="s">
        <v>17</v>
      </c>
      <c r="P66" s="20" t="s">
        <v>17</v>
      </c>
      <c r="R66" s="1" t="s">
        <v>7</v>
      </c>
      <c r="S66" s="3"/>
      <c r="T66" s="4"/>
      <c r="U66" s="4"/>
      <c r="V66" s="4"/>
      <c r="W66" s="4"/>
      <c r="X66" s="4"/>
      <c r="Y66" s="4"/>
      <c r="Z66" s="4"/>
      <c r="AA66" s="18" t="s">
        <v>17</v>
      </c>
      <c r="AB66" s="20" t="s">
        <v>53</v>
      </c>
      <c r="AD66" s="1" t="s">
        <v>7</v>
      </c>
      <c r="AE66" s="3"/>
      <c r="AF66" s="4"/>
      <c r="AG66" s="4"/>
      <c r="AH66" s="4"/>
      <c r="AI66" s="4"/>
      <c r="AJ66" s="4"/>
      <c r="AK66" s="4"/>
      <c r="AL66" s="4"/>
      <c r="AM66" s="18">
        <v>1</v>
      </c>
      <c r="AN66" s="20">
        <v>1</v>
      </c>
    </row>
    <row r="67" spans="1:40" outlineLevel="1" x14ac:dyDescent="0.2">
      <c r="A67" s="5" t="s">
        <v>8</v>
      </c>
      <c r="B67" s="15" t="e">
        <f>SUMIF(#REF!,A67,#REF!)+#REF!</f>
        <v>#REF!</v>
      </c>
      <c r="C67" s="16" t="e">
        <f t="shared" si="11"/>
        <v>#REF!</v>
      </c>
      <c r="D67" s="16">
        <v>9</v>
      </c>
      <c r="E67" s="15" t="e">
        <f t="shared" si="12"/>
        <v>#REF!</v>
      </c>
      <c r="F67" s="1" t="s">
        <v>8</v>
      </c>
      <c r="G67" s="3"/>
      <c r="H67" s="4"/>
      <c r="I67" s="4"/>
      <c r="J67" s="4"/>
      <c r="K67" s="4"/>
      <c r="L67" s="4"/>
      <c r="M67" s="4"/>
      <c r="N67" s="4"/>
      <c r="O67" s="4"/>
      <c r="P67" s="20" t="s">
        <v>53</v>
      </c>
      <c r="R67" s="1" t="s">
        <v>8</v>
      </c>
      <c r="S67" s="3"/>
      <c r="T67" s="4"/>
      <c r="U67" s="4"/>
      <c r="V67" s="4"/>
      <c r="W67" s="4"/>
      <c r="X67" s="4"/>
      <c r="Y67" s="4"/>
      <c r="Z67" s="4"/>
      <c r="AA67" s="4"/>
      <c r="AB67" s="20" t="s">
        <v>53</v>
      </c>
      <c r="AD67" s="1" t="s">
        <v>8</v>
      </c>
      <c r="AE67" s="3"/>
      <c r="AF67" s="4"/>
      <c r="AG67" s="4"/>
      <c r="AH67" s="4"/>
      <c r="AI67" s="4"/>
      <c r="AJ67" s="4"/>
      <c r="AK67" s="4"/>
      <c r="AL67" s="4"/>
      <c r="AM67" s="4"/>
      <c r="AN67" s="20">
        <v>1</v>
      </c>
    </row>
    <row r="68" spans="1:40" outlineLevel="1" x14ac:dyDescent="0.2">
      <c r="A68" s="6" t="s">
        <v>9</v>
      </c>
      <c r="B68" s="15" t="e">
        <f>SUMIF(#REF!,A68,#REF!)+#REF!</f>
        <v>#REF!</v>
      </c>
      <c r="C68" s="16" t="e">
        <f t="shared" si="11"/>
        <v>#REF!</v>
      </c>
      <c r="D68" s="16">
        <v>10</v>
      </c>
      <c r="E68" s="15" t="e">
        <f t="shared" si="12"/>
        <v>#REF!</v>
      </c>
      <c r="F68" s="1" t="s">
        <v>9</v>
      </c>
      <c r="G68" s="3"/>
      <c r="H68" s="4"/>
      <c r="I68" s="4"/>
      <c r="J68" s="4"/>
      <c r="K68" s="4"/>
      <c r="L68" s="4"/>
      <c r="M68" s="4"/>
      <c r="N68" s="4"/>
      <c r="O68" s="4"/>
      <c r="P68" s="4"/>
      <c r="R68" s="1" t="s">
        <v>9</v>
      </c>
      <c r="S68" s="3"/>
      <c r="T68" s="4"/>
      <c r="U68" s="4"/>
      <c r="V68" s="4"/>
      <c r="W68" s="4"/>
      <c r="X68" s="4"/>
      <c r="Y68" s="4"/>
      <c r="Z68" s="4"/>
      <c r="AA68" s="4"/>
      <c r="AB68" s="4"/>
      <c r="AD68" s="1" t="s">
        <v>9</v>
      </c>
      <c r="AE68" s="3"/>
      <c r="AF68" s="4"/>
      <c r="AG68" s="4"/>
      <c r="AH68" s="4"/>
      <c r="AI68" s="4"/>
      <c r="AJ68" s="4"/>
      <c r="AK68" s="4"/>
      <c r="AL68" s="4"/>
      <c r="AM68" s="4"/>
      <c r="AN68" s="4"/>
    </row>
    <row r="69" spans="1:40" ht="16" outlineLevel="1" thickBot="1" x14ac:dyDescent="0.25">
      <c r="A69" s="13" t="s">
        <v>59</v>
      </c>
      <c r="B69" s="14" t="s">
        <v>58</v>
      </c>
      <c r="C69" s="14"/>
      <c r="D69" s="14"/>
      <c r="E69" s="14"/>
      <c r="F69" s="12"/>
      <c r="G69" s="1" t="s">
        <v>1</v>
      </c>
      <c r="H69" s="1" t="s">
        <v>2</v>
      </c>
      <c r="I69" s="1" t="s">
        <v>3</v>
      </c>
      <c r="J69" s="1" t="s">
        <v>0</v>
      </c>
      <c r="K69" s="1" t="s">
        <v>4</v>
      </c>
      <c r="L69" s="1" t="s">
        <v>5</v>
      </c>
      <c r="M69" s="1" t="s">
        <v>6</v>
      </c>
      <c r="N69" s="1" t="s">
        <v>7</v>
      </c>
      <c r="O69" s="1" t="s">
        <v>8</v>
      </c>
      <c r="P69" s="1" t="s">
        <v>9</v>
      </c>
      <c r="R69" s="12"/>
      <c r="S69" s="1" t="s">
        <v>1</v>
      </c>
      <c r="T69" s="1" t="s">
        <v>2</v>
      </c>
      <c r="U69" s="1" t="s">
        <v>3</v>
      </c>
      <c r="V69" s="1" t="s">
        <v>0</v>
      </c>
      <c r="W69" s="1" t="s">
        <v>4</v>
      </c>
      <c r="X69" s="1" t="s">
        <v>5</v>
      </c>
      <c r="Y69" s="1" t="s">
        <v>6</v>
      </c>
      <c r="Z69" s="1" t="s">
        <v>7</v>
      </c>
      <c r="AA69" s="1" t="s">
        <v>8</v>
      </c>
      <c r="AB69" s="1" t="s">
        <v>9</v>
      </c>
      <c r="AD69" s="12"/>
      <c r="AE69" s="1" t="s">
        <v>1</v>
      </c>
      <c r="AF69" s="1" t="s">
        <v>2</v>
      </c>
      <c r="AG69" s="1" t="s">
        <v>3</v>
      </c>
      <c r="AH69" s="1" t="s">
        <v>0</v>
      </c>
      <c r="AI69" s="1" t="s">
        <v>4</v>
      </c>
      <c r="AJ69" s="1" t="s">
        <v>5</v>
      </c>
      <c r="AK69" s="1" t="s">
        <v>6</v>
      </c>
      <c r="AL69" s="1" t="s">
        <v>7</v>
      </c>
      <c r="AM69" s="1" t="s">
        <v>8</v>
      </c>
      <c r="AN69" s="1" t="s">
        <v>9</v>
      </c>
    </row>
    <row r="70" spans="1:40" outlineLevel="1" x14ac:dyDescent="0.2">
      <c r="A70" s="5" t="s">
        <v>1</v>
      </c>
      <c r="B70" s="15" t="e">
        <f>SUMIF(#REF!,A70,#REF!)+#REF!</f>
        <v>#REF!</v>
      </c>
      <c r="C70" s="16" t="e">
        <f t="shared" ref="C70:C79" si="13">LARGE($B$70:$B$79,D70)</f>
        <v>#REF!</v>
      </c>
      <c r="D70" s="16">
        <v>1</v>
      </c>
      <c r="E70" s="15" t="e">
        <f>IF(SUM(B70:B79)=0,0,D70)</f>
        <v>#REF!</v>
      </c>
      <c r="F70" s="1" t="s">
        <v>1</v>
      </c>
      <c r="G70" s="2"/>
      <c r="H70" s="17">
        <v>1</v>
      </c>
      <c r="I70" s="17" t="s">
        <v>19</v>
      </c>
      <c r="J70" s="17" t="s">
        <v>13</v>
      </c>
      <c r="K70" s="17" t="s">
        <v>14</v>
      </c>
      <c r="L70" s="17" t="s">
        <v>10</v>
      </c>
      <c r="M70" s="17" t="s">
        <v>10</v>
      </c>
      <c r="N70" s="17" t="s">
        <v>19</v>
      </c>
      <c r="O70" s="17" t="s">
        <v>19</v>
      </c>
      <c r="P70" s="19" t="s">
        <v>19</v>
      </c>
      <c r="R70" s="1" t="s">
        <v>1</v>
      </c>
      <c r="S70" s="2"/>
      <c r="T70" s="17" t="s">
        <v>10</v>
      </c>
      <c r="U70" s="17" t="s">
        <v>28</v>
      </c>
      <c r="V70" s="17" t="s">
        <v>10</v>
      </c>
      <c r="W70" s="17" t="s">
        <v>10</v>
      </c>
      <c r="X70" s="17" t="s">
        <v>10</v>
      </c>
      <c r="Y70" s="17" t="s">
        <v>19</v>
      </c>
      <c r="Z70" s="17" t="s">
        <v>10</v>
      </c>
      <c r="AA70" s="17" t="s">
        <v>10</v>
      </c>
      <c r="AB70" s="19" t="s">
        <v>19</v>
      </c>
      <c r="AD70" s="1" t="s">
        <v>1</v>
      </c>
      <c r="AE70" s="2"/>
      <c r="AF70" s="17" t="s">
        <v>45</v>
      </c>
      <c r="AG70" s="17" t="s">
        <v>45</v>
      </c>
      <c r="AH70" s="17" t="s">
        <v>19</v>
      </c>
      <c r="AI70" s="17" t="s">
        <v>10</v>
      </c>
      <c r="AJ70" s="17" t="s">
        <v>10</v>
      </c>
      <c r="AK70" s="17" t="s">
        <v>45</v>
      </c>
      <c r="AL70" s="17" t="s">
        <v>28</v>
      </c>
      <c r="AM70" s="17" t="s">
        <v>37</v>
      </c>
      <c r="AN70" s="19" t="s">
        <v>37</v>
      </c>
    </row>
    <row r="71" spans="1:40" outlineLevel="1" x14ac:dyDescent="0.2">
      <c r="A71" s="5" t="s">
        <v>2</v>
      </c>
      <c r="B71" s="15" t="e">
        <f>SUMIF(#REF!,A71,#REF!)+#REF!</f>
        <v>#REF!</v>
      </c>
      <c r="C71" s="16" t="e">
        <f t="shared" si="13"/>
        <v>#REF!</v>
      </c>
      <c r="D71" s="16">
        <v>2</v>
      </c>
      <c r="E71" s="15" t="e">
        <f>(C71/$C$70)*$E$70</f>
        <v>#REF!</v>
      </c>
      <c r="F71" s="1" t="s">
        <v>2</v>
      </c>
      <c r="G71" s="3"/>
      <c r="H71" s="4"/>
      <c r="I71" s="18" t="s">
        <v>20</v>
      </c>
      <c r="J71" s="18" t="s">
        <v>13</v>
      </c>
      <c r="K71" s="18" t="s">
        <v>23</v>
      </c>
      <c r="L71" s="18">
        <v>1</v>
      </c>
      <c r="M71" s="18">
        <v>1</v>
      </c>
      <c r="N71" s="18" t="s">
        <v>20</v>
      </c>
      <c r="O71" s="18" t="s">
        <v>11</v>
      </c>
      <c r="P71" s="20" t="s">
        <v>11</v>
      </c>
      <c r="R71" s="1" t="s">
        <v>2</v>
      </c>
      <c r="S71" s="3"/>
      <c r="T71" s="4"/>
      <c r="U71" s="18" t="s">
        <v>20</v>
      </c>
      <c r="V71" s="18">
        <v>1</v>
      </c>
      <c r="W71" s="18" t="s">
        <v>14</v>
      </c>
      <c r="X71" s="18" t="s">
        <v>15</v>
      </c>
      <c r="Y71" s="18" t="s">
        <v>11</v>
      </c>
      <c r="Z71" s="18" t="s">
        <v>17</v>
      </c>
      <c r="AA71" s="18">
        <v>1</v>
      </c>
      <c r="AB71" s="20">
        <v>1</v>
      </c>
      <c r="AD71" s="1" t="s">
        <v>2</v>
      </c>
      <c r="AE71" s="3"/>
      <c r="AF71" s="4"/>
      <c r="AG71" s="18" t="s">
        <v>11</v>
      </c>
      <c r="AH71" s="18" t="s">
        <v>22</v>
      </c>
      <c r="AI71" s="18" t="s">
        <v>40</v>
      </c>
      <c r="AJ71" s="18" t="s">
        <v>41</v>
      </c>
      <c r="AK71" s="18" t="s">
        <v>16</v>
      </c>
      <c r="AL71" s="18" t="s">
        <v>26</v>
      </c>
      <c r="AM71" s="18">
        <v>1</v>
      </c>
      <c r="AN71" s="20" t="s">
        <v>56</v>
      </c>
    </row>
    <row r="72" spans="1:40" outlineLevel="1" x14ac:dyDescent="0.2">
      <c r="A72" s="5" t="s">
        <v>3</v>
      </c>
      <c r="B72" s="15" t="e">
        <f>SUMIF(#REF!,A72,#REF!)+#REF!</f>
        <v>#REF!</v>
      </c>
      <c r="C72" s="16" t="e">
        <f t="shared" si="13"/>
        <v>#REF!</v>
      </c>
      <c r="D72" s="16">
        <v>3</v>
      </c>
      <c r="E72" s="15" t="e">
        <f t="shared" ref="E72:E79" si="14">(C72/$C$70)*$E$70</f>
        <v>#REF!</v>
      </c>
      <c r="F72" s="1" t="s">
        <v>3</v>
      </c>
      <c r="G72" s="3"/>
      <c r="H72" s="4"/>
      <c r="I72" s="4"/>
      <c r="J72" s="18" t="s">
        <v>22</v>
      </c>
      <c r="K72" s="18" t="s">
        <v>32</v>
      </c>
      <c r="L72" s="18" t="s">
        <v>15</v>
      </c>
      <c r="M72" s="18" t="s">
        <v>16</v>
      </c>
      <c r="N72" s="18">
        <v>1</v>
      </c>
      <c r="O72" s="18">
        <v>1</v>
      </c>
      <c r="P72" s="20">
        <v>1</v>
      </c>
      <c r="R72" s="1" t="s">
        <v>3</v>
      </c>
      <c r="S72" s="3"/>
      <c r="T72" s="4"/>
      <c r="U72" s="4"/>
      <c r="V72" s="18" t="s">
        <v>31</v>
      </c>
      <c r="W72" s="18" t="s">
        <v>40</v>
      </c>
      <c r="X72" s="18" t="s">
        <v>33</v>
      </c>
      <c r="Y72" s="18">
        <v>1</v>
      </c>
      <c r="Z72" s="18" t="s">
        <v>26</v>
      </c>
      <c r="AA72" s="18" t="s">
        <v>27</v>
      </c>
      <c r="AB72" s="20" t="s">
        <v>54</v>
      </c>
      <c r="AD72" s="1" t="s">
        <v>3</v>
      </c>
      <c r="AE72" s="3"/>
      <c r="AF72" s="4"/>
      <c r="AG72" s="4"/>
      <c r="AH72" s="18" t="s">
        <v>39</v>
      </c>
      <c r="AI72" s="18" t="s">
        <v>40</v>
      </c>
      <c r="AJ72" s="18" t="s">
        <v>41</v>
      </c>
      <c r="AK72" s="18" t="s">
        <v>42</v>
      </c>
      <c r="AL72" s="18" t="s">
        <v>43</v>
      </c>
      <c r="AM72" s="18" t="s">
        <v>44</v>
      </c>
      <c r="AN72" s="20" t="s">
        <v>55</v>
      </c>
    </row>
    <row r="73" spans="1:40" outlineLevel="1" x14ac:dyDescent="0.2">
      <c r="A73" s="5" t="s">
        <v>0</v>
      </c>
      <c r="B73" s="15" t="e">
        <f>SUMIF(#REF!,A73,#REF!)+#REF!</f>
        <v>#REF!</v>
      </c>
      <c r="C73" s="16" t="e">
        <f t="shared" si="13"/>
        <v>#REF!</v>
      </c>
      <c r="D73" s="16">
        <v>4</v>
      </c>
      <c r="E73" s="15" t="e">
        <f t="shared" si="14"/>
        <v>#REF!</v>
      </c>
      <c r="F73" s="1" t="s">
        <v>0</v>
      </c>
      <c r="G73" s="3"/>
      <c r="H73" s="4"/>
      <c r="I73" s="4"/>
      <c r="J73" s="4"/>
      <c r="K73" s="18" t="s">
        <v>14</v>
      </c>
      <c r="L73" s="18" t="s">
        <v>13</v>
      </c>
      <c r="M73" s="18" t="s">
        <v>22</v>
      </c>
      <c r="N73" s="18" t="s">
        <v>22</v>
      </c>
      <c r="O73" s="18" t="s">
        <v>22</v>
      </c>
      <c r="P73" s="20" t="s">
        <v>22</v>
      </c>
      <c r="R73" s="1" t="s">
        <v>0</v>
      </c>
      <c r="S73" s="3"/>
      <c r="T73" s="4"/>
      <c r="U73" s="4"/>
      <c r="V73" s="4"/>
      <c r="W73" s="18" t="s">
        <v>14</v>
      </c>
      <c r="X73" s="18" t="s">
        <v>15</v>
      </c>
      <c r="Y73" s="18" t="s">
        <v>13</v>
      </c>
      <c r="Z73" s="18" t="s">
        <v>13</v>
      </c>
      <c r="AA73" s="18" t="s">
        <v>22</v>
      </c>
      <c r="AB73" s="20">
        <v>1</v>
      </c>
      <c r="AD73" s="1" t="s">
        <v>0</v>
      </c>
      <c r="AE73" s="3"/>
      <c r="AF73" s="4"/>
      <c r="AG73" s="4"/>
      <c r="AH73" s="4"/>
      <c r="AI73" s="18" t="s">
        <v>23</v>
      </c>
      <c r="AJ73" s="18" t="s">
        <v>24</v>
      </c>
      <c r="AK73" s="18" t="s">
        <v>31</v>
      </c>
      <c r="AL73" s="18" t="s">
        <v>13</v>
      </c>
      <c r="AM73" s="18" t="s">
        <v>13</v>
      </c>
      <c r="AN73" s="20">
        <v>1</v>
      </c>
    </row>
    <row r="74" spans="1:40" outlineLevel="1" x14ac:dyDescent="0.2">
      <c r="A74" s="5" t="s">
        <v>4</v>
      </c>
      <c r="B74" s="15" t="e">
        <f>SUMIF(#REF!,A74,#REF!)+#REF!</f>
        <v>#REF!</v>
      </c>
      <c r="C74" s="16" t="e">
        <f t="shared" si="13"/>
        <v>#REF!</v>
      </c>
      <c r="D74" s="16">
        <v>5</v>
      </c>
      <c r="E74" s="15" t="e">
        <f t="shared" si="14"/>
        <v>#REF!</v>
      </c>
      <c r="F74" s="1" t="s">
        <v>4</v>
      </c>
      <c r="G74" s="3"/>
      <c r="H74" s="4"/>
      <c r="I74" s="4"/>
      <c r="J74" s="4"/>
      <c r="K74" s="4"/>
      <c r="L74" s="18" t="s">
        <v>23</v>
      </c>
      <c r="M74" s="18" t="s">
        <v>32</v>
      </c>
      <c r="N74" s="18" t="s">
        <v>32</v>
      </c>
      <c r="O74" s="18" t="s">
        <v>40</v>
      </c>
      <c r="P74" s="20" t="s">
        <v>32</v>
      </c>
      <c r="R74" s="1" t="s">
        <v>4</v>
      </c>
      <c r="S74" s="3"/>
      <c r="T74" s="4"/>
      <c r="U74" s="4"/>
      <c r="V74" s="4"/>
      <c r="W74" s="4"/>
      <c r="X74" s="18" t="s">
        <v>14</v>
      </c>
      <c r="Y74" s="18" t="s">
        <v>32</v>
      </c>
      <c r="Z74" s="18" t="s">
        <v>23</v>
      </c>
      <c r="AA74" s="18" t="s">
        <v>23</v>
      </c>
      <c r="AB74" s="20" t="s">
        <v>14</v>
      </c>
      <c r="AD74" s="1" t="s">
        <v>4</v>
      </c>
      <c r="AE74" s="3"/>
      <c r="AF74" s="4"/>
      <c r="AG74" s="4"/>
      <c r="AH74" s="4"/>
      <c r="AI74" s="4"/>
      <c r="AJ74" s="18">
        <v>1</v>
      </c>
      <c r="AK74" s="18" t="s">
        <v>32</v>
      </c>
      <c r="AL74" s="18" t="s">
        <v>23</v>
      </c>
      <c r="AM74" s="18" t="s">
        <v>40</v>
      </c>
      <c r="AN74" s="20" t="s">
        <v>32</v>
      </c>
    </row>
    <row r="75" spans="1:40" outlineLevel="1" x14ac:dyDescent="0.2">
      <c r="A75" s="5" t="s">
        <v>5</v>
      </c>
      <c r="B75" s="15" t="e">
        <f>SUMIF(#REF!,A75,#REF!)+#REF!</f>
        <v>#REF!</v>
      </c>
      <c r="C75" s="16" t="e">
        <f t="shared" si="13"/>
        <v>#REF!</v>
      </c>
      <c r="D75" s="16">
        <v>6</v>
      </c>
      <c r="E75" s="15" t="e">
        <f t="shared" si="14"/>
        <v>#REF!</v>
      </c>
      <c r="F75" s="1" t="s">
        <v>5</v>
      </c>
      <c r="G75" s="3"/>
      <c r="H75" s="4"/>
      <c r="I75" s="4"/>
      <c r="J75" s="4"/>
      <c r="K75" s="4"/>
      <c r="L75" s="4"/>
      <c r="M75" s="18" t="s">
        <v>15</v>
      </c>
      <c r="N75" s="18" t="s">
        <v>15</v>
      </c>
      <c r="O75" s="18" t="s">
        <v>15</v>
      </c>
      <c r="P75" s="20" t="s">
        <v>15</v>
      </c>
      <c r="R75" s="1" t="s">
        <v>5</v>
      </c>
      <c r="S75" s="3"/>
      <c r="T75" s="4"/>
      <c r="U75" s="4"/>
      <c r="V75" s="4"/>
      <c r="W75" s="4"/>
      <c r="X75" s="4"/>
      <c r="Y75" s="18" t="s">
        <v>24</v>
      </c>
      <c r="Z75" s="18" t="s">
        <v>15</v>
      </c>
      <c r="AA75" s="18" t="s">
        <v>24</v>
      </c>
      <c r="AB75" s="20" t="s">
        <v>15</v>
      </c>
      <c r="AD75" s="1" t="s">
        <v>5</v>
      </c>
      <c r="AE75" s="3"/>
      <c r="AF75" s="4"/>
      <c r="AG75" s="4"/>
      <c r="AH75" s="4"/>
      <c r="AI75" s="4"/>
      <c r="AJ75" s="4"/>
      <c r="AK75" s="18" t="s">
        <v>41</v>
      </c>
      <c r="AL75" s="18" t="s">
        <v>24</v>
      </c>
      <c r="AM75" s="18" t="s">
        <v>33</v>
      </c>
      <c r="AN75" s="20" t="s">
        <v>33</v>
      </c>
    </row>
    <row r="76" spans="1:40" outlineLevel="1" x14ac:dyDescent="0.2">
      <c r="A76" s="5" t="s">
        <v>6</v>
      </c>
      <c r="B76" s="15" t="e">
        <f>SUMIF(#REF!,A76,#REF!)+#REF!</f>
        <v>#REF!</v>
      </c>
      <c r="C76" s="16" t="e">
        <f t="shared" si="13"/>
        <v>#REF!</v>
      </c>
      <c r="D76" s="16">
        <v>7</v>
      </c>
      <c r="E76" s="15" t="e">
        <f t="shared" si="14"/>
        <v>#REF!</v>
      </c>
      <c r="F76" s="1" t="s">
        <v>6</v>
      </c>
      <c r="G76" s="3"/>
      <c r="H76" s="4"/>
      <c r="I76" s="4"/>
      <c r="J76" s="4"/>
      <c r="K76" s="4"/>
      <c r="L76" s="4"/>
      <c r="M76" s="4"/>
      <c r="N76" s="18" t="s">
        <v>16</v>
      </c>
      <c r="O76" s="18" t="s">
        <v>16</v>
      </c>
      <c r="P76" s="20" t="s">
        <v>16</v>
      </c>
      <c r="R76" s="1" t="s">
        <v>6</v>
      </c>
      <c r="S76" s="3"/>
      <c r="T76" s="4"/>
      <c r="U76" s="4"/>
      <c r="V76" s="4"/>
      <c r="W76" s="4"/>
      <c r="X76" s="4"/>
      <c r="Y76" s="4"/>
      <c r="Z76" s="18" t="s">
        <v>26</v>
      </c>
      <c r="AA76" s="18" t="s">
        <v>27</v>
      </c>
      <c r="AB76" s="20" t="s">
        <v>54</v>
      </c>
      <c r="AD76" s="1" t="s">
        <v>6</v>
      </c>
      <c r="AE76" s="3"/>
      <c r="AF76" s="4"/>
      <c r="AG76" s="4"/>
      <c r="AH76" s="4"/>
      <c r="AI76" s="4"/>
      <c r="AJ76" s="4"/>
      <c r="AK76" s="4"/>
      <c r="AL76" s="18" t="s">
        <v>26</v>
      </c>
      <c r="AM76" s="18">
        <v>1</v>
      </c>
      <c r="AN76" s="20">
        <v>1</v>
      </c>
    </row>
    <row r="77" spans="1:40" outlineLevel="1" x14ac:dyDescent="0.2">
      <c r="A77" s="5" t="s">
        <v>7</v>
      </c>
      <c r="B77" s="15" t="e">
        <f>SUMIF(#REF!,A77,#REF!)+#REF!</f>
        <v>#REF!</v>
      </c>
      <c r="C77" s="16" t="e">
        <f t="shared" si="13"/>
        <v>#REF!</v>
      </c>
      <c r="D77" s="16">
        <v>8</v>
      </c>
      <c r="E77" s="15" t="e">
        <f t="shared" si="14"/>
        <v>#REF!</v>
      </c>
      <c r="F77" s="1" t="s">
        <v>7</v>
      </c>
      <c r="G77" s="3"/>
      <c r="H77" s="4"/>
      <c r="I77" s="4"/>
      <c r="J77" s="4"/>
      <c r="K77" s="4"/>
      <c r="L77" s="4"/>
      <c r="M77" s="4"/>
      <c r="N77" s="4"/>
      <c r="O77" s="18">
        <v>1</v>
      </c>
      <c r="P77" s="20">
        <v>1</v>
      </c>
      <c r="R77" s="1" t="s">
        <v>7</v>
      </c>
      <c r="S77" s="3"/>
      <c r="T77" s="4"/>
      <c r="U77" s="4"/>
      <c r="V77" s="4"/>
      <c r="W77" s="4"/>
      <c r="X77" s="4"/>
      <c r="Y77" s="4"/>
      <c r="Z77" s="4"/>
      <c r="AA77" s="18" t="s">
        <v>17</v>
      </c>
      <c r="AB77" s="20" t="s">
        <v>53</v>
      </c>
      <c r="AD77" s="1" t="s">
        <v>7</v>
      </c>
      <c r="AE77" s="3"/>
      <c r="AF77" s="4"/>
      <c r="AG77" s="4"/>
      <c r="AH77" s="4"/>
      <c r="AI77" s="4"/>
      <c r="AJ77" s="4"/>
      <c r="AK77" s="4"/>
      <c r="AL77" s="4"/>
      <c r="AM77" s="18" t="s">
        <v>17</v>
      </c>
      <c r="AN77" s="20" t="s">
        <v>26</v>
      </c>
    </row>
    <row r="78" spans="1:40" outlineLevel="1" x14ac:dyDescent="0.2">
      <c r="A78" s="5" t="s">
        <v>8</v>
      </c>
      <c r="B78" s="15" t="e">
        <f>SUMIF(#REF!,A78,#REF!)+#REF!</f>
        <v>#REF!</v>
      </c>
      <c r="C78" s="16" t="e">
        <f t="shared" si="13"/>
        <v>#REF!</v>
      </c>
      <c r="D78" s="16">
        <v>9</v>
      </c>
      <c r="E78" s="15" t="e">
        <f t="shared" si="14"/>
        <v>#REF!</v>
      </c>
      <c r="F78" s="1" t="s">
        <v>8</v>
      </c>
      <c r="G78" s="3"/>
      <c r="H78" s="4"/>
      <c r="I78" s="4"/>
      <c r="J78" s="4"/>
      <c r="K78" s="4"/>
      <c r="L78" s="4"/>
      <c r="M78" s="4"/>
      <c r="N78" s="4"/>
      <c r="O78" s="4"/>
      <c r="P78" s="20">
        <v>1</v>
      </c>
      <c r="R78" s="1" t="s">
        <v>8</v>
      </c>
      <c r="S78" s="3"/>
      <c r="T78" s="4"/>
      <c r="U78" s="4"/>
      <c r="V78" s="4"/>
      <c r="W78" s="4"/>
      <c r="X78" s="4"/>
      <c r="Y78" s="4"/>
      <c r="Z78" s="4"/>
      <c r="AA78" s="4"/>
      <c r="AB78" s="20">
        <v>1</v>
      </c>
      <c r="AD78" s="1" t="s">
        <v>8</v>
      </c>
      <c r="AE78" s="3"/>
      <c r="AF78" s="4"/>
      <c r="AG78" s="4"/>
      <c r="AH78" s="4"/>
      <c r="AI78" s="4"/>
      <c r="AJ78" s="4"/>
      <c r="AK78" s="4"/>
      <c r="AL78" s="4"/>
      <c r="AM78" s="4"/>
      <c r="AN78" s="20">
        <v>1</v>
      </c>
    </row>
    <row r="79" spans="1:40" outlineLevel="1" x14ac:dyDescent="0.2">
      <c r="A79" s="6" t="s">
        <v>9</v>
      </c>
      <c r="B79" s="15" t="e">
        <f>SUMIF(#REF!,A79,#REF!)+#REF!</f>
        <v>#REF!</v>
      </c>
      <c r="C79" s="16" t="e">
        <f t="shared" si="13"/>
        <v>#REF!</v>
      </c>
      <c r="D79" s="16">
        <v>10</v>
      </c>
      <c r="E79" s="15" t="e">
        <f t="shared" si="14"/>
        <v>#REF!</v>
      </c>
      <c r="F79" s="1" t="s">
        <v>9</v>
      </c>
      <c r="G79" s="3"/>
      <c r="H79" s="4"/>
      <c r="I79" s="4"/>
      <c r="J79" s="4"/>
      <c r="K79" s="4"/>
      <c r="L79" s="4"/>
      <c r="M79" s="4"/>
      <c r="N79" s="4"/>
      <c r="O79" s="4"/>
      <c r="P79" s="4"/>
      <c r="R79" s="1" t="s">
        <v>9</v>
      </c>
      <c r="S79" s="3"/>
      <c r="T79" s="4"/>
      <c r="U79" s="4"/>
      <c r="V79" s="4"/>
      <c r="W79" s="4"/>
      <c r="X79" s="4"/>
      <c r="Y79" s="4"/>
      <c r="Z79" s="4"/>
      <c r="AA79" s="4"/>
      <c r="AB79" s="4"/>
      <c r="AD79" s="1" t="s">
        <v>9</v>
      </c>
      <c r="AE79" s="3"/>
      <c r="AF79" s="4"/>
      <c r="AG79" s="4"/>
      <c r="AH79" s="4"/>
      <c r="AI79" s="4"/>
      <c r="AJ79" s="4"/>
      <c r="AK79" s="4"/>
      <c r="AL79" s="4"/>
      <c r="AM79" s="4"/>
      <c r="AN79" s="4"/>
    </row>
    <row r="80" spans="1:40" ht="16" outlineLevel="1" thickBot="1" x14ac:dyDescent="0.25">
      <c r="A80" s="13" t="s">
        <v>59</v>
      </c>
      <c r="B80" s="14" t="s">
        <v>58</v>
      </c>
      <c r="C80" s="14"/>
      <c r="D80" s="14"/>
      <c r="E80" s="14"/>
      <c r="F80" s="12"/>
      <c r="G80" s="1" t="s">
        <v>1</v>
      </c>
      <c r="H80" s="1" t="s">
        <v>2</v>
      </c>
      <c r="I80" s="1" t="s">
        <v>3</v>
      </c>
      <c r="J80" s="1" t="s">
        <v>0</v>
      </c>
      <c r="K80" s="1" t="s">
        <v>4</v>
      </c>
      <c r="L80" s="1" t="s">
        <v>5</v>
      </c>
      <c r="M80" s="1" t="s">
        <v>6</v>
      </c>
      <c r="N80" s="1" t="s">
        <v>7</v>
      </c>
      <c r="O80" s="1" t="s">
        <v>8</v>
      </c>
      <c r="P80" s="1" t="s">
        <v>9</v>
      </c>
      <c r="R80" s="12"/>
      <c r="S80" s="1" t="s">
        <v>1</v>
      </c>
      <c r="T80" s="1" t="s">
        <v>2</v>
      </c>
      <c r="U80" s="1" t="s">
        <v>3</v>
      </c>
      <c r="V80" s="1" t="s">
        <v>0</v>
      </c>
      <c r="W80" s="1" t="s">
        <v>4</v>
      </c>
      <c r="X80" s="1" t="s">
        <v>5</v>
      </c>
      <c r="Y80" s="1" t="s">
        <v>6</v>
      </c>
      <c r="Z80" s="1" t="s">
        <v>7</v>
      </c>
      <c r="AA80" s="1" t="s">
        <v>8</v>
      </c>
      <c r="AB80" s="1" t="s">
        <v>9</v>
      </c>
      <c r="AD80" s="12"/>
      <c r="AE80" s="1" t="s">
        <v>1</v>
      </c>
      <c r="AF80" s="1" t="s">
        <v>2</v>
      </c>
      <c r="AG80" s="1" t="s">
        <v>3</v>
      </c>
      <c r="AH80" s="1" t="s">
        <v>0</v>
      </c>
      <c r="AI80" s="1" t="s">
        <v>4</v>
      </c>
      <c r="AJ80" s="1" t="s">
        <v>5</v>
      </c>
      <c r="AK80" s="1" t="s">
        <v>6</v>
      </c>
      <c r="AL80" s="1" t="s">
        <v>7</v>
      </c>
      <c r="AM80" s="1" t="s">
        <v>8</v>
      </c>
      <c r="AN80" s="1" t="s">
        <v>9</v>
      </c>
    </row>
    <row r="81" spans="1:40" outlineLevel="1" x14ac:dyDescent="0.2">
      <c r="A81" s="5" t="s">
        <v>1</v>
      </c>
      <c r="B81" s="15" t="e">
        <f>SUMIF(#REF!,A81,#REF!)+#REF!</f>
        <v>#REF!</v>
      </c>
      <c r="C81" s="16" t="e">
        <f t="shared" ref="C81:C90" si="15">LARGE($B$81:$B$90,D81)</f>
        <v>#REF!</v>
      </c>
      <c r="D81" s="16">
        <v>1</v>
      </c>
      <c r="E81" s="15" t="e">
        <f>IF(SUM(B81:B90)=0,0,D81)</f>
        <v>#REF!</v>
      </c>
      <c r="F81" s="1" t="s">
        <v>1</v>
      </c>
      <c r="G81" s="2"/>
      <c r="H81" s="17" t="s">
        <v>11</v>
      </c>
      <c r="I81" s="17" t="s">
        <v>10</v>
      </c>
      <c r="J81" s="17" t="s">
        <v>22</v>
      </c>
      <c r="K81" s="17">
        <v>1</v>
      </c>
      <c r="L81" s="17" t="s">
        <v>10</v>
      </c>
      <c r="M81" s="17" t="s">
        <v>45</v>
      </c>
      <c r="N81" s="17" t="s">
        <v>10</v>
      </c>
      <c r="O81" s="17" t="s">
        <v>10</v>
      </c>
      <c r="P81" s="19" t="s">
        <v>19</v>
      </c>
      <c r="R81" s="1" t="s">
        <v>1</v>
      </c>
      <c r="S81" s="2"/>
      <c r="T81" s="17" t="s">
        <v>10</v>
      </c>
      <c r="U81" s="17" t="s">
        <v>19</v>
      </c>
      <c r="V81" s="17" t="s">
        <v>10</v>
      </c>
      <c r="W81" s="17">
        <v>1</v>
      </c>
      <c r="X81" s="17" t="s">
        <v>10</v>
      </c>
      <c r="Y81" s="17" t="s">
        <v>45</v>
      </c>
      <c r="Z81" s="17">
        <v>1</v>
      </c>
      <c r="AA81" s="17" t="s">
        <v>19</v>
      </c>
      <c r="AB81" s="19">
        <v>1</v>
      </c>
      <c r="AD81" s="1" t="s">
        <v>1</v>
      </c>
      <c r="AE81" s="2"/>
      <c r="AF81" s="17" t="s">
        <v>19</v>
      </c>
      <c r="AG81" s="17" t="s">
        <v>19</v>
      </c>
      <c r="AH81" s="17">
        <v>1</v>
      </c>
      <c r="AI81" s="17" t="s">
        <v>10</v>
      </c>
      <c r="AJ81" s="17" t="s">
        <v>19</v>
      </c>
      <c r="AK81" s="17" t="s">
        <v>45</v>
      </c>
      <c r="AL81" s="17">
        <v>1</v>
      </c>
      <c r="AM81" s="17" t="s">
        <v>19</v>
      </c>
      <c r="AN81" s="19">
        <v>1</v>
      </c>
    </row>
    <row r="82" spans="1:40" outlineLevel="1" x14ac:dyDescent="0.2">
      <c r="A82" s="5" t="s">
        <v>2</v>
      </c>
      <c r="B82" s="15" t="e">
        <f>SUMIF(#REF!,A82,#REF!)+#REF!</f>
        <v>#REF!</v>
      </c>
      <c r="C82" s="16" t="e">
        <f t="shared" si="15"/>
        <v>#REF!</v>
      </c>
      <c r="D82" s="16">
        <v>2</v>
      </c>
      <c r="E82" s="15" t="e">
        <f>(C82/$C$81)*$E$81</f>
        <v>#REF!</v>
      </c>
      <c r="F82" s="1" t="s">
        <v>2</v>
      </c>
      <c r="G82" s="3"/>
      <c r="H82" s="4"/>
      <c r="I82" s="18" t="s">
        <v>11</v>
      </c>
      <c r="J82" s="18" t="s">
        <v>22</v>
      </c>
      <c r="K82" s="18">
        <v>1</v>
      </c>
      <c r="L82" s="18" t="s">
        <v>11</v>
      </c>
      <c r="M82" s="18" t="s">
        <v>46</v>
      </c>
      <c r="N82" s="18" t="s">
        <v>11</v>
      </c>
      <c r="O82" s="18">
        <v>1</v>
      </c>
      <c r="P82" s="20" t="s">
        <v>11</v>
      </c>
      <c r="R82" s="1" t="s">
        <v>2</v>
      </c>
      <c r="S82" s="3"/>
      <c r="T82" s="4"/>
      <c r="U82" s="18">
        <v>1</v>
      </c>
      <c r="V82" s="18" t="s">
        <v>22</v>
      </c>
      <c r="W82" s="18" t="s">
        <v>14</v>
      </c>
      <c r="X82" s="18">
        <v>1</v>
      </c>
      <c r="Y82" s="18" t="s">
        <v>46</v>
      </c>
      <c r="Z82" s="18" t="s">
        <v>17</v>
      </c>
      <c r="AA82" s="18" t="s">
        <v>11</v>
      </c>
      <c r="AB82" s="20" t="s">
        <v>54</v>
      </c>
      <c r="AD82" s="1" t="s">
        <v>2</v>
      </c>
      <c r="AE82" s="3"/>
      <c r="AF82" s="4"/>
      <c r="AG82" s="18">
        <v>1</v>
      </c>
      <c r="AH82" s="18" t="s">
        <v>22</v>
      </c>
      <c r="AI82" s="18" t="s">
        <v>14</v>
      </c>
      <c r="AJ82" s="18">
        <v>1</v>
      </c>
      <c r="AK82" s="18" t="s">
        <v>46</v>
      </c>
      <c r="AL82" s="18" t="s">
        <v>26</v>
      </c>
      <c r="AM82" s="18">
        <v>1</v>
      </c>
      <c r="AN82" s="20" t="s">
        <v>54</v>
      </c>
    </row>
    <row r="83" spans="1:40" outlineLevel="1" x14ac:dyDescent="0.2">
      <c r="A83" s="5" t="s">
        <v>3</v>
      </c>
      <c r="B83" s="15" t="e">
        <f>SUMIF(#REF!,A83,#REF!)+#REF!</f>
        <v>#REF!</v>
      </c>
      <c r="C83" s="16" t="e">
        <f t="shared" si="15"/>
        <v>#REF!</v>
      </c>
      <c r="D83" s="16">
        <v>3</v>
      </c>
      <c r="E83" s="15" t="e">
        <f t="shared" ref="E83:E90" si="16">(C83/$C$81)*$E$81</f>
        <v>#REF!</v>
      </c>
      <c r="F83" s="1" t="s">
        <v>3</v>
      </c>
      <c r="G83" s="3"/>
      <c r="H83" s="4"/>
      <c r="I83" s="4"/>
      <c r="J83" s="18" t="s">
        <v>22</v>
      </c>
      <c r="K83" s="18" t="s">
        <v>14</v>
      </c>
      <c r="L83" s="18">
        <v>1</v>
      </c>
      <c r="M83" s="18" t="s">
        <v>47</v>
      </c>
      <c r="N83" s="18">
        <v>1</v>
      </c>
      <c r="O83" s="18" t="s">
        <v>12</v>
      </c>
      <c r="P83" s="20" t="s">
        <v>12</v>
      </c>
      <c r="R83" s="1" t="s">
        <v>3</v>
      </c>
      <c r="S83" s="3"/>
      <c r="T83" s="4"/>
      <c r="U83" s="4"/>
      <c r="V83" s="18" t="s">
        <v>22</v>
      </c>
      <c r="W83" s="18" t="s">
        <v>14</v>
      </c>
      <c r="X83" s="18">
        <v>1</v>
      </c>
      <c r="Y83" s="18" t="s">
        <v>47</v>
      </c>
      <c r="Z83" s="18" t="s">
        <v>26</v>
      </c>
      <c r="AA83" s="18" t="s">
        <v>12</v>
      </c>
      <c r="AB83" s="20" t="s">
        <v>54</v>
      </c>
      <c r="AD83" s="1" t="s">
        <v>3</v>
      </c>
      <c r="AE83" s="3"/>
      <c r="AF83" s="4"/>
      <c r="AG83" s="4"/>
      <c r="AH83" s="18" t="s">
        <v>22</v>
      </c>
      <c r="AI83" s="18" t="s">
        <v>14</v>
      </c>
      <c r="AJ83" s="18">
        <v>1</v>
      </c>
      <c r="AK83" s="18" t="s">
        <v>47</v>
      </c>
      <c r="AL83" s="18" t="s">
        <v>26</v>
      </c>
      <c r="AM83" s="18">
        <v>1</v>
      </c>
      <c r="AN83" s="20" t="s">
        <v>54</v>
      </c>
    </row>
    <row r="84" spans="1:40" outlineLevel="1" x14ac:dyDescent="0.2">
      <c r="A84" s="5" t="s">
        <v>0</v>
      </c>
      <c r="B84" s="15" t="e">
        <f>SUMIF(#REF!,A84,#REF!)+#REF!</f>
        <v>#REF!</v>
      </c>
      <c r="C84" s="16" t="e">
        <f t="shared" si="15"/>
        <v>#REF!</v>
      </c>
      <c r="D84" s="16">
        <v>4</v>
      </c>
      <c r="E84" s="15" t="e">
        <f t="shared" si="16"/>
        <v>#REF!</v>
      </c>
      <c r="F84" s="1" t="s">
        <v>0</v>
      </c>
      <c r="G84" s="3"/>
      <c r="H84" s="4"/>
      <c r="I84" s="4"/>
      <c r="J84" s="4"/>
      <c r="K84" s="18" t="s">
        <v>22</v>
      </c>
      <c r="L84" s="18" t="s">
        <v>22</v>
      </c>
      <c r="M84" s="18" t="s">
        <v>48</v>
      </c>
      <c r="N84" s="18" t="s">
        <v>22</v>
      </c>
      <c r="O84" s="18" t="s">
        <v>31</v>
      </c>
      <c r="P84" s="20" t="s">
        <v>31</v>
      </c>
      <c r="R84" s="1" t="s">
        <v>0</v>
      </c>
      <c r="S84" s="3"/>
      <c r="T84" s="4"/>
      <c r="U84" s="4"/>
      <c r="V84" s="4"/>
      <c r="W84" s="18">
        <v>1</v>
      </c>
      <c r="X84" s="18" t="s">
        <v>22</v>
      </c>
      <c r="Y84" s="18" t="s">
        <v>48</v>
      </c>
      <c r="Z84" s="18" t="s">
        <v>17</v>
      </c>
      <c r="AA84" s="18" t="s">
        <v>22</v>
      </c>
      <c r="AB84" s="20" t="s">
        <v>53</v>
      </c>
      <c r="AD84" s="1" t="s">
        <v>0</v>
      </c>
      <c r="AE84" s="3"/>
      <c r="AF84" s="4"/>
      <c r="AG84" s="4"/>
      <c r="AH84" s="4"/>
      <c r="AI84" s="18" t="s">
        <v>13</v>
      </c>
      <c r="AJ84" s="18" t="s">
        <v>22</v>
      </c>
      <c r="AK84" s="18" t="s">
        <v>48</v>
      </c>
      <c r="AL84" s="18">
        <v>1</v>
      </c>
      <c r="AM84" s="18" t="s">
        <v>22</v>
      </c>
      <c r="AN84" s="20">
        <v>1</v>
      </c>
    </row>
    <row r="85" spans="1:40" outlineLevel="1" x14ac:dyDescent="0.2">
      <c r="A85" s="5" t="s">
        <v>4</v>
      </c>
      <c r="B85" s="15" t="e">
        <f>SUMIF(#REF!,A85,#REF!)+#REF!</f>
        <v>#REF!</v>
      </c>
      <c r="C85" s="16" t="e">
        <f t="shared" si="15"/>
        <v>#REF!</v>
      </c>
      <c r="D85" s="16">
        <v>5</v>
      </c>
      <c r="E85" s="15" t="e">
        <f t="shared" si="16"/>
        <v>#REF!</v>
      </c>
      <c r="F85" s="1" t="s">
        <v>4</v>
      </c>
      <c r="G85" s="3"/>
      <c r="H85" s="4"/>
      <c r="I85" s="4"/>
      <c r="J85" s="4"/>
      <c r="K85" s="4"/>
      <c r="L85" s="18" t="s">
        <v>14</v>
      </c>
      <c r="M85" s="18" t="s">
        <v>49</v>
      </c>
      <c r="N85" s="18" t="s">
        <v>14</v>
      </c>
      <c r="O85" s="18" t="s">
        <v>14</v>
      </c>
      <c r="P85" s="20" t="s">
        <v>14</v>
      </c>
      <c r="R85" s="1" t="s">
        <v>4</v>
      </c>
      <c r="S85" s="3"/>
      <c r="T85" s="4"/>
      <c r="U85" s="4"/>
      <c r="V85" s="4"/>
      <c r="W85" s="4"/>
      <c r="X85" s="18" t="s">
        <v>14</v>
      </c>
      <c r="Y85" s="18" t="s">
        <v>49</v>
      </c>
      <c r="Z85" s="18">
        <v>1</v>
      </c>
      <c r="AA85" s="18" t="s">
        <v>23</v>
      </c>
      <c r="AB85" s="20">
        <v>1</v>
      </c>
      <c r="AD85" s="1" t="s">
        <v>4</v>
      </c>
      <c r="AE85" s="3"/>
      <c r="AF85" s="4"/>
      <c r="AG85" s="4"/>
      <c r="AH85" s="4"/>
      <c r="AI85" s="4"/>
      <c r="AJ85" s="18" t="s">
        <v>14</v>
      </c>
      <c r="AK85" s="18" t="s">
        <v>49</v>
      </c>
      <c r="AL85" s="18" t="s">
        <v>17</v>
      </c>
      <c r="AM85" s="18" t="s">
        <v>14</v>
      </c>
      <c r="AN85" s="20" t="s">
        <v>53</v>
      </c>
    </row>
    <row r="86" spans="1:40" outlineLevel="1" x14ac:dyDescent="0.2">
      <c r="A86" s="5" t="s">
        <v>5</v>
      </c>
      <c r="B86" s="15" t="e">
        <f>SUMIF(#REF!,A86,#REF!)+#REF!</f>
        <v>#REF!</v>
      </c>
      <c r="C86" s="16" t="e">
        <f t="shared" si="15"/>
        <v>#REF!</v>
      </c>
      <c r="D86" s="16">
        <v>6</v>
      </c>
      <c r="E86" s="15" t="e">
        <f t="shared" si="16"/>
        <v>#REF!</v>
      </c>
      <c r="F86" s="1" t="s">
        <v>5</v>
      </c>
      <c r="G86" s="3"/>
      <c r="H86" s="4"/>
      <c r="I86" s="4"/>
      <c r="J86" s="4"/>
      <c r="K86" s="4"/>
      <c r="L86" s="4"/>
      <c r="M86" s="18" t="s">
        <v>50</v>
      </c>
      <c r="N86" s="18">
        <v>1</v>
      </c>
      <c r="O86" s="18" t="s">
        <v>15</v>
      </c>
      <c r="P86" s="20" t="s">
        <v>24</v>
      </c>
      <c r="R86" s="1" t="s">
        <v>5</v>
      </c>
      <c r="S86" s="3"/>
      <c r="T86" s="4"/>
      <c r="U86" s="4"/>
      <c r="V86" s="4"/>
      <c r="W86" s="4"/>
      <c r="X86" s="4"/>
      <c r="Y86" s="18" t="s">
        <v>50</v>
      </c>
      <c r="Z86" s="18" t="s">
        <v>26</v>
      </c>
      <c r="AA86" s="18" t="s">
        <v>15</v>
      </c>
      <c r="AB86" s="20" t="s">
        <v>53</v>
      </c>
      <c r="AD86" s="1" t="s">
        <v>5</v>
      </c>
      <c r="AE86" s="3"/>
      <c r="AF86" s="4"/>
      <c r="AG86" s="4"/>
      <c r="AH86" s="4"/>
      <c r="AI86" s="4"/>
      <c r="AJ86" s="4"/>
      <c r="AK86" s="18" t="s">
        <v>50</v>
      </c>
      <c r="AL86" s="18" t="s">
        <v>26</v>
      </c>
      <c r="AM86" s="18" t="s">
        <v>15</v>
      </c>
      <c r="AN86" s="20" t="s">
        <v>54</v>
      </c>
    </row>
    <row r="87" spans="1:40" outlineLevel="1" x14ac:dyDescent="0.2">
      <c r="A87" s="5" t="s">
        <v>6</v>
      </c>
      <c r="B87" s="15" t="e">
        <f>SUMIF(#REF!,A87,#REF!)+#REF!</f>
        <v>#REF!</v>
      </c>
      <c r="C87" s="16" t="e">
        <f t="shared" si="15"/>
        <v>#REF!</v>
      </c>
      <c r="D87" s="16">
        <v>7</v>
      </c>
      <c r="E87" s="15" t="e">
        <f t="shared" si="16"/>
        <v>#REF!</v>
      </c>
      <c r="F87" s="1" t="s">
        <v>6</v>
      </c>
      <c r="G87" s="3"/>
      <c r="H87" s="4"/>
      <c r="I87" s="4"/>
      <c r="J87" s="4"/>
      <c r="K87" s="4"/>
      <c r="L87" s="4"/>
      <c r="M87" s="4"/>
      <c r="N87" s="18" t="s">
        <v>51</v>
      </c>
      <c r="O87" s="18" t="s">
        <v>52</v>
      </c>
      <c r="P87" s="20" t="s">
        <v>57</v>
      </c>
      <c r="R87" s="1" t="s">
        <v>6</v>
      </c>
      <c r="S87" s="3"/>
      <c r="T87" s="4"/>
      <c r="U87" s="4"/>
      <c r="V87" s="4"/>
      <c r="W87" s="4"/>
      <c r="X87" s="4"/>
      <c r="Y87" s="4"/>
      <c r="Z87" s="18" t="s">
        <v>51</v>
      </c>
      <c r="AA87" s="18" t="s">
        <v>52</v>
      </c>
      <c r="AB87" s="20" t="s">
        <v>57</v>
      </c>
      <c r="AD87" s="1" t="s">
        <v>6</v>
      </c>
      <c r="AE87" s="3"/>
      <c r="AF87" s="4"/>
      <c r="AG87" s="4"/>
      <c r="AH87" s="4"/>
      <c r="AI87" s="4"/>
      <c r="AJ87" s="4"/>
      <c r="AK87" s="4"/>
      <c r="AL87" s="18" t="s">
        <v>51</v>
      </c>
      <c r="AM87" s="18" t="s">
        <v>52</v>
      </c>
      <c r="AN87" s="20" t="s">
        <v>57</v>
      </c>
    </row>
    <row r="88" spans="1:40" outlineLevel="1" x14ac:dyDescent="0.2">
      <c r="A88" s="5" t="s">
        <v>7</v>
      </c>
      <c r="B88" s="15" t="e">
        <f>SUMIF(#REF!,A88,#REF!)+#REF!</f>
        <v>#REF!</v>
      </c>
      <c r="C88" s="16" t="e">
        <f t="shared" si="15"/>
        <v>#REF!</v>
      </c>
      <c r="D88" s="16">
        <v>8</v>
      </c>
      <c r="E88" s="15" t="e">
        <f t="shared" si="16"/>
        <v>#REF!</v>
      </c>
      <c r="F88" s="1" t="s">
        <v>7</v>
      </c>
      <c r="G88" s="3"/>
      <c r="H88" s="4"/>
      <c r="I88" s="4"/>
      <c r="J88" s="4"/>
      <c r="K88" s="4"/>
      <c r="L88" s="4"/>
      <c r="M88" s="4"/>
      <c r="N88" s="4"/>
      <c r="O88" s="18" t="s">
        <v>17</v>
      </c>
      <c r="P88" s="20" t="s">
        <v>26</v>
      </c>
      <c r="R88" s="1" t="s">
        <v>7</v>
      </c>
      <c r="S88" s="3"/>
      <c r="T88" s="4"/>
      <c r="U88" s="4"/>
      <c r="V88" s="4"/>
      <c r="W88" s="4"/>
      <c r="X88" s="4"/>
      <c r="Y88" s="4"/>
      <c r="Z88" s="4"/>
      <c r="AA88" s="18" t="s">
        <v>35</v>
      </c>
      <c r="AB88" s="20">
        <v>1</v>
      </c>
      <c r="AD88" s="1" t="s">
        <v>7</v>
      </c>
      <c r="AE88" s="3"/>
      <c r="AF88" s="4"/>
      <c r="AG88" s="4"/>
      <c r="AH88" s="4"/>
      <c r="AI88" s="4"/>
      <c r="AJ88" s="4"/>
      <c r="AK88" s="4"/>
      <c r="AL88" s="4"/>
      <c r="AM88" s="18" t="s">
        <v>35</v>
      </c>
      <c r="AN88" s="20">
        <v>1</v>
      </c>
    </row>
    <row r="89" spans="1:40" outlineLevel="1" x14ac:dyDescent="0.2">
      <c r="A89" s="5" t="s">
        <v>8</v>
      </c>
      <c r="B89" s="15" t="e">
        <f>SUMIF(#REF!,A89,#REF!)+#REF!</f>
        <v>#REF!</v>
      </c>
      <c r="C89" s="16" t="e">
        <f t="shared" si="15"/>
        <v>#REF!</v>
      </c>
      <c r="D89" s="16">
        <v>9</v>
      </c>
      <c r="E89" s="15" t="e">
        <f t="shared" si="16"/>
        <v>#REF!</v>
      </c>
      <c r="F89" s="1" t="s">
        <v>8</v>
      </c>
      <c r="G89" s="3"/>
      <c r="H89" s="4"/>
      <c r="I89" s="4"/>
      <c r="J89" s="4"/>
      <c r="K89" s="4"/>
      <c r="L89" s="4"/>
      <c r="M89" s="4"/>
      <c r="N89" s="4"/>
      <c r="O89" s="4"/>
      <c r="P89" s="20" t="s">
        <v>18</v>
      </c>
      <c r="R89" s="1" t="s">
        <v>8</v>
      </c>
      <c r="S89" s="3"/>
      <c r="T89" s="4"/>
      <c r="U89" s="4"/>
      <c r="V89" s="4"/>
      <c r="W89" s="4"/>
      <c r="X89" s="4"/>
      <c r="Y89" s="4"/>
      <c r="Z89" s="4"/>
      <c r="AA89" s="4"/>
      <c r="AB89" s="20" t="s">
        <v>54</v>
      </c>
      <c r="AD89" s="1" t="s">
        <v>8</v>
      </c>
      <c r="AE89" s="3"/>
      <c r="AF89" s="4"/>
      <c r="AG89" s="4"/>
      <c r="AH89" s="4"/>
      <c r="AI89" s="4"/>
      <c r="AJ89" s="4"/>
      <c r="AK89" s="4"/>
      <c r="AL89" s="4"/>
      <c r="AM89" s="4"/>
      <c r="AN89" s="20" t="s">
        <v>55</v>
      </c>
    </row>
    <row r="90" spans="1:40" outlineLevel="1" x14ac:dyDescent="0.2">
      <c r="A90" s="6" t="s">
        <v>9</v>
      </c>
      <c r="B90" s="15" t="e">
        <f>SUMIF(#REF!,A90,#REF!)+#REF!</f>
        <v>#REF!</v>
      </c>
      <c r="C90" s="16" t="e">
        <f t="shared" si="15"/>
        <v>#REF!</v>
      </c>
      <c r="D90" s="16">
        <v>10</v>
      </c>
      <c r="E90" s="15" t="e">
        <f t="shared" si="16"/>
        <v>#REF!</v>
      </c>
      <c r="F90" s="1" t="s">
        <v>9</v>
      </c>
      <c r="G90" s="3"/>
      <c r="H90" s="4"/>
      <c r="I90" s="4"/>
      <c r="J90" s="4"/>
      <c r="K90" s="4"/>
      <c r="L90" s="4"/>
      <c r="M90" s="4"/>
      <c r="N90" s="4"/>
      <c r="O90" s="4"/>
      <c r="P90" s="4"/>
      <c r="R90" s="1" t="s">
        <v>9</v>
      </c>
      <c r="S90" s="3"/>
      <c r="T90" s="4"/>
      <c r="U90" s="4"/>
      <c r="V90" s="4"/>
      <c r="W90" s="4"/>
      <c r="X90" s="4"/>
      <c r="Y90" s="4" t="s">
        <v>61</v>
      </c>
      <c r="Z90" s="4"/>
      <c r="AA90" s="4"/>
      <c r="AB90" s="4"/>
      <c r="AD90" s="1" t="s">
        <v>9</v>
      </c>
      <c r="AE90" s="3"/>
      <c r="AF90" s="4"/>
      <c r="AG90" s="4"/>
      <c r="AH90" s="4"/>
      <c r="AI90" s="4"/>
      <c r="AJ90" s="4"/>
      <c r="AK90" s="4"/>
      <c r="AL90" s="4"/>
      <c r="AM90" s="4"/>
      <c r="AN90" s="4"/>
    </row>
    <row r="91" spans="1:40" ht="16" outlineLevel="1" thickBot="1" x14ac:dyDescent="0.25">
      <c r="A91" s="13" t="s">
        <v>59</v>
      </c>
      <c r="B91" s="14" t="s">
        <v>58</v>
      </c>
      <c r="C91" s="14"/>
      <c r="D91" s="14"/>
      <c r="E91" s="14"/>
      <c r="F91" s="12"/>
      <c r="G91" s="1" t="s">
        <v>1</v>
      </c>
      <c r="H91" s="1" t="s">
        <v>2</v>
      </c>
      <c r="I91" s="1" t="s">
        <v>3</v>
      </c>
      <c r="J91" s="1" t="s">
        <v>0</v>
      </c>
      <c r="K91" s="1" t="s">
        <v>4</v>
      </c>
      <c r="L91" s="1" t="s">
        <v>5</v>
      </c>
      <c r="M91" s="1" t="s">
        <v>6</v>
      </c>
      <c r="N91" s="1" t="s">
        <v>7</v>
      </c>
      <c r="O91" s="1" t="s">
        <v>8</v>
      </c>
      <c r="P91" s="1" t="s">
        <v>9</v>
      </c>
      <c r="R91" s="12"/>
      <c r="S91" s="1" t="s">
        <v>1</v>
      </c>
      <c r="T91" s="1" t="s">
        <v>2</v>
      </c>
      <c r="U91" s="1" t="s">
        <v>3</v>
      </c>
      <c r="V91" s="1" t="s">
        <v>0</v>
      </c>
      <c r="W91" s="1" t="s">
        <v>4</v>
      </c>
      <c r="X91" s="1" t="s">
        <v>5</v>
      </c>
      <c r="Y91" s="1" t="s">
        <v>6</v>
      </c>
      <c r="Z91" s="1" t="s">
        <v>7</v>
      </c>
      <c r="AA91" s="1" t="s">
        <v>8</v>
      </c>
      <c r="AB91" s="1" t="s">
        <v>9</v>
      </c>
      <c r="AD91" s="12"/>
      <c r="AE91" s="1" t="s">
        <v>1</v>
      </c>
      <c r="AF91" s="1" t="s">
        <v>2</v>
      </c>
      <c r="AG91" s="1" t="s">
        <v>3</v>
      </c>
      <c r="AH91" s="1" t="s">
        <v>0</v>
      </c>
      <c r="AI91" s="1" t="s">
        <v>4</v>
      </c>
      <c r="AJ91" s="1" t="s">
        <v>5</v>
      </c>
      <c r="AK91" s="1" t="s">
        <v>6</v>
      </c>
      <c r="AL91" s="1" t="s">
        <v>7</v>
      </c>
      <c r="AM91" s="1" t="s">
        <v>8</v>
      </c>
      <c r="AN91" s="1" t="s">
        <v>9</v>
      </c>
    </row>
    <row r="92" spans="1:40" outlineLevel="1" x14ac:dyDescent="0.2">
      <c r="A92" s="5" t="s">
        <v>1</v>
      </c>
      <c r="B92" s="15" t="e">
        <f>SUMIF(#REF!,A92,#REF!)+#REF!</f>
        <v>#REF!</v>
      </c>
      <c r="C92" s="16" t="e">
        <f t="shared" ref="C92:C101" si="17">LARGE($B$92:$B$101,D92)</f>
        <v>#REF!</v>
      </c>
      <c r="D92" s="16">
        <v>1</v>
      </c>
      <c r="E92" s="15" t="e">
        <f>IF(SUM(B92:B101)=0,0,D92)</f>
        <v>#REF!</v>
      </c>
      <c r="F92" s="1" t="s">
        <v>1</v>
      </c>
      <c r="G92" s="2"/>
      <c r="H92" s="17" t="s">
        <v>11</v>
      </c>
      <c r="I92" s="17" t="s">
        <v>12</v>
      </c>
      <c r="J92" s="17" t="s">
        <v>13</v>
      </c>
      <c r="K92" s="17" t="s">
        <v>14</v>
      </c>
      <c r="L92" s="17" t="s">
        <v>15</v>
      </c>
      <c r="M92" s="17" t="s">
        <v>10</v>
      </c>
      <c r="N92" s="17" t="s">
        <v>26</v>
      </c>
      <c r="O92" s="17" t="s">
        <v>19</v>
      </c>
      <c r="P92" s="19" t="s">
        <v>19</v>
      </c>
      <c r="R92" s="1" t="s">
        <v>1</v>
      </c>
      <c r="S92" s="2"/>
      <c r="T92" s="17">
        <v>1</v>
      </c>
      <c r="U92" s="17" t="s">
        <v>10</v>
      </c>
      <c r="V92" s="17">
        <v>1</v>
      </c>
      <c r="W92" s="17" t="s">
        <v>10</v>
      </c>
      <c r="X92" s="17" t="s">
        <v>10</v>
      </c>
      <c r="Y92" s="17" t="s">
        <v>19</v>
      </c>
      <c r="Z92" s="17">
        <v>1</v>
      </c>
      <c r="AA92" s="17" t="s">
        <v>10</v>
      </c>
      <c r="AB92" s="19" t="s">
        <v>10</v>
      </c>
      <c r="AD92" s="1" t="s">
        <v>1</v>
      </c>
      <c r="AE92" s="2"/>
      <c r="AF92" s="17" t="s">
        <v>10</v>
      </c>
      <c r="AG92" s="17">
        <v>1</v>
      </c>
      <c r="AH92" s="17" t="s">
        <v>13</v>
      </c>
      <c r="AI92" s="17">
        <v>1</v>
      </c>
      <c r="AJ92" s="17" t="s">
        <v>10</v>
      </c>
      <c r="AK92" s="17" t="s">
        <v>28</v>
      </c>
      <c r="AL92" s="17">
        <v>1</v>
      </c>
      <c r="AM92" s="17" t="s">
        <v>19</v>
      </c>
      <c r="AN92" s="19">
        <v>1</v>
      </c>
    </row>
    <row r="93" spans="1:40" outlineLevel="1" x14ac:dyDescent="0.2">
      <c r="A93" s="5" t="s">
        <v>2</v>
      </c>
      <c r="B93" s="15" t="e">
        <f>SUMIF(#REF!,A93,#REF!)+#REF!</f>
        <v>#REF!</v>
      </c>
      <c r="C93" s="16" t="e">
        <f t="shared" si="17"/>
        <v>#REF!</v>
      </c>
      <c r="D93" s="16">
        <v>2</v>
      </c>
      <c r="E93" s="15" t="e">
        <f>(C93/$C$92)*$E$92</f>
        <v>#REF!</v>
      </c>
      <c r="F93" s="1" t="s">
        <v>2</v>
      </c>
      <c r="G93" s="3"/>
      <c r="H93" s="4"/>
      <c r="I93" s="18" t="s">
        <v>11</v>
      </c>
      <c r="J93" s="18" t="s">
        <v>13</v>
      </c>
      <c r="K93" s="18" t="s">
        <v>11</v>
      </c>
      <c r="L93" s="18">
        <v>1</v>
      </c>
      <c r="M93" s="18" t="s">
        <v>20</v>
      </c>
      <c r="N93" s="18" t="s">
        <v>17</v>
      </c>
      <c r="O93" s="18" t="s">
        <v>11</v>
      </c>
      <c r="P93" s="20" t="s">
        <v>11</v>
      </c>
      <c r="R93" s="1" t="s">
        <v>2</v>
      </c>
      <c r="S93" s="3"/>
      <c r="T93" s="4"/>
      <c r="U93" s="18" t="s">
        <v>11</v>
      </c>
      <c r="V93" s="18" t="s">
        <v>13</v>
      </c>
      <c r="W93" s="18" t="s">
        <v>11</v>
      </c>
      <c r="X93" s="18" t="s">
        <v>11</v>
      </c>
      <c r="Y93" s="18" t="s">
        <v>29</v>
      </c>
      <c r="Z93" s="18" t="s">
        <v>17</v>
      </c>
      <c r="AA93" s="18" t="s">
        <v>11</v>
      </c>
      <c r="AB93" s="20" t="s">
        <v>11</v>
      </c>
      <c r="AD93" s="1" t="s">
        <v>2</v>
      </c>
      <c r="AE93" s="3"/>
      <c r="AF93" s="4"/>
      <c r="AG93" s="18" t="s">
        <v>12</v>
      </c>
      <c r="AH93" s="18" t="s">
        <v>22</v>
      </c>
      <c r="AI93" s="18" t="s">
        <v>14</v>
      </c>
      <c r="AJ93" s="18">
        <v>1</v>
      </c>
      <c r="AK93" s="18" t="s">
        <v>20</v>
      </c>
      <c r="AL93" s="18" t="s">
        <v>17</v>
      </c>
      <c r="AM93" s="18" t="s">
        <v>11</v>
      </c>
      <c r="AN93" s="20" t="s">
        <v>53</v>
      </c>
    </row>
    <row r="94" spans="1:40" outlineLevel="1" x14ac:dyDescent="0.2">
      <c r="A94" s="5" t="s">
        <v>3</v>
      </c>
      <c r="B94" s="15" t="e">
        <f>SUMIF(#REF!,A94,#REF!)+#REF!</f>
        <v>#REF!</v>
      </c>
      <c r="C94" s="16" t="e">
        <f t="shared" si="17"/>
        <v>#REF!</v>
      </c>
      <c r="D94" s="16">
        <v>3</v>
      </c>
      <c r="E94" s="15" t="e">
        <f t="shared" ref="E94:E101" si="18">(C94/$C$92)*$E$92</f>
        <v>#REF!</v>
      </c>
      <c r="F94" s="1" t="s">
        <v>3</v>
      </c>
      <c r="G94" s="3"/>
      <c r="H94" s="4"/>
      <c r="I94" s="4"/>
      <c r="J94" s="18" t="s">
        <v>13</v>
      </c>
      <c r="K94" s="18">
        <v>1</v>
      </c>
      <c r="L94" s="18" t="s">
        <v>15</v>
      </c>
      <c r="M94" s="18" t="s">
        <v>21</v>
      </c>
      <c r="N94" s="18" t="s">
        <v>17</v>
      </c>
      <c r="O94" s="18" t="s">
        <v>30</v>
      </c>
      <c r="P94" s="20" t="s">
        <v>21</v>
      </c>
      <c r="R94" s="1" t="s">
        <v>3</v>
      </c>
      <c r="S94" s="3"/>
      <c r="T94" s="4"/>
      <c r="U94" s="4"/>
      <c r="V94" s="18">
        <v>1</v>
      </c>
      <c r="W94" s="18">
        <v>1</v>
      </c>
      <c r="X94" s="18" t="s">
        <v>12</v>
      </c>
      <c r="Y94" s="18" t="s">
        <v>30</v>
      </c>
      <c r="Z94" s="18" t="s">
        <v>17</v>
      </c>
      <c r="AA94" s="18" t="s">
        <v>12</v>
      </c>
      <c r="AB94" s="20" t="s">
        <v>21</v>
      </c>
      <c r="AD94" s="1" t="s">
        <v>3</v>
      </c>
      <c r="AE94" s="3"/>
      <c r="AF94" s="4"/>
      <c r="AG94" s="4"/>
      <c r="AH94" s="18" t="s">
        <v>12</v>
      </c>
      <c r="AI94" s="18">
        <v>1</v>
      </c>
      <c r="AJ94" s="18" t="s">
        <v>12</v>
      </c>
      <c r="AK94" s="18" t="s">
        <v>30</v>
      </c>
      <c r="AL94" s="18">
        <v>1</v>
      </c>
      <c r="AM94" s="18" t="s">
        <v>21</v>
      </c>
      <c r="AN94" s="20">
        <v>1</v>
      </c>
    </row>
    <row r="95" spans="1:40" outlineLevel="1" x14ac:dyDescent="0.2">
      <c r="A95" s="5" t="s">
        <v>0</v>
      </c>
      <c r="B95" s="15" t="e">
        <f>SUMIF(#REF!,A95,#REF!)+#REF!</f>
        <v>#REF!</v>
      </c>
      <c r="C95" s="16" t="e">
        <f t="shared" si="17"/>
        <v>#REF!</v>
      </c>
      <c r="D95" s="16">
        <v>4</v>
      </c>
      <c r="E95" s="15" t="e">
        <f t="shared" si="18"/>
        <v>#REF!</v>
      </c>
      <c r="F95" s="1" t="s">
        <v>0</v>
      </c>
      <c r="G95" s="3"/>
      <c r="H95" s="4"/>
      <c r="I95" s="4"/>
      <c r="J95" s="4"/>
      <c r="K95" s="18" t="s">
        <v>13</v>
      </c>
      <c r="L95" s="18">
        <v>1</v>
      </c>
      <c r="M95" s="18" t="s">
        <v>22</v>
      </c>
      <c r="N95" s="18" t="s">
        <v>17</v>
      </c>
      <c r="O95" s="18" t="s">
        <v>31</v>
      </c>
      <c r="P95" s="20" t="s">
        <v>22</v>
      </c>
      <c r="R95" s="1" t="s">
        <v>0</v>
      </c>
      <c r="S95" s="3"/>
      <c r="T95" s="4"/>
      <c r="U95" s="4"/>
      <c r="V95" s="4"/>
      <c r="W95" s="18" t="s">
        <v>13</v>
      </c>
      <c r="X95" s="18" t="s">
        <v>13</v>
      </c>
      <c r="Y95" s="18" t="s">
        <v>39</v>
      </c>
      <c r="Z95" s="18" t="s">
        <v>13</v>
      </c>
      <c r="AA95" s="18" t="s">
        <v>13</v>
      </c>
      <c r="AB95" s="20" t="s">
        <v>13</v>
      </c>
      <c r="AD95" s="1" t="s">
        <v>0</v>
      </c>
      <c r="AE95" s="3"/>
      <c r="AF95" s="4"/>
      <c r="AG95" s="4"/>
      <c r="AH95" s="4"/>
      <c r="AI95" s="18" t="s">
        <v>13</v>
      </c>
      <c r="AJ95" s="18" t="s">
        <v>22</v>
      </c>
      <c r="AK95" s="18" t="s">
        <v>39</v>
      </c>
      <c r="AL95" s="18" t="s">
        <v>13</v>
      </c>
      <c r="AM95" s="18" t="s">
        <v>31</v>
      </c>
      <c r="AN95" s="20" t="s">
        <v>13</v>
      </c>
    </row>
    <row r="96" spans="1:40" outlineLevel="1" x14ac:dyDescent="0.2">
      <c r="A96" s="5" t="s">
        <v>4</v>
      </c>
      <c r="B96" s="15" t="e">
        <f>SUMIF(#REF!,A96,#REF!)+#REF!</f>
        <v>#REF!</v>
      </c>
      <c r="C96" s="16" t="e">
        <f t="shared" si="17"/>
        <v>#REF!</v>
      </c>
      <c r="D96" s="16">
        <v>5</v>
      </c>
      <c r="E96" s="15" t="e">
        <f t="shared" si="18"/>
        <v>#REF!</v>
      </c>
      <c r="F96" s="1" t="s">
        <v>4</v>
      </c>
      <c r="G96" s="3"/>
      <c r="H96" s="4"/>
      <c r="I96" s="4"/>
      <c r="J96" s="4"/>
      <c r="K96" s="4"/>
      <c r="L96" s="18" t="s">
        <v>15</v>
      </c>
      <c r="M96" s="18" t="s">
        <v>23</v>
      </c>
      <c r="N96" s="18" t="s">
        <v>17</v>
      </c>
      <c r="O96" s="18" t="s">
        <v>23</v>
      </c>
      <c r="P96" s="20" t="s">
        <v>23</v>
      </c>
      <c r="R96" s="1" t="s">
        <v>4</v>
      </c>
      <c r="S96" s="3"/>
      <c r="T96" s="4"/>
      <c r="U96" s="4"/>
      <c r="V96" s="4"/>
      <c r="W96" s="4"/>
      <c r="X96" s="18" t="s">
        <v>23</v>
      </c>
      <c r="Y96" s="18" t="s">
        <v>32</v>
      </c>
      <c r="Z96" s="18">
        <v>1</v>
      </c>
      <c r="AA96" s="18" t="s">
        <v>23</v>
      </c>
      <c r="AB96" s="20" t="s">
        <v>23</v>
      </c>
      <c r="AD96" s="1" t="s">
        <v>4</v>
      </c>
      <c r="AE96" s="3"/>
      <c r="AF96" s="4"/>
      <c r="AG96" s="4"/>
      <c r="AH96" s="4"/>
      <c r="AI96" s="4"/>
      <c r="AJ96" s="18" t="s">
        <v>14</v>
      </c>
      <c r="AK96" s="18" t="s">
        <v>32</v>
      </c>
      <c r="AL96" s="18">
        <v>1</v>
      </c>
      <c r="AM96" s="18" t="s">
        <v>23</v>
      </c>
      <c r="AN96" s="20">
        <v>1</v>
      </c>
    </row>
    <row r="97" spans="1:40" outlineLevel="1" x14ac:dyDescent="0.2">
      <c r="A97" s="5" t="s">
        <v>5</v>
      </c>
      <c r="B97" s="15" t="e">
        <f>SUMIF(#REF!,A97,#REF!)+#REF!</f>
        <v>#REF!</v>
      </c>
      <c r="C97" s="16" t="e">
        <f t="shared" si="17"/>
        <v>#REF!</v>
      </c>
      <c r="D97" s="16">
        <v>6</v>
      </c>
      <c r="E97" s="15" t="e">
        <f t="shared" si="18"/>
        <v>#REF!</v>
      </c>
      <c r="F97" s="1" t="s">
        <v>5</v>
      </c>
      <c r="G97" s="3"/>
      <c r="H97" s="4"/>
      <c r="I97" s="4"/>
      <c r="J97" s="4"/>
      <c r="K97" s="4"/>
      <c r="L97" s="4"/>
      <c r="M97" s="18" t="s">
        <v>24</v>
      </c>
      <c r="N97" s="18" t="s">
        <v>17</v>
      </c>
      <c r="O97" s="18" t="s">
        <v>33</v>
      </c>
      <c r="P97" s="20" t="s">
        <v>24</v>
      </c>
      <c r="R97" s="1" t="s">
        <v>5</v>
      </c>
      <c r="S97" s="3"/>
      <c r="T97" s="4"/>
      <c r="U97" s="4"/>
      <c r="V97" s="4"/>
      <c r="W97" s="4"/>
      <c r="X97" s="4"/>
      <c r="Y97" s="18" t="s">
        <v>24</v>
      </c>
      <c r="Z97" s="18" t="s">
        <v>26</v>
      </c>
      <c r="AA97" s="18" t="s">
        <v>15</v>
      </c>
      <c r="AB97" s="20" t="s">
        <v>15</v>
      </c>
      <c r="AD97" s="1" t="s">
        <v>5</v>
      </c>
      <c r="AE97" s="3"/>
      <c r="AF97" s="4"/>
      <c r="AG97" s="4"/>
      <c r="AH97" s="4"/>
      <c r="AI97" s="4"/>
      <c r="AJ97" s="4"/>
      <c r="AK97" s="18" t="s">
        <v>24</v>
      </c>
      <c r="AL97" s="18" t="s">
        <v>17</v>
      </c>
      <c r="AM97" s="18" t="s">
        <v>15</v>
      </c>
      <c r="AN97" s="20" t="s">
        <v>53</v>
      </c>
    </row>
    <row r="98" spans="1:40" outlineLevel="1" x14ac:dyDescent="0.2">
      <c r="A98" s="5" t="s">
        <v>6</v>
      </c>
      <c r="B98" s="15" t="e">
        <f>SUMIF(#REF!,A98,#REF!)+#REF!</f>
        <v>#REF!</v>
      </c>
      <c r="C98" s="16" t="e">
        <f t="shared" si="17"/>
        <v>#REF!</v>
      </c>
      <c r="D98" s="16">
        <v>7</v>
      </c>
      <c r="E98" s="15" t="e">
        <f t="shared" si="18"/>
        <v>#REF!</v>
      </c>
      <c r="F98" s="1" t="s">
        <v>6</v>
      </c>
      <c r="G98" s="3"/>
      <c r="H98" s="4"/>
      <c r="I98" s="4"/>
      <c r="J98" s="4"/>
      <c r="K98" s="4"/>
      <c r="L98" s="4"/>
      <c r="M98" s="4"/>
      <c r="N98" s="18" t="s">
        <v>35</v>
      </c>
      <c r="O98" s="18" t="s">
        <v>16</v>
      </c>
      <c r="P98" s="20">
        <v>1</v>
      </c>
      <c r="R98" s="1" t="s">
        <v>6</v>
      </c>
      <c r="S98" s="3"/>
      <c r="T98" s="4"/>
      <c r="U98" s="4"/>
      <c r="V98" s="4"/>
      <c r="W98" s="4"/>
      <c r="X98" s="4"/>
      <c r="Y98" s="4"/>
      <c r="Z98" s="18" t="s">
        <v>35</v>
      </c>
      <c r="AA98" s="18" t="s">
        <v>36</v>
      </c>
      <c r="AB98" s="20" t="s">
        <v>55</v>
      </c>
      <c r="AD98" s="1" t="s">
        <v>6</v>
      </c>
      <c r="AE98" s="3"/>
      <c r="AF98" s="4"/>
      <c r="AG98" s="4"/>
      <c r="AH98" s="4"/>
      <c r="AI98" s="4"/>
      <c r="AJ98" s="4"/>
      <c r="AK98" s="4"/>
      <c r="AL98" s="18" t="s">
        <v>35</v>
      </c>
      <c r="AM98" s="18" t="s">
        <v>18</v>
      </c>
      <c r="AN98" s="20" t="s">
        <v>55</v>
      </c>
    </row>
    <row r="99" spans="1:40" outlineLevel="1" x14ac:dyDescent="0.2">
      <c r="A99" s="5" t="s">
        <v>7</v>
      </c>
      <c r="B99" s="15" t="e">
        <f>SUMIF(#REF!,A99,#REF!)+#REF!</f>
        <v>#REF!</v>
      </c>
      <c r="C99" s="16" t="e">
        <f t="shared" si="17"/>
        <v>#REF!</v>
      </c>
      <c r="D99" s="16">
        <v>8</v>
      </c>
      <c r="E99" s="15" t="e">
        <f t="shared" si="18"/>
        <v>#REF!</v>
      </c>
      <c r="F99" s="1" t="s">
        <v>7</v>
      </c>
      <c r="G99" s="3"/>
      <c r="H99" s="4"/>
      <c r="I99" s="4"/>
      <c r="J99" s="4"/>
      <c r="K99" s="4"/>
      <c r="L99" s="4"/>
      <c r="M99" s="4"/>
      <c r="N99" s="4"/>
      <c r="O99" s="18" t="s">
        <v>35</v>
      </c>
      <c r="P99" s="20" t="s">
        <v>26</v>
      </c>
      <c r="R99" s="1" t="s">
        <v>7</v>
      </c>
      <c r="S99" s="3"/>
      <c r="T99" s="4"/>
      <c r="U99" s="4"/>
      <c r="V99" s="4"/>
      <c r="W99" s="4"/>
      <c r="X99" s="4"/>
      <c r="Y99" s="4"/>
      <c r="Z99" s="4"/>
      <c r="AA99" s="18" t="s">
        <v>17</v>
      </c>
      <c r="AB99" s="20" t="s">
        <v>17</v>
      </c>
      <c r="AD99" s="1" t="s">
        <v>7</v>
      </c>
      <c r="AE99" s="3"/>
      <c r="AF99" s="4"/>
      <c r="AG99" s="4"/>
      <c r="AH99" s="4"/>
      <c r="AI99" s="4"/>
      <c r="AJ99" s="4"/>
      <c r="AK99" s="4"/>
      <c r="AL99" s="4"/>
      <c r="AM99" s="18" t="s">
        <v>26</v>
      </c>
      <c r="AN99" s="20">
        <v>1</v>
      </c>
    </row>
    <row r="100" spans="1:40" outlineLevel="1" x14ac:dyDescent="0.2">
      <c r="A100" s="5" t="s">
        <v>8</v>
      </c>
      <c r="B100" s="15" t="e">
        <f>SUMIF(#REF!,A100,#REF!)+#REF!</f>
        <v>#REF!</v>
      </c>
      <c r="C100" s="16" t="e">
        <f t="shared" si="17"/>
        <v>#REF!</v>
      </c>
      <c r="D100" s="16">
        <v>9</v>
      </c>
      <c r="E100" s="15" t="e">
        <f t="shared" si="18"/>
        <v>#REF!</v>
      </c>
      <c r="F100" s="1" t="s">
        <v>8</v>
      </c>
      <c r="G100" s="3"/>
      <c r="H100" s="4"/>
      <c r="I100" s="4"/>
      <c r="J100" s="4"/>
      <c r="K100" s="4"/>
      <c r="L100" s="4"/>
      <c r="M100" s="4"/>
      <c r="N100" s="4"/>
      <c r="O100" s="4"/>
      <c r="P100" s="20" t="s">
        <v>53</v>
      </c>
      <c r="R100" s="1" t="s">
        <v>8</v>
      </c>
      <c r="S100" s="3"/>
      <c r="T100" s="4"/>
      <c r="U100" s="4"/>
      <c r="V100" s="4"/>
      <c r="W100" s="4"/>
      <c r="X100" s="4"/>
      <c r="Y100" s="4"/>
      <c r="Z100" s="4"/>
      <c r="AA100" s="4"/>
      <c r="AB100" s="20">
        <v>1</v>
      </c>
      <c r="AD100" s="1" t="s">
        <v>8</v>
      </c>
      <c r="AE100" s="3"/>
      <c r="AF100" s="4"/>
      <c r="AG100" s="4"/>
      <c r="AH100" s="4"/>
      <c r="AI100" s="4"/>
      <c r="AJ100" s="4"/>
      <c r="AK100" s="4"/>
      <c r="AL100" s="4"/>
      <c r="AM100" s="4"/>
      <c r="AN100" s="20" t="s">
        <v>54</v>
      </c>
    </row>
    <row r="101" spans="1:40" outlineLevel="1" x14ac:dyDescent="0.2">
      <c r="A101" s="6" t="s">
        <v>9</v>
      </c>
      <c r="B101" s="15" t="e">
        <f>SUMIF(#REF!,A101,#REF!)+#REF!</f>
        <v>#REF!</v>
      </c>
      <c r="C101" s="16" t="e">
        <f t="shared" si="17"/>
        <v>#REF!</v>
      </c>
      <c r="D101" s="16">
        <v>10</v>
      </c>
      <c r="E101" s="15" t="e">
        <f t="shared" si="18"/>
        <v>#REF!</v>
      </c>
      <c r="F101" s="1" t="s">
        <v>9</v>
      </c>
      <c r="G101" s="3"/>
      <c r="H101" s="4"/>
      <c r="I101" s="4"/>
      <c r="J101" s="4"/>
      <c r="K101" s="4"/>
      <c r="L101" s="4"/>
      <c r="M101" s="4"/>
      <c r="N101" s="4"/>
      <c r="O101" s="4"/>
      <c r="P101" s="4"/>
      <c r="R101" s="1" t="s">
        <v>9</v>
      </c>
      <c r="S101" s="3"/>
      <c r="T101" s="4"/>
      <c r="U101" s="4"/>
      <c r="V101" s="4"/>
      <c r="W101" s="4"/>
      <c r="X101" s="4"/>
      <c r="Y101" s="4"/>
      <c r="Z101" s="4"/>
      <c r="AA101" s="4"/>
      <c r="AB101" s="4"/>
      <c r="AD101" s="1" t="s">
        <v>9</v>
      </c>
      <c r="AE101" s="3"/>
      <c r="AF101" s="4"/>
      <c r="AG101" s="4"/>
      <c r="AH101" s="4"/>
      <c r="AI101" s="4"/>
      <c r="AJ101" s="4"/>
      <c r="AK101" s="4"/>
      <c r="AL101" s="4"/>
      <c r="AM101" s="4"/>
      <c r="AN101" s="4"/>
    </row>
    <row r="102" spans="1:40" ht="16" outlineLevel="1" thickBot="1" x14ac:dyDescent="0.25">
      <c r="A102" s="13" t="s">
        <v>59</v>
      </c>
      <c r="B102" s="14" t="s">
        <v>58</v>
      </c>
      <c r="C102" s="14"/>
      <c r="D102" s="14"/>
      <c r="E102" s="14"/>
      <c r="F102" s="12"/>
      <c r="G102" s="1" t="s">
        <v>1</v>
      </c>
      <c r="H102" s="1" t="s">
        <v>2</v>
      </c>
      <c r="I102" s="1" t="s">
        <v>3</v>
      </c>
      <c r="J102" s="1" t="s">
        <v>0</v>
      </c>
      <c r="K102" s="1" t="s">
        <v>4</v>
      </c>
      <c r="L102" s="1" t="s">
        <v>5</v>
      </c>
      <c r="M102" s="1" t="s">
        <v>6</v>
      </c>
      <c r="N102" s="1" t="s">
        <v>7</v>
      </c>
      <c r="O102" s="1" t="s">
        <v>8</v>
      </c>
      <c r="P102" s="1" t="s">
        <v>9</v>
      </c>
      <c r="R102" s="12"/>
      <c r="S102" s="1" t="s">
        <v>1</v>
      </c>
      <c r="T102" s="1" t="s">
        <v>2</v>
      </c>
      <c r="U102" s="1" t="s">
        <v>3</v>
      </c>
      <c r="V102" s="1" t="s">
        <v>0</v>
      </c>
      <c r="W102" s="1" t="s">
        <v>4</v>
      </c>
      <c r="X102" s="1" t="s">
        <v>5</v>
      </c>
      <c r="Y102" s="1" t="s">
        <v>6</v>
      </c>
      <c r="Z102" s="1" t="s">
        <v>7</v>
      </c>
      <c r="AA102" s="1" t="s">
        <v>8</v>
      </c>
      <c r="AB102" s="1" t="s">
        <v>9</v>
      </c>
      <c r="AD102" s="12"/>
      <c r="AE102" s="1" t="s">
        <v>1</v>
      </c>
      <c r="AF102" s="1" t="s">
        <v>2</v>
      </c>
      <c r="AG102" s="1" t="s">
        <v>3</v>
      </c>
      <c r="AH102" s="1" t="s">
        <v>0</v>
      </c>
      <c r="AI102" s="1" t="s">
        <v>4</v>
      </c>
      <c r="AJ102" s="1" t="s">
        <v>5</v>
      </c>
      <c r="AK102" s="1" t="s">
        <v>6</v>
      </c>
      <c r="AL102" s="1" t="s">
        <v>7</v>
      </c>
      <c r="AM102" s="1" t="s">
        <v>8</v>
      </c>
      <c r="AN102" s="1" t="s">
        <v>9</v>
      </c>
    </row>
    <row r="103" spans="1:40" outlineLevel="1" x14ac:dyDescent="0.2">
      <c r="A103" s="5" t="s">
        <v>1</v>
      </c>
      <c r="B103" s="15" t="e">
        <f>SUMIF(#REF!,A103,#REF!)+#REF!</f>
        <v>#REF!</v>
      </c>
      <c r="C103" s="16" t="e">
        <f t="shared" ref="C103:C112" si="19">LARGE($B$103:$B$112,D103)</f>
        <v>#REF!</v>
      </c>
      <c r="D103" s="16">
        <v>1</v>
      </c>
      <c r="E103" s="15" t="e">
        <f>IF(SUM(B103:B112)=0,0,D103)</f>
        <v>#REF!</v>
      </c>
      <c r="F103" s="1" t="s">
        <v>1</v>
      </c>
      <c r="G103" s="2"/>
      <c r="H103" s="17">
        <v>1</v>
      </c>
      <c r="I103" s="17" t="s">
        <v>19</v>
      </c>
      <c r="J103" s="17">
        <v>1</v>
      </c>
      <c r="K103" s="17">
        <v>1</v>
      </c>
      <c r="L103" s="17" t="s">
        <v>10</v>
      </c>
      <c r="M103" s="17" t="s">
        <v>19</v>
      </c>
      <c r="N103" s="17" t="s">
        <v>17</v>
      </c>
      <c r="O103" s="17">
        <v>1</v>
      </c>
      <c r="P103" s="19" t="s">
        <v>28</v>
      </c>
      <c r="R103" s="1" t="s">
        <v>1</v>
      </c>
      <c r="S103" s="2"/>
      <c r="T103" s="17" t="s">
        <v>10</v>
      </c>
      <c r="U103" s="17" t="s">
        <v>10</v>
      </c>
      <c r="V103" s="17" t="s">
        <v>10</v>
      </c>
      <c r="W103" s="17">
        <v>1</v>
      </c>
      <c r="X103" s="17">
        <v>1</v>
      </c>
      <c r="Y103" s="17" t="s">
        <v>19</v>
      </c>
      <c r="Z103" s="17">
        <v>1</v>
      </c>
      <c r="AA103" s="17">
        <v>1</v>
      </c>
      <c r="AB103" s="19" t="s">
        <v>19</v>
      </c>
      <c r="AD103" s="1" t="s">
        <v>1</v>
      </c>
      <c r="AE103" s="2"/>
      <c r="AF103" s="17">
        <v>1</v>
      </c>
      <c r="AG103" s="17" t="s">
        <v>10</v>
      </c>
      <c r="AH103" s="17" t="s">
        <v>13</v>
      </c>
      <c r="AI103" s="17" t="s">
        <v>10</v>
      </c>
      <c r="AJ103" s="17">
        <v>1</v>
      </c>
      <c r="AK103" s="17">
        <v>1</v>
      </c>
      <c r="AL103" s="17" t="s">
        <v>17</v>
      </c>
      <c r="AM103" s="17" t="s">
        <v>18</v>
      </c>
      <c r="AN103" s="19">
        <v>1</v>
      </c>
    </row>
    <row r="104" spans="1:40" outlineLevel="1" x14ac:dyDescent="0.2">
      <c r="A104" s="5" t="s">
        <v>2</v>
      </c>
      <c r="B104" s="15" t="e">
        <f>SUMIF(#REF!,A104,#REF!)+#REF!</f>
        <v>#REF!</v>
      </c>
      <c r="C104" s="16" t="e">
        <f t="shared" si="19"/>
        <v>#REF!</v>
      </c>
      <c r="D104" s="16">
        <v>2</v>
      </c>
      <c r="E104" s="15" t="e">
        <f>(C104/$C$103)*$E$103</f>
        <v>#REF!</v>
      </c>
      <c r="F104" s="1" t="s">
        <v>2</v>
      </c>
      <c r="G104" s="3"/>
      <c r="H104" s="4"/>
      <c r="I104" s="18" t="s">
        <v>20</v>
      </c>
      <c r="J104" s="18">
        <v>1</v>
      </c>
      <c r="K104" s="18">
        <v>1</v>
      </c>
      <c r="L104" s="18" t="s">
        <v>11</v>
      </c>
      <c r="M104" s="18" t="s">
        <v>20</v>
      </c>
      <c r="N104" s="18" t="s">
        <v>17</v>
      </c>
      <c r="O104" s="18">
        <v>1</v>
      </c>
      <c r="P104" s="20" t="s">
        <v>20</v>
      </c>
      <c r="R104" s="1" t="s">
        <v>2</v>
      </c>
      <c r="S104" s="3"/>
      <c r="T104" s="4"/>
      <c r="U104" s="18" t="s">
        <v>11</v>
      </c>
      <c r="V104" s="18" t="s">
        <v>13</v>
      </c>
      <c r="W104" s="18" t="s">
        <v>14</v>
      </c>
      <c r="X104" s="18" t="s">
        <v>11</v>
      </c>
      <c r="Y104" s="18" t="s">
        <v>29</v>
      </c>
      <c r="Z104" s="18" t="s">
        <v>17</v>
      </c>
      <c r="AA104" s="18" t="s">
        <v>18</v>
      </c>
      <c r="AB104" s="20">
        <v>1</v>
      </c>
      <c r="AD104" s="1" t="s">
        <v>2</v>
      </c>
      <c r="AE104" s="3"/>
      <c r="AF104" s="4"/>
      <c r="AG104" s="18" t="s">
        <v>11</v>
      </c>
      <c r="AH104" s="18" t="s">
        <v>13</v>
      </c>
      <c r="AI104" s="18" t="s">
        <v>11</v>
      </c>
      <c r="AJ104" s="18">
        <v>1</v>
      </c>
      <c r="AK104" s="18">
        <v>1</v>
      </c>
      <c r="AL104" s="18" t="s">
        <v>17</v>
      </c>
      <c r="AM104" s="18" t="s">
        <v>18</v>
      </c>
      <c r="AN104" s="20">
        <v>1</v>
      </c>
    </row>
    <row r="105" spans="1:40" outlineLevel="1" x14ac:dyDescent="0.2">
      <c r="A105" s="5" t="s">
        <v>3</v>
      </c>
      <c r="B105" s="15" t="e">
        <f>SUMIF(#REF!,A105,#REF!)+#REF!</f>
        <v>#REF!</v>
      </c>
      <c r="C105" s="16" t="e">
        <f t="shared" si="19"/>
        <v>#REF!</v>
      </c>
      <c r="D105" s="16">
        <v>3</v>
      </c>
      <c r="E105" s="15" t="e">
        <f t="shared" ref="E105:E112" si="20">(C105/$C$103)*$E$103</f>
        <v>#REF!</v>
      </c>
      <c r="F105" s="1" t="s">
        <v>3</v>
      </c>
      <c r="G105" s="3"/>
      <c r="H105" s="4"/>
      <c r="I105" s="4"/>
      <c r="J105" s="18" t="s">
        <v>22</v>
      </c>
      <c r="K105" s="18" t="s">
        <v>14</v>
      </c>
      <c r="L105" s="18" t="s">
        <v>24</v>
      </c>
      <c r="M105" s="18" t="s">
        <v>16</v>
      </c>
      <c r="N105" s="18" t="s">
        <v>26</v>
      </c>
      <c r="O105" s="18" t="s">
        <v>18</v>
      </c>
      <c r="P105" s="20" t="s">
        <v>12</v>
      </c>
      <c r="R105" s="1" t="s">
        <v>3</v>
      </c>
      <c r="S105" s="3"/>
      <c r="T105" s="4"/>
      <c r="U105" s="4"/>
      <c r="V105" s="18">
        <v>1</v>
      </c>
      <c r="W105" s="18" t="s">
        <v>14</v>
      </c>
      <c r="X105" s="18">
        <v>1</v>
      </c>
      <c r="Y105" s="18">
        <v>1</v>
      </c>
      <c r="Z105" s="18" t="s">
        <v>17</v>
      </c>
      <c r="AA105" s="18" t="s">
        <v>18</v>
      </c>
      <c r="AB105" s="20" t="s">
        <v>53</v>
      </c>
      <c r="AD105" s="1" t="s">
        <v>3</v>
      </c>
      <c r="AE105" s="3"/>
      <c r="AF105" s="4"/>
      <c r="AG105" s="4"/>
      <c r="AH105" s="18" t="s">
        <v>22</v>
      </c>
      <c r="AI105" s="18">
        <v>1</v>
      </c>
      <c r="AJ105" s="18" t="s">
        <v>15</v>
      </c>
      <c r="AK105" s="18" t="s">
        <v>16</v>
      </c>
      <c r="AL105" s="18" t="s">
        <v>26</v>
      </c>
      <c r="AM105" s="18" t="s">
        <v>27</v>
      </c>
      <c r="AN105" s="20" t="s">
        <v>53</v>
      </c>
    </row>
    <row r="106" spans="1:40" outlineLevel="1" x14ac:dyDescent="0.2">
      <c r="A106" s="5" t="s">
        <v>0</v>
      </c>
      <c r="B106" s="15" t="e">
        <f>SUMIF(#REF!,A106,#REF!)+#REF!</f>
        <v>#REF!</v>
      </c>
      <c r="C106" s="16" t="e">
        <f t="shared" si="19"/>
        <v>#REF!</v>
      </c>
      <c r="D106" s="16">
        <v>4</v>
      </c>
      <c r="E106" s="15" t="e">
        <f t="shared" si="20"/>
        <v>#REF!</v>
      </c>
      <c r="F106" s="1" t="s">
        <v>0</v>
      </c>
      <c r="G106" s="3"/>
      <c r="H106" s="4"/>
      <c r="I106" s="4"/>
      <c r="J106" s="4"/>
      <c r="K106" s="18">
        <v>1</v>
      </c>
      <c r="L106" s="18" t="s">
        <v>13</v>
      </c>
      <c r="M106" s="18" t="s">
        <v>13</v>
      </c>
      <c r="N106" s="18" t="s">
        <v>17</v>
      </c>
      <c r="O106" s="18">
        <v>1</v>
      </c>
      <c r="P106" s="20" t="s">
        <v>22</v>
      </c>
      <c r="R106" s="1" t="s">
        <v>0</v>
      </c>
      <c r="S106" s="3"/>
      <c r="T106" s="4"/>
      <c r="U106" s="4"/>
      <c r="V106" s="4"/>
      <c r="W106" s="18">
        <v>1</v>
      </c>
      <c r="X106" s="18">
        <v>1</v>
      </c>
      <c r="Y106" s="18" t="s">
        <v>13</v>
      </c>
      <c r="Z106" s="18" t="s">
        <v>17</v>
      </c>
      <c r="AA106" s="18" t="s">
        <v>18</v>
      </c>
      <c r="AB106" s="20">
        <v>1</v>
      </c>
      <c r="AD106" s="1" t="s">
        <v>0</v>
      </c>
      <c r="AE106" s="3"/>
      <c r="AF106" s="4"/>
      <c r="AG106" s="4"/>
      <c r="AH106" s="4"/>
      <c r="AI106" s="18" t="s">
        <v>22</v>
      </c>
      <c r="AJ106" s="18" t="s">
        <v>13</v>
      </c>
      <c r="AK106" s="18" t="s">
        <v>13</v>
      </c>
      <c r="AL106" s="18">
        <v>1</v>
      </c>
      <c r="AM106" s="18">
        <v>1</v>
      </c>
      <c r="AN106" s="20" t="s">
        <v>13</v>
      </c>
    </row>
    <row r="107" spans="1:40" outlineLevel="1" x14ac:dyDescent="0.2">
      <c r="A107" s="5" t="s">
        <v>4</v>
      </c>
      <c r="B107" s="15" t="e">
        <f>SUMIF(#REF!,A107,#REF!)+#REF!</f>
        <v>#REF!</v>
      </c>
      <c r="C107" s="16" t="e">
        <f t="shared" si="19"/>
        <v>#REF!</v>
      </c>
      <c r="D107" s="16">
        <v>5</v>
      </c>
      <c r="E107" s="15" t="e">
        <f t="shared" si="20"/>
        <v>#REF!</v>
      </c>
      <c r="F107" s="1" t="s">
        <v>4</v>
      </c>
      <c r="G107" s="3"/>
      <c r="H107" s="4"/>
      <c r="I107" s="4"/>
      <c r="J107" s="4"/>
      <c r="K107" s="4"/>
      <c r="L107" s="18" t="s">
        <v>14</v>
      </c>
      <c r="M107" s="18" t="s">
        <v>14</v>
      </c>
      <c r="N107" s="18" t="s">
        <v>17</v>
      </c>
      <c r="O107" s="18">
        <v>1</v>
      </c>
      <c r="P107" s="20" t="s">
        <v>23</v>
      </c>
      <c r="R107" s="1" t="s">
        <v>4</v>
      </c>
      <c r="S107" s="3"/>
      <c r="T107" s="4"/>
      <c r="U107" s="4"/>
      <c r="V107" s="4"/>
      <c r="W107" s="4"/>
      <c r="X107" s="18">
        <v>1</v>
      </c>
      <c r="Y107" s="18">
        <v>1</v>
      </c>
      <c r="Z107" s="18" t="s">
        <v>17</v>
      </c>
      <c r="AA107" s="18" t="s">
        <v>18</v>
      </c>
      <c r="AB107" s="20">
        <v>1</v>
      </c>
      <c r="AD107" s="1" t="s">
        <v>4</v>
      </c>
      <c r="AE107" s="3"/>
      <c r="AF107" s="4"/>
      <c r="AG107" s="4"/>
      <c r="AH107" s="4"/>
      <c r="AI107" s="4"/>
      <c r="AJ107" s="18" t="s">
        <v>15</v>
      </c>
      <c r="AK107" s="18" t="s">
        <v>16</v>
      </c>
      <c r="AL107" s="18" t="s">
        <v>26</v>
      </c>
      <c r="AM107" s="18" t="s">
        <v>27</v>
      </c>
      <c r="AN107" s="20" t="s">
        <v>53</v>
      </c>
    </row>
    <row r="108" spans="1:40" outlineLevel="1" x14ac:dyDescent="0.2">
      <c r="A108" s="5" t="s">
        <v>5</v>
      </c>
      <c r="B108" s="15" t="e">
        <f>SUMIF(#REF!,A108,#REF!)+#REF!</f>
        <v>#REF!</v>
      </c>
      <c r="C108" s="16" t="e">
        <f t="shared" si="19"/>
        <v>#REF!</v>
      </c>
      <c r="D108" s="16">
        <v>6</v>
      </c>
      <c r="E108" s="15" t="e">
        <f t="shared" si="20"/>
        <v>#REF!</v>
      </c>
      <c r="F108" s="1" t="s">
        <v>5</v>
      </c>
      <c r="G108" s="3"/>
      <c r="H108" s="4"/>
      <c r="I108" s="4"/>
      <c r="J108" s="4"/>
      <c r="K108" s="4"/>
      <c r="L108" s="4"/>
      <c r="M108" s="18" t="s">
        <v>15</v>
      </c>
      <c r="N108" s="18" t="s">
        <v>17</v>
      </c>
      <c r="O108" s="18" t="s">
        <v>18</v>
      </c>
      <c r="P108" s="20" t="s">
        <v>24</v>
      </c>
      <c r="R108" s="1" t="s">
        <v>5</v>
      </c>
      <c r="S108" s="3"/>
      <c r="T108" s="4"/>
      <c r="U108" s="4"/>
      <c r="V108" s="4"/>
      <c r="W108" s="4"/>
      <c r="X108" s="4"/>
      <c r="Y108" s="18" t="s">
        <v>15</v>
      </c>
      <c r="Z108" s="18" t="s">
        <v>17</v>
      </c>
      <c r="AA108" s="18" t="s">
        <v>18</v>
      </c>
      <c r="AB108" s="20">
        <v>1</v>
      </c>
      <c r="AD108" s="1" t="s">
        <v>5</v>
      </c>
      <c r="AE108" s="3"/>
      <c r="AF108" s="4"/>
      <c r="AG108" s="4"/>
      <c r="AH108" s="4"/>
      <c r="AI108" s="4"/>
      <c r="AJ108" s="4"/>
      <c r="AK108" s="18">
        <v>1</v>
      </c>
      <c r="AL108" s="18" t="s">
        <v>17</v>
      </c>
      <c r="AM108" s="18" t="s">
        <v>18</v>
      </c>
      <c r="AN108" s="20">
        <v>1</v>
      </c>
    </row>
    <row r="109" spans="1:40" outlineLevel="1" x14ac:dyDescent="0.2">
      <c r="A109" s="5" t="s">
        <v>6</v>
      </c>
      <c r="B109" s="15" t="e">
        <f>SUMIF(#REF!,A109,#REF!)+#REF!</f>
        <v>#REF!</v>
      </c>
      <c r="C109" s="16" t="e">
        <f t="shared" si="19"/>
        <v>#REF!</v>
      </c>
      <c r="D109" s="16">
        <v>7</v>
      </c>
      <c r="E109" s="15" t="e">
        <f t="shared" si="20"/>
        <v>#REF!</v>
      </c>
      <c r="F109" s="1" t="s">
        <v>6</v>
      </c>
      <c r="G109" s="3"/>
      <c r="H109" s="4"/>
      <c r="I109" s="4"/>
      <c r="J109" s="4"/>
      <c r="K109" s="4"/>
      <c r="L109" s="4"/>
      <c r="M109" s="4"/>
      <c r="N109" s="18" t="s">
        <v>26</v>
      </c>
      <c r="O109" s="18" t="s">
        <v>18</v>
      </c>
      <c r="P109" s="20" t="s">
        <v>16</v>
      </c>
      <c r="R109" s="1" t="s">
        <v>6</v>
      </c>
      <c r="S109" s="3"/>
      <c r="T109" s="4"/>
      <c r="U109" s="4"/>
      <c r="V109" s="4"/>
      <c r="W109" s="4"/>
      <c r="X109" s="4"/>
      <c r="Y109" s="4"/>
      <c r="Z109" s="18" t="s">
        <v>26</v>
      </c>
      <c r="AA109" s="18" t="s">
        <v>27</v>
      </c>
      <c r="AB109" s="20" t="s">
        <v>53</v>
      </c>
      <c r="AD109" s="1" t="s">
        <v>6</v>
      </c>
      <c r="AE109" s="3"/>
      <c r="AF109" s="4"/>
      <c r="AG109" s="4"/>
      <c r="AH109" s="4"/>
      <c r="AI109" s="4"/>
      <c r="AJ109" s="4"/>
      <c r="AK109" s="4"/>
      <c r="AL109" s="18" t="s">
        <v>17</v>
      </c>
      <c r="AM109" s="18" t="s">
        <v>18</v>
      </c>
      <c r="AN109" s="20">
        <v>1</v>
      </c>
    </row>
    <row r="110" spans="1:40" outlineLevel="1" x14ac:dyDescent="0.2">
      <c r="A110" s="5" t="s">
        <v>7</v>
      </c>
      <c r="B110" s="15" t="e">
        <f>SUMIF(#REF!,A110,#REF!)+#REF!</f>
        <v>#REF!</v>
      </c>
      <c r="C110" s="16" t="e">
        <f t="shared" si="19"/>
        <v>#REF!</v>
      </c>
      <c r="D110" s="16">
        <v>8</v>
      </c>
      <c r="E110" s="15" t="e">
        <f t="shared" si="20"/>
        <v>#REF!</v>
      </c>
      <c r="F110" s="1" t="s">
        <v>7</v>
      </c>
      <c r="G110" s="3"/>
      <c r="H110" s="4"/>
      <c r="I110" s="4"/>
      <c r="J110" s="4"/>
      <c r="K110" s="4"/>
      <c r="L110" s="4"/>
      <c r="M110" s="4"/>
      <c r="N110" s="4"/>
      <c r="O110" s="18" t="s">
        <v>17</v>
      </c>
      <c r="P110" s="20" t="s">
        <v>35</v>
      </c>
      <c r="R110" s="1" t="s">
        <v>7</v>
      </c>
      <c r="S110" s="3"/>
      <c r="T110" s="4"/>
      <c r="U110" s="4"/>
      <c r="V110" s="4"/>
      <c r="W110" s="4"/>
      <c r="X110" s="4"/>
      <c r="Y110" s="4"/>
      <c r="Z110" s="4"/>
      <c r="AA110" s="18">
        <v>1</v>
      </c>
      <c r="AB110" s="20" t="s">
        <v>17</v>
      </c>
      <c r="AD110" s="1" t="s">
        <v>7</v>
      </c>
      <c r="AE110" s="3"/>
      <c r="AF110" s="4"/>
      <c r="AG110" s="4"/>
      <c r="AH110" s="4"/>
      <c r="AI110" s="4"/>
      <c r="AJ110" s="4"/>
      <c r="AK110" s="4"/>
      <c r="AL110" s="4"/>
      <c r="AM110" s="18">
        <v>1</v>
      </c>
      <c r="AN110" s="20" t="s">
        <v>17</v>
      </c>
    </row>
    <row r="111" spans="1:40" outlineLevel="1" x14ac:dyDescent="0.2">
      <c r="A111" s="5" t="s">
        <v>8</v>
      </c>
      <c r="B111" s="15" t="e">
        <f>SUMIF(#REF!,A111,#REF!)+#REF!</f>
        <v>#REF!</v>
      </c>
      <c r="C111" s="16" t="e">
        <f t="shared" si="19"/>
        <v>#REF!</v>
      </c>
      <c r="D111" s="16">
        <v>9</v>
      </c>
      <c r="E111" s="15" t="e">
        <f t="shared" si="20"/>
        <v>#REF!</v>
      </c>
      <c r="F111" s="1" t="s">
        <v>8</v>
      </c>
      <c r="G111" s="3"/>
      <c r="H111" s="4"/>
      <c r="I111" s="4"/>
      <c r="J111" s="4"/>
      <c r="K111" s="4"/>
      <c r="L111" s="4"/>
      <c r="M111" s="4"/>
      <c r="N111" s="4"/>
      <c r="O111" s="4"/>
      <c r="P111" s="20" t="s">
        <v>27</v>
      </c>
      <c r="R111" s="1" t="s">
        <v>8</v>
      </c>
      <c r="S111" s="3"/>
      <c r="T111" s="4"/>
      <c r="U111" s="4"/>
      <c r="V111" s="4"/>
      <c r="W111" s="4"/>
      <c r="X111" s="4"/>
      <c r="Y111" s="4"/>
      <c r="Z111" s="4"/>
      <c r="AA111" s="4"/>
      <c r="AB111" s="20" t="s">
        <v>18</v>
      </c>
      <c r="AD111" s="1" t="s">
        <v>8</v>
      </c>
      <c r="AE111" s="3"/>
      <c r="AF111" s="4"/>
      <c r="AG111" s="4"/>
      <c r="AH111" s="4"/>
      <c r="AI111" s="4"/>
      <c r="AJ111" s="4"/>
      <c r="AK111" s="4"/>
      <c r="AL111" s="4"/>
      <c r="AM111" s="4"/>
      <c r="AN111" s="20" t="s">
        <v>18</v>
      </c>
    </row>
    <row r="112" spans="1:40" outlineLevel="1" x14ac:dyDescent="0.2">
      <c r="A112" s="6" t="s">
        <v>9</v>
      </c>
      <c r="B112" s="15" t="e">
        <f>SUMIF(#REF!,A112,#REF!)+#REF!</f>
        <v>#REF!</v>
      </c>
      <c r="C112" s="16" t="e">
        <f t="shared" si="19"/>
        <v>#REF!</v>
      </c>
      <c r="D112" s="16">
        <v>10</v>
      </c>
      <c r="E112" s="15" t="e">
        <f t="shared" si="20"/>
        <v>#REF!</v>
      </c>
      <c r="F112" s="1" t="s">
        <v>9</v>
      </c>
      <c r="G112" s="3"/>
      <c r="H112" s="4"/>
      <c r="I112" s="4"/>
      <c r="J112" s="4"/>
      <c r="K112" s="4"/>
      <c r="L112" s="4"/>
      <c r="M112" s="4"/>
      <c r="N112" s="4"/>
      <c r="O112" s="4"/>
      <c r="P112" s="4"/>
      <c r="R112" s="1" t="s">
        <v>9</v>
      </c>
      <c r="S112" s="3"/>
      <c r="T112" s="4"/>
      <c r="U112" s="4"/>
      <c r="V112" s="4"/>
      <c r="W112" s="4"/>
      <c r="X112" s="4"/>
      <c r="Y112" s="4"/>
      <c r="Z112" s="4"/>
      <c r="AA112" s="4"/>
      <c r="AB112" s="4"/>
      <c r="AD112" s="1" t="s">
        <v>9</v>
      </c>
      <c r="AE112" s="3"/>
      <c r="AF112" s="4"/>
      <c r="AG112" s="4"/>
      <c r="AH112" s="4"/>
      <c r="AI112" s="4"/>
      <c r="AJ112" s="4"/>
      <c r="AK112" s="4"/>
      <c r="AL112" s="4"/>
      <c r="AM112" s="4"/>
      <c r="AN112" s="4"/>
    </row>
    <row r="113" spans="1:40" ht="16" outlineLevel="1" thickBot="1" x14ac:dyDescent="0.25">
      <c r="A113" s="13" t="s">
        <v>59</v>
      </c>
      <c r="B113" s="14" t="s">
        <v>58</v>
      </c>
      <c r="C113" s="14"/>
      <c r="D113" s="14"/>
      <c r="E113" s="14"/>
      <c r="F113" s="12"/>
      <c r="G113" s="1" t="s">
        <v>1</v>
      </c>
      <c r="H113" s="1" t="s">
        <v>2</v>
      </c>
      <c r="I113" s="1" t="s">
        <v>3</v>
      </c>
      <c r="J113" s="1" t="s">
        <v>0</v>
      </c>
      <c r="K113" s="1" t="s">
        <v>4</v>
      </c>
      <c r="L113" s="1" t="s">
        <v>5</v>
      </c>
      <c r="M113" s="1" t="s">
        <v>6</v>
      </c>
      <c r="N113" s="1" t="s">
        <v>7</v>
      </c>
      <c r="O113" s="1" t="s">
        <v>8</v>
      </c>
      <c r="P113" s="1" t="s">
        <v>9</v>
      </c>
      <c r="R113" s="12"/>
      <c r="S113" s="1" t="s">
        <v>1</v>
      </c>
      <c r="T113" s="1" t="s">
        <v>2</v>
      </c>
      <c r="U113" s="1" t="s">
        <v>3</v>
      </c>
      <c r="V113" s="1" t="s">
        <v>0</v>
      </c>
      <c r="W113" s="1" t="s">
        <v>4</v>
      </c>
      <c r="X113" s="1" t="s">
        <v>5</v>
      </c>
      <c r="Y113" s="1" t="s">
        <v>6</v>
      </c>
      <c r="Z113" s="1" t="s">
        <v>7</v>
      </c>
      <c r="AA113" s="1" t="s">
        <v>8</v>
      </c>
      <c r="AB113" s="1" t="s">
        <v>9</v>
      </c>
      <c r="AD113" s="12"/>
      <c r="AE113" s="1" t="s">
        <v>1</v>
      </c>
      <c r="AF113" s="1" t="s">
        <v>2</v>
      </c>
      <c r="AG113" s="1" t="s">
        <v>3</v>
      </c>
      <c r="AH113" s="1" t="s">
        <v>0</v>
      </c>
      <c r="AI113" s="1" t="s">
        <v>4</v>
      </c>
      <c r="AJ113" s="1" t="s">
        <v>5</v>
      </c>
      <c r="AK113" s="1" t="s">
        <v>6</v>
      </c>
      <c r="AL113" s="1" t="s">
        <v>7</v>
      </c>
      <c r="AM113" s="1" t="s">
        <v>8</v>
      </c>
      <c r="AN113" s="1" t="s">
        <v>9</v>
      </c>
    </row>
    <row r="114" spans="1:40" outlineLevel="1" x14ac:dyDescent="0.2">
      <c r="A114" s="5" t="s">
        <v>1</v>
      </c>
      <c r="B114" s="15" t="e">
        <f>SUMIF(#REF!,A114,#REF!)+#REF!</f>
        <v>#REF!</v>
      </c>
      <c r="C114" s="16" t="e">
        <f t="shared" ref="C114:C123" si="21">LARGE($B$114:$B$123,D114)</f>
        <v>#REF!</v>
      </c>
      <c r="D114" s="16">
        <v>1</v>
      </c>
      <c r="E114" s="15" t="e">
        <f>IF(SUM(B114:B123)=0,0,D114)</f>
        <v>#REF!</v>
      </c>
      <c r="F114" s="1" t="s">
        <v>1</v>
      </c>
      <c r="G114" s="2"/>
      <c r="H114" s="17">
        <v>1</v>
      </c>
      <c r="I114" s="17" t="s">
        <v>10</v>
      </c>
      <c r="J114" s="17">
        <v>1</v>
      </c>
      <c r="K114" s="17" t="s">
        <v>14</v>
      </c>
      <c r="L114" s="17" t="s">
        <v>15</v>
      </c>
      <c r="M114" s="17" t="s">
        <v>19</v>
      </c>
      <c r="N114" s="17" t="s">
        <v>10</v>
      </c>
      <c r="O114" s="17" t="s">
        <v>10</v>
      </c>
      <c r="P114" s="19" t="s">
        <v>19</v>
      </c>
      <c r="R114" s="1" t="s">
        <v>1</v>
      </c>
      <c r="S114" s="2"/>
      <c r="T114" s="17">
        <v>1</v>
      </c>
      <c r="U114" s="17" t="s">
        <v>19</v>
      </c>
      <c r="V114" s="17">
        <v>1</v>
      </c>
      <c r="W114" s="17" t="s">
        <v>10</v>
      </c>
      <c r="X114" s="17" t="s">
        <v>10</v>
      </c>
      <c r="Y114" s="17" t="s">
        <v>10</v>
      </c>
      <c r="Z114" s="17">
        <v>1</v>
      </c>
      <c r="AA114" s="17">
        <v>1</v>
      </c>
      <c r="AB114" s="19" t="s">
        <v>10</v>
      </c>
      <c r="AD114" s="1" t="s">
        <v>1</v>
      </c>
      <c r="AE114" s="2"/>
      <c r="AF114" s="17">
        <v>1</v>
      </c>
      <c r="AG114" s="17" t="s">
        <v>10</v>
      </c>
      <c r="AH114" s="17">
        <v>1</v>
      </c>
      <c r="AI114" s="17">
        <v>1</v>
      </c>
      <c r="AJ114" s="17" t="s">
        <v>10</v>
      </c>
      <c r="AK114" s="17" t="s">
        <v>28</v>
      </c>
      <c r="AL114" s="17" t="s">
        <v>10</v>
      </c>
      <c r="AM114" s="17" t="s">
        <v>10</v>
      </c>
      <c r="AN114" s="19" t="s">
        <v>19</v>
      </c>
    </row>
    <row r="115" spans="1:40" outlineLevel="1" x14ac:dyDescent="0.2">
      <c r="A115" s="5" t="s">
        <v>2</v>
      </c>
      <c r="B115" s="15" t="e">
        <f>SUMIF(#REF!,A115,#REF!)+#REF!</f>
        <v>#REF!</v>
      </c>
      <c r="C115" s="16" t="e">
        <f t="shared" si="21"/>
        <v>#REF!</v>
      </c>
      <c r="D115" s="16">
        <v>2</v>
      </c>
      <c r="E115" s="15" t="e">
        <f>(C115/$C$114)*$E$114</f>
        <v>#REF!</v>
      </c>
      <c r="F115" s="1" t="s">
        <v>2</v>
      </c>
      <c r="G115" s="3"/>
      <c r="H115" s="4"/>
      <c r="I115" s="18" t="s">
        <v>11</v>
      </c>
      <c r="J115" s="18" t="s">
        <v>11</v>
      </c>
      <c r="K115" s="18">
        <v>1</v>
      </c>
      <c r="L115" s="18" t="s">
        <v>15</v>
      </c>
      <c r="M115" s="18" t="s">
        <v>20</v>
      </c>
      <c r="N115" s="18" t="s">
        <v>11</v>
      </c>
      <c r="O115" s="18" t="s">
        <v>11</v>
      </c>
      <c r="P115" s="20" t="s">
        <v>20</v>
      </c>
      <c r="R115" s="1" t="s">
        <v>2</v>
      </c>
      <c r="S115" s="3"/>
      <c r="T115" s="4"/>
      <c r="U115" s="18" t="s">
        <v>11</v>
      </c>
      <c r="V115" s="18" t="s">
        <v>11</v>
      </c>
      <c r="W115" s="18" t="s">
        <v>11</v>
      </c>
      <c r="X115" s="18">
        <v>1</v>
      </c>
      <c r="Y115" s="18" t="s">
        <v>20</v>
      </c>
      <c r="Z115" s="18">
        <v>1</v>
      </c>
      <c r="AA115" s="18">
        <v>1</v>
      </c>
      <c r="AB115" s="20">
        <v>1</v>
      </c>
      <c r="AD115" s="1" t="s">
        <v>2</v>
      </c>
      <c r="AE115" s="3"/>
      <c r="AF115" s="4"/>
      <c r="AG115" s="18" t="s">
        <v>11</v>
      </c>
      <c r="AH115" s="18">
        <v>1</v>
      </c>
      <c r="AI115" s="18">
        <v>1</v>
      </c>
      <c r="AJ115" s="18" t="s">
        <v>11</v>
      </c>
      <c r="AK115" s="18" t="s">
        <v>29</v>
      </c>
      <c r="AL115" s="18" t="s">
        <v>11</v>
      </c>
      <c r="AM115" s="18" t="s">
        <v>11</v>
      </c>
      <c r="AN115" s="20" t="s">
        <v>20</v>
      </c>
    </row>
    <row r="116" spans="1:40" outlineLevel="1" x14ac:dyDescent="0.2">
      <c r="A116" s="5" t="s">
        <v>3</v>
      </c>
      <c r="B116" s="15" t="e">
        <f>SUMIF(#REF!,A116,#REF!)+#REF!</f>
        <v>#REF!</v>
      </c>
      <c r="C116" s="16" t="e">
        <f t="shared" si="21"/>
        <v>#REF!</v>
      </c>
      <c r="D116" s="16">
        <v>3</v>
      </c>
      <c r="E116" s="15" t="e">
        <f t="shared" ref="E116:E123" si="22">(C116/$C$114)*$E$114</f>
        <v>#REF!</v>
      </c>
      <c r="F116" s="1" t="s">
        <v>3</v>
      </c>
      <c r="G116" s="3"/>
      <c r="H116" s="4"/>
      <c r="I116" s="4"/>
      <c r="J116" s="18" t="s">
        <v>13</v>
      </c>
      <c r="K116" s="18" t="s">
        <v>14</v>
      </c>
      <c r="L116" s="18" t="s">
        <v>24</v>
      </c>
      <c r="M116" s="18" t="s">
        <v>21</v>
      </c>
      <c r="N116" s="18">
        <v>1</v>
      </c>
      <c r="O116" s="18">
        <v>1</v>
      </c>
      <c r="P116" s="20" t="s">
        <v>21</v>
      </c>
      <c r="R116" s="1" t="s">
        <v>3</v>
      </c>
      <c r="S116" s="3"/>
      <c r="T116" s="4"/>
      <c r="U116" s="4"/>
      <c r="V116" s="18" t="s">
        <v>13</v>
      </c>
      <c r="W116" s="18" t="s">
        <v>14</v>
      </c>
      <c r="X116" s="18">
        <v>1</v>
      </c>
      <c r="Y116" s="18" t="s">
        <v>12</v>
      </c>
      <c r="Z116" s="18" t="s">
        <v>17</v>
      </c>
      <c r="AA116" s="18" t="s">
        <v>18</v>
      </c>
      <c r="AB116" s="20">
        <v>1</v>
      </c>
      <c r="AD116" s="1" t="s">
        <v>3</v>
      </c>
      <c r="AE116" s="3"/>
      <c r="AF116" s="4"/>
      <c r="AG116" s="4"/>
      <c r="AH116" s="18" t="s">
        <v>13</v>
      </c>
      <c r="AI116" s="18" t="s">
        <v>14</v>
      </c>
      <c r="AJ116" s="18">
        <v>1</v>
      </c>
      <c r="AK116" s="18" t="s">
        <v>21</v>
      </c>
      <c r="AL116" s="18">
        <v>1</v>
      </c>
      <c r="AM116" s="18">
        <v>1</v>
      </c>
      <c r="AN116" s="20" t="s">
        <v>12</v>
      </c>
    </row>
    <row r="117" spans="1:40" outlineLevel="1" x14ac:dyDescent="0.2">
      <c r="A117" s="5" t="s">
        <v>0</v>
      </c>
      <c r="B117" s="15" t="e">
        <f>SUMIF(#REF!,A117,#REF!)+#REF!</f>
        <v>#REF!</v>
      </c>
      <c r="C117" s="16" t="e">
        <f t="shared" si="21"/>
        <v>#REF!</v>
      </c>
      <c r="D117" s="16">
        <v>4</v>
      </c>
      <c r="E117" s="15" t="e">
        <f t="shared" si="22"/>
        <v>#REF!</v>
      </c>
      <c r="F117" s="1" t="s">
        <v>0</v>
      </c>
      <c r="G117" s="3"/>
      <c r="H117" s="4"/>
      <c r="I117" s="4"/>
      <c r="J117" s="4"/>
      <c r="K117" s="18" t="s">
        <v>14</v>
      </c>
      <c r="L117" s="18" t="s">
        <v>15</v>
      </c>
      <c r="M117" s="18" t="s">
        <v>31</v>
      </c>
      <c r="N117" s="18" t="s">
        <v>13</v>
      </c>
      <c r="O117" s="18" t="s">
        <v>13</v>
      </c>
      <c r="P117" s="20" t="s">
        <v>22</v>
      </c>
      <c r="R117" s="1" t="s">
        <v>0</v>
      </c>
      <c r="S117" s="3"/>
      <c r="T117" s="4"/>
      <c r="U117" s="4"/>
      <c r="V117" s="4"/>
      <c r="W117" s="18">
        <v>1</v>
      </c>
      <c r="X117" s="18">
        <v>1</v>
      </c>
      <c r="Y117" s="18" t="s">
        <v>13</v>
      </c>
      <c r="Z117" s="18">
        <v>1</v>
      </c>
      <c r="AA117" s="18">
        <v>1</v>
      </c>
      <c r="AB117" s="20">
        <v>1</v>
      </c>
      <c r="AD117" s="1" t="s">
        <v>0</v>
      </c>
      <c r="AE117" s="3"/>
      <c r="AF117" s="4"/>
      <c r="AG117" s="4"/>
      <c r="AH117" s="4"/>
      <c r="AI117" s="18">
        <v>1</v>
      </c>
      <c r="AJ117" s="18" t="s">
        <v>13</v>
      </c>
      <c r="AK117" s="18" t="s">
        <v>31</v>
      </c>
      <c r="AL117" s="18" t="s">
        <v>13</v>
      </c>
      <c r="AM117" s="18" t="s">
        <v>13</v>
      </c>
      <c r="AN117" s="20" t="s">
        <v>22</v>
      </c>
    </row>
    <row r="118" spans="1:40" outlineLevel="1" x14ac:dyDescent="0.2">
      <c r="A118" s="5" t="s">
        <v>4</v>
      </c>
      <c r="B118" s="15" t="e">
        <f>SUMIF(#REF!,A118,#REF!)+#REF!</f>
        <v>#REF!</v>
      </c>
      <c r="C118" s="16" t="e">
        <f t="shared" si="21"/>
        <v>#REF!</v>
      </c>
      <c r="D118" s="16">
        <v>5</v>
      </c>
      <c r="E118" s="15" t="e">
        <f t="shared" si="22"/>
        <v>#REF!</v>
      </c>
      <c r="F118" s="1" t="s">
        <v>4</v>
      </c>
      <c r="G118" s="3"/>
      <c r="H118" s="4"/>
      <c r="I118" s="4"/>
      <c r="J118" s="4"/>
      <c r="K118" s="4"/>
      <c r="L118" s="18" t="s">
        <v>15</v>
      </c>
      <c r="M118" s="18" t="s">
        <v>40</v>
      </c>
      <c r="N118" s="18" t="s">
        <v>14</v>
      </c>
      <c r="O118" s="18" t="s">
        <v>14</v>
      </c>
      <c r="P118" s="20" t="s">
        <v>23</v>
      </c>
      <c r="R118" s="1" t="s">
        <v>4</v>
      </c>
      <c r="S118" s="3"/>
      <c r="T118" s="4"/>
      <c r="U118" s="4"/>
      <c r="V118" s="4"/>
      <c r="W118" s="4"/>
      <c r="X118" s="18">
        <v>1</v>
      </c>
      <c r="Y118" s="18" t="s">
        <v>14</v>
      </c>
      <c r="Z118" s="18">
        <v>1</v>
      </c>
      <c r="AA118" s="18">
        <v>1</v>
      </c>
      <c r="AB118" s="20" t="s">
        <v>14</v>
      </c>
      <c r="AD118" s="1" t="s">
        <v>4</v>
      </c>
      <c r="AE118" s="3"/>
      <c r="AF118" s="4"/>
      <c r="AG118" s="4"/>
      <c r="AH118" s="4"/>
      <c r="AI118" s="4"/>
      <c r="AJ118" s="18" t="s">
        <v>14</v>
      </c>
      <c r="AK118" s="18" t="s">
        <v>32</v>
      </c>
      <c r="AL118" s="18" t="s">
        <v>14</v>
      </c>
      <c r="AM118" s="18" t="s">
        <v>14</v>
      </c>
      <c r="AN118" s="20" t="s">
        <v>23</v>
      </c>
    </row>
    <row r="119" spans="1:40" outlineLevel="1" x14ac:dyDescent="0.2">
      <c r="A119" s="5" t="s">
        <v>5</v>
      </c>
      <c r="B119" s="15" t="e">
        <f>SUMIF(#REF!,A119,#REF!)+#REF!</f>
        <v>#REF!</v>
      </c>
      <c r="C119" s="16" t="e">
        <f t="shared" si="21"/>
        <v>#REF!</v>
      </c>
      <c r="D119" s="16">
        <v>6</v>
      </c>
      <c r="E119" s="15" t="e">
        <f t="shared" si="22"/>
        <v>#REF!</v>
      </c>
      <c r="F119" s="1" t="s">
        <v>5</v>
      </c>
      <c r="G119" s="3"/>
      <c r="H119" s="4"/>
      <c r="I119" s="4"/>
      <c r="J119" s="4"/>
      <c r="K119" s="4"/>
      <c r="L119" s="4"/>
      <c r="M119" s="18" t="s">
        <v>41</v>
      </c>
      <c r="N119" s="18" t="s">
        <v>24</v>
      </c>
      <c r="O119" s="18" t="s">
        <v>24</v>
      </c>
      <c r="P119" s="20" t="s">
        <v>41</v>
      </c>
      <c r="R119" s="1" t="s">
        <v>5</v>
      </c>
      <c r="S119" s="3"/>
      <c r="T119" s="4"/>
      <c r="U119" s="4"/>
      <c r="V119" s="4"/>
      <c r="W119" s="4"/>
      <c r="X119" s="4"/>
      <c r="Y119" s="18" t="s">
        <v>15</v>
      </c>
      <c r="Z119" s="18">
        <v>1</v>
      </c>
      <c r="AA119" s="18">
        <v>1</v>
      </c>
      <c r="AB119" s="20">
        <v>1</v>
      </c>
      <c r="AD119" s="1" t="s">
        <v>5</v>
      </c>
      <c r="AE119" s="3"/>
      <c r="AF119" s="4"/>
      <c r="AG119" s="4"/>
      <c r="AH119" s="4"/>
      <c r="AI119" s="4"/>
      <c r="AJ119" s="4"/>
      <c r="AK119" s="18" t="s">
        <v>24</v>
      </c>
      <c r="AL119" s="18">
        <v>1</v>
      </c>
      <c r="AM119" s="18">
        <v>1</v>
      </c>
      <c r="AN119" s="20" t="s">
        <v>15</v>
      </c>
    </row>
    <row r="120" spans="1:40" outlineLevel="1" x14ac:dyDescent="0.2">
      <c r="A120" s="5" t="s">
        <v>6</v>
      </c>
      <c r="B120" s="15" t="e">
        <f>SUMIF(#REF!,A120,#REF!)+#REF!</f>
        <v>#REF!</v>
      </c>
      <c r="C120" s="16" t="e">
        <f t="shared" si="21"/>
        <v>#REF!</v>
      </c>
      <c r="D120" s="16">
        <v>7</v>
      </c>
      <c r="E120" s="15" t="e">
        <f t="shared" si="22"/>
        <v>#REF!</v>
      </c>
      <c r="F120" s="1" t="s">
        <v>6</v>
      </c>
      <c r="G120" s="3"/>
      <c r="H120" s="4"/>
      <c r="I120" s="4"/>
      <c r="J120" s="4"/>
      <c r="K120" s="4"/>
      <c r="L120" s="4"/>
      <c r="M120" s="4"/>
      <c r="N120" s="18" t="s">
        <v>26</v>
      </c>
      <c r="O120" s="18" t="s">
        <v>27</v>
      </c>
      <c r="P120" s="20" t="s">
        <v>53</v>
      </c>
      <c r="R120" s="1" t="s">
        <v>6</v>
      </c>
      <c r="S120" s="3"/>
      <c r="T120" s="4"/>
      <c r="U120" s="4"/>
      <c r="V120" s="4"/>
      <c r="W120" s="4"/>
      <c r="X120" s="4"/>
      <c r="Y120" s="4"/>
      <c r="Z120" s="18" t="s">
        <v>17</v>
      </c>
      <c r="AA120" s="18" t="s">
        <v>18</v>
      </c>
      <c r="AB120" s="20" t="s">
        <v>53</v>
      </c>
      <c r="AD120" s="1" t="s">
        <v>6</v>
      </c>
      <c r="AE120" s="3"/>
      <c r="AF120" s="4"/>
      <c r="AG120" s="4"/>
      <c r="AH120" s="4"/>
      <c r="AI120" s="4"/>
      <c r="AJ120" s="4"/>
      <c r="AK120" s="4"/>
      <c r="AL120" s="18" t="s">
        <v>26</v>
      </c>
      <c r="AM120" s="18" t="s">
        <v>27</v>
      </c>
      <c r="AN120" s="20" t="s">
        <v>53</v>
      </c>
    </row>
    <row r="121" spans="1:40" outlineLevel="1" x14ac:dyDescent="0.2">
      <c r="A121" s="5" t="s">
        <v>7</v>
      </c>
      <c r="B121" s="15" t="e">
        <f>SUMIF(#REF!,A121,#REF!)+#REF!</f>
        <v>#REF!</v>
      </c>
      <c r="C121" s="16" t="e">
        <f t="shared" si="21"/>
        <v>#REF!</v>
      </c>
      <c r="D121" s="16">
        <v>8</v>
      </c>
      <c r="E121" s="15" t="e">
        <f t="shared" si="22"/>
        <v>#REF!</v>
      </c>
      <c r="F121" s="1" t="s">
        <v>7</v>
      </c>
      <c r="G121" s="3"/>
      <c r="H121" s="4"/>
      <c r="I121" s="4"/>
      <c r="J121" s="4"/>
      <c r="K121" s="4"/>
      <c r="L121" s="4"/>
      <c r="M121" s="4"/>
      <c r="N121" s="4"/>
      <c r="O121" s="18">
        <v>1</v>
      </c>
      <c r="P121" s="20" t="s">
        <v>26</v>
      </c>
      <c r="R121" s="1" t="s">
        <v>7</v>
      </c>
      <c r="S121" s="3"/>
      <c r="T121" s="4"/>
      <c r="U121" s="4"/>
      <c r="V121" s="4"/>
      <c r="W121" s="4"/>
      <c r="X121" s="4"/>
      <c r="Y121" s="4"/>
      <c r="Z121" s="4"/>
      <c r="AA121" s="18">
        <v>1</v>
      </c>
      <c r="AB121" s="20" t="s">
        <v>17</v>
      </c>
      <c r="AD121" s="1" t="s">
        <v>7</v>
      </c>
      <c r="AE121" s="3"/>
      <c r="AF121" s="4"/>
      <c r="AG121" s="4"/>
      <c r="AH121" s="4"/>
      <c r="AI121" s="4"/>
      <c r="AJ121" s="4"/>
      <c r="AK121" s="4"/>
      <c r="AL121" s="4"/>
      <c r="AM121" s="18">
        <v>1</v>
      </c>
      <c r="AN121" s="20" t="s">
        <v>17</v>
      </c>
    </row>
    <row r="122" spans="1:40" outlineLevel="1" x14ac:dyDescent="0.2">
      <c r="A122" s="5" t="s">
        <v>8</v>
      </c>
      <c r="B122" s="15" t="e">
        <f>SUMIF(#REF!,A122,#REF!)+#REF!</f>
        <v>#REF!</v>
      </c>
      <c r="C122" s="16" t="e">
        <f t="shared" si="21"/>
        <v>#REF!</v>
      </c>
      <c r="D122" s="16">
        <v>9</v>
      </c>
      <c r="E122" s="15" t="e">
        <f t="shared" si="22"/>
        <v>#REF!</v>
      </c>
      <c r="F122" s="1" t="s">
        <v>8</v>
      </c>
      <c r="G122" s="3"/>
      <c r="H122" s="4"/>
      <c r="I122" s="4"/>
      <c r="J122" s="4"/>
      <c r="K122" s="4"/>
      <c r="L122" s="4"/>
      <c r="M122" s="4"/>
      <c r="N122" s="4"/>
      <c r="O122" s="4"/>
      <c r="P122" s="20" t="s">
        <v>27</v>
      </c>
      <c r="R122" s="1" t="s">
        <v>8</v>
      </c>
      <c r="S122" s="3"/>
      <c r="T122" s="4"/>
      <c r="U122" s="4"/>
      <c r="V122" s="4"/>
      <c r="W122" s="4"/>
      <c r="X122" s="4"/>
      <c r="Y122" s="4"/>
      <c r="Z122" s="4"/>
      <c r="AA122" s="4"/>
      <c r="AB122" s="20">
        <v>1</v>
      </c>
      <c r="AD122" s="1" t="s">
        <v>8</v>
      </c>
      <c r="AE122" s="3"/>
      <c r="AF122" s="4"/>
      <c r="AG122" s="4"/>
      <c r="AH122" s="4"/>
      <c r="AI122" s="4"/>
      <c r="AJ122" s="4"/>
      <c r="AK122" s="4"/>
      <c r="AL122" s="4"/>
      <c r="AM122" s="4"/>
      <c r="AN122" s="20" t="s">
        <v>18</v>
      </c>
    </row>
    <row r="123" spans="1:40" outlineLevel="1" x14ac:dyDescent="0.2">
      <c r="A123" s="6" t="s">
        <v>9</v>
      </c>
      <c r="B123" s="15" t="e">
        <f>SUMIF(#REF!,A123,#REF!)+#REF!</f>
        <v>#REF!</v>
      </c>
      <c r="C123" s="16" t="e">
        <f t="shared" si="21"/>
        <v>#REF!</v>
      </c>
      <c r="D123" s="16">
        <v>10</v>
      </c>
      <c r="E123" s="15" t="e">
        <f t="shared" si="22"/>
        <v>#REF!</v>
      </c>
      <c r="F123" s="1" t="s">
        <v>9</v>
      </c>
      <c r="G123" s="3"/>
      <c r="H123" s="4"/>
      <c r="I123" s="4"/>
      <c r="J123" s="4"/>
      <c r="K123" s="4"/>
      <c r="L123" s="4"/>
      <c r="M123" s="4"/>
      <c r="N123" s="4"/>
      <c r="O123" s="4"/>
      <c r="P123" s="4"/>
      <c r="R123" s="1" t="s">
        <v>9</v>
      </c>
      <c r="S123" s="3"/>
      <c r="T123" s="4"/>
      <c r="U123" s="4"/>
      <c r="V123" s="4"/>
      <c r="W123" s="4"/>
      <c r="X123" s="4"/>
      <c r="Y123" s="4"/>
      <c r="Z123" s="4"/>
      <c r="AA123" s="4"/>
      <c r="AB123" s="4"/>
      <c r="AD123" s="1" t="s">
        <v>9</v>
      </c>
      <c r="AE123" s="3"/>
      <c r="AF123" s="4"/>
      <c r="AG123" s="4"/>
      <c r="AH123" s="4"/>
      <c r="AI123" s="4"/>
      <c r="AJ123" s="4"/>
      <c r="AK123" s="4"/>
      <c r="AL123" s="4"/>
      <c r="AM123" s="4"/>
      <c r="AN123" s="4"/>
    </row>
    <row r="131" spans="4:4" x14ac:dyDescent="0.2">
      <c r="D131" s="16"/>
    </row>
  </sheetData>
  <protectedRanges>
    <protectedRange sqref="I26:P27 K28:P29 M30:P31 O32:P33 P34 N32 L30 J28 H26 AG26:AN27 AI28:AN29 AK30:AN31 AM32:AN33 AN34 AL32 AJ30 AH28 AF26 I37:P38 K39:P40 M41:P42 O43:P44 P45 N43 L41 J39 H37 U37:AB38 W39:AB40 Y41:AB42 AA43:AB44 AB45 Z43 X41 V39 T37 AG37:AN38 AI39:AN40 AK41:AN42 AM43:AN44 AN45 AL43 AJ41 AH39 AF37 I48:P49 K50:P51 M52:P53 O54:P55 P56 N54 L52 J50 H48 U48:AB49 W50:AB51 Y52:AB53 AA54:AB55 AB56 Z54 X52 V50 T48 AG48:AN49 AI50:AN51 AK52:AN53 AM54:AN55 AN56 AL54 AJ52 AH50 AF48 I59:P60 K61:P62 M63:P64 O65:P66 P67 N65 L63 J61 H59 U59:AB60 W61:AB62 Y63:AB64 AA65:AB66 AB67 Z65 X63 V61 T59 I70:P71 K72:P73 M74:P75 O76:P77 P78 N76 L74 J72 H70 U70:AB71 W72:AB73 Y74:AB75 AA76:AB77 AB78 Z76 X74 V72 T70 AG70:AN71 AI72:AN73 AK74:AN75 AM76:AN77 AN78 AL76 AJ74 AH72 AF70" name="Intervallo1_1"/>
    <protectedRange sqref="I4:P5 K6:P7 M8:P9 O10:P11 P12 N10 L8 J6 H4 U4:AB5 W6:AB7 Y8:AB9 AA10:AB11 AB12 Z10 X8 V6 T4 AG4:AN5 AI6:AN7 AK8:AN9 AM10:AN11 AN12 AL10 AJ8 AH6 AF4" name="Intervallo1_5"/>
    <protectedRange sqref="I15:P16 K17:P18 M19:P20 O21:P22 P23 N21 L19 J17 H15 U15:AB16 W17:AB18 Y19:AB20 AA21:AB22 AB23 Z21 X19 V17 T15 AG15:AN16 AI17:AN18 AK19:AN20 AM21:AN22 AN23 AL21 AJ19 AH17 AF15" name="Intervallo1_7"/>
    <protectedRange sqref="I81:P82 K83:P84 M85:P86 O87:P88 P89 N87 L85 J83 H81 AG81:AN82 AI83:AN84 AK85:AN86 AM87:AN88 AN89 AL87 AJ85 AH83 AF81" name="Intervallo1_9"/>
    <protectedRange sqref="U81:AB82 W83:AB84 Y85:AB86 AA87:AB88 AB89 Z87 X85 V83 T81" name="Intervallo1_3_2"/>
    <protectedRange sqref="I92:P93 K94:P95 M96:P97 O98:P99 P100 N98 L96 J94 H92 AG92:AN93 AI94:AN95 AK96:AN97 AM98:AN99 AN100 AL98 AJ96 AH94 AF92" name="Intervallo1_11"/>
    <protectedRange sqref="U92:AB93 W94:AB95 Y96:AB97 AA98:AB99 AB100 Z98 X96 V94 T92" name="Intervallo1_3_4"/>
    <protectedRange sqref="I103:P104 K105:P106 M107:P108 O109:P110 P111 N109 L107 J105 H103 AG103:AN104 AI105:AN106 AK107:AN108 AM109:AN110 AN111 AL109 AJ107 AH105 AF103" name="Intervallo1_13"/>
    <protectedRange sqref="U103:AB104 W105:AB106 Y107:AB108 AA109:AB110 AB111 Z109 X107 V105 T103" name="Intervallo1_3_6"/>
    <protectedRange sqref="I114:P115 K116:P117 M118:P119 O120:P121 P122 N120 L118 J116 H114 AG114:AN115 AI116:AN117 AK118:AN119 AM120:AN121 AN122 AL120 AJ118 AH116 AF114" name="Intervallo1_15"/>
    <protectedRange sqref="U114:AB115 W116:AB117 Y118:AB119 AA120:AB121 AB122 Z120 X118 V116 T114" name="Intervallo1_3_8"/>
    <protectedRange sqref="U26:AB27 W28:AB29 Y30:AB31 AA32:AB33 AB34 Z32 X30 V28 T26" name="Intervallo1_4"/>
    <protectedRange sqref="AG59:AN60 AI61:AN62 AK63:AN64 AM65:AN66 AN67 AL65 AJ63 AH61 AF59" name="Intervallo1_2"/>
  </protectedRanges>
  <conditionalFormatting sqref="AA37:AB44">
    <cfRule type="containsText" dxfId="65" priority="62" operator="containsText" text="&quot; &quot;">
      <formula>NOT(ISERROR(SEARCH(""" """,AA37)))</formula>
    </cfRule>
  </conditionalFormatting>
  <conditionalFormatting sqref="T37:AB37 U38:AB38 V39:AB39 W40:AB40 X41:AB41 Y42:AB42 Z43:AB43 AA44:AB44 AB45">
    <cfRule type="containsBlanks" dxfId="64" priority="61">
      <formula>LEN(TRIM(T37))=0</formula>
    </cfRule>
  </conditionalFormatting>
  <conditionalFormatting sqref="AM37:AN44">
    <cfRule type="containsText" dxfId="63" priority="60" operator="containsText" text="&quot; &quot;">
      <formula>NOT(ISERROR(SEARCH(""" """,AM37)))</formula>
    </cfRule>
  </conditionalFormatting>
  <conditionalFormatting sqref="AF37:AN37 AG38:AN38 AH39:AN39 AI40:AN40 AJ41:AN41 AK42:AN42 AL43:AN43 AM44:AN44 AN45">
    <cfRule type="containsBlanks" dxfId="62" priority="59">
      <formula>LEN(TRIM(AF37))=0</formula>
    </cfRule>
  </conditionalFormatting>
  <conditionalFormatting sqref="O26:P33">
    <cfRule type="containsText" dxfId="61" priority="68" operator="containsText" text="&quot; &quot;">
      <formula>NOT(ISERROR(SEARCH(""" """,O26)))</formula>
    </cfRule>
  </conditionalFormatting>
  <conditionalFormatting sqref="H26:P26 I27:P27 J28:P28 K29:P29 L30:P30 M31:P31 N32:P32 O33:P33 P34">
    <cfRule type="containsBlanks" dxfId="60" priority="67">
      <formula>LEN(TRIM(H26))=0</formula>
    </cfRule>
  </conditionalFormatting>
  <conditionalFormatting sqref="AM26:AN33">
    <cfRule type="containsText" dxfId="59" priority="66" operator="containsText" text="&quot; &quot;">
      <formula>NOT(ISERROR(SEARCH(""" """,AM26)))</formula>
    </cfRule>
  </conditionalFormatting>
  <conditionalFormatting sqref="AF26:AN26 AG27:AN27 AH28:AN28 AI29:AN29 AJ30:AN30 AK31:AN31 AL32:AN32 AM33:AN33 AN34">
    <cfRule type="containsBlanks" dxfId="58" priority="65">
      <formula>LEN(TRIM(AF26))=0</formula>
    </cfRule>
  </conditionalFormatting>
  <conditionalFormatting sqref="O37:P44">
    <cfRule type="containsText" dxfId="57" priority="64" operator="containsText" text="&quot; &quot;">
      <formula>NOT(ISERROR(SEARCH(""" """,O37)))</formula>
    </cfRule>
  </conditionalFormatting>
  <conditionalFormatting sqref="H37:P37 I38:P38 J39:P39 K40:P40 L41:P41 M42:P42 N43:P43 O44:P44 P45">
    <cfRule type="containsBlanks" dxfId="56" priority="63">
      <formula>LEN(TRIM(H37))=0</formula>
    </cfRule>
  </conditionalFormatting>
  <conditionalFormatting sqref="O48:P55">
    <cfRule type="containsText" dxfId="55" priority="58" operator="containsText" text="&quot; &quot;">
      <formula>NOT(ISERROR(SEARCH(""" """,O48)))</formula>
    </cfRule>
  </conditionalFormatting>
  <conditionalFormatting sqref="H48:P48 I49:P49 J50:P50 K51:P51 L52:P52 M53:P53 N54:P54 O55:P55 P56">
    <cfRule type="containsBlanks" dxfId="54" priority="57">
      <formula>LEN(TRIM(H48))=0</formula>
    </cfRule>
  </conditionalFormatting>
  <conditionalFormatting sqref="AA48:AB55">
    <cfRule type="containsText" dxfId="53" priority="56" operator="containsText" text="&quot; &quot;">
      <formula>NOT(ISERROR(SEARCH(""" """,AA48)))</formula>
    </cfRule>
  </conditionalFormatting>
  <conditionalFormatting sqref="T48:AB48 U49:AB49 V50:AB50 W51:AB51 X52:AB52 Y53:AB53 Z54:AB54 AA55:AB55 AB56">
    <cfRule type="containsBlanks" dxfId="52" priority="55">
      <formula>LEN(TRIM(T48))=0</formula>
    </cfRule>
  </conditionalFormatting>
  <conditionalFormatting sqref="AM48:AN55">
    <cfRule type="containsText" dxfId="51" priority="54" operator="containsText" text="&quot; &quot;">
      <formula>NOT(ISERROR(SEARCH(""" """,AM48)))</formula>
    </cfRule>
  </conditionalFormatting>
  <conditionalFormatting sqref="AF48:AN48 AG49:AN49 AH50:AN50 AI51:AN51 AJ52:AN52 AK53:AN53 AL54:AN54 AM55:AN55 AN56">
    <cfRule type="containsBlanks" dxfId="50" priority="53">
      <formula>LEN(TRIM(AF48))=0</formula>
    </cfRule>
  </conditionalFormatting>
  <conditionalFormatting sqref="O59:P66">
    <cfRule type="containsText" dxfId="49" priority="52" operator="containsText" text="&quot; &quot;">
      <formula>NOT(ISERROR(SEARCH(""" """,O59)))</formula>
    </cfRule>
  </conditionalFormatting>
  <conditionalFormatting sqref="H59:P59 I60:P60 J61:P61 K62:P62 L63:P63 M64:P64 N65:P65 O66:P66 P67">
    <cfRule type="containsBlanks" dxfId="48" priority="51">
      <formula>LEN(TRIM(H59))=0</formula>
    </cfRule>
  </conditionalFormatting>
  <conditionalFormatting sqref="AA59:AB66">
    <cfRule type="containsText" dxfId="47" priority="50" operator="containsText" text="&quot; &quot;">
      <formula>NOT(ISERROR(SEARCH(""" """,AA59)))</formula>
    </cfRule>
  </conditionalFormatting>
  <conditionalFormatting sqref="T59:AB59 U60:AB60 V61:AB61 W62:AB62 X63:AB63 Y64:AB64 Z65:AB65 AA66:AB66 AB67">
    <cfRule type="containsBlanks" dxfId="46" priority="49">
      <formula>LEN(TRIM(T59))=0</formula>
    </cfRule>
  </conditionalFormatting>
  <conditionalFormatting sqref="O70:P77">
    <cfRule type="containsText" dxfId="45" priority="46" operator="containsText" text="&quot; &quot;">
      <formula>NOT(ISERROR(SEARCH(""" """,O70)))</formula>
    </cfRule>
  </conditionalFormatting>
  <conditionalFormatting sqref="H70:P70 I71:P71 J72:P72 K73:P73 L74:P74 M75:P75 N76:P76 O77:P77 P78">
    <cfRule type="containsBlanks" dxfId="44" priority="45">
      <formula>LEN(TRIM(H70))=0</formula>
    </cfRule>
  </conditionalFormatting>
  <conditionalFormatting sqref="AA70:AB77">
    <cfRule type="containsText" dxfId="43" priority="44" operator="containsText" text="&quot; &quot;">
      <formula>NOT(ISERROR(SEARCH(""" """,AA70)))</formula>
    </cfRule>
  </conditionalFormatting>
  <conditionalFormatting sqref="T70:AB70 U71:AB71 V72:AB72 W73:AB73 X74:AB74 Y75:AB75 Z76:AB76 AA77:AB77 AB78">
    <cfRule type="containsBlanks" dxfId="42" priority="43">
      <formula>LEN(TRIM(T70))=0</formula>
    </cfRule>
  </conditionalFormatting>
  <conditionalFormatting sqref="AM70:AN77">
    <cfRule type="containsText" dxfId="41" priority="42" operator="containsText" text="&quot; &quot;">
      <formula>NOT(ISERROR(SEARCH(""" """,AM70)))</formula>
    </cfRule>
  </conditionalFormatting>
  <conditionalFormatting sqref="AF70:AN70 AG71:AN71 AH72:AN72 AI73:AN73 AJ74:AN74 AK75:AN75 AL76:AN76 AM77:AN77 AN78">
    <cfRule type="containsBlanks" dxfId="40" priority="41">
      <formula>LEN(TRIM(AF70))=0</formula>
    </cfRule>
  </conditionalFormatting>
  <conditionalFormatting sqref="T114:AB114 U115:AB115 V116:AB116 W117:AB117 X118:AB118 Y119:AB119 Z120:AB120 AA121:AB121 AB122">
    <cfRule type="containsBlanks" dxfId="39" priority="5">
      <formula>LEN(TRIM(T114))=0</formula>
    </cfRule>
  </conditionalFormatting>
  <conditionalFormatting sqref="AA114:AB121">
    <cfRule type="containsText" dxfId="38" priority="6" operator="containsText" text="&quot; &quot;">
      <formula>NOT(ISERROR(SEARCH(""" """,AA114)))</formula>
    </cfRule>
  </conditionalFormatting>
  <conditionalFormatting sqref="O4:P11">
    <cfRule type="containsText" dxfId="37" priority="40" operator="containsText" text="&quot; &quot;">
      <formula>NOT(ISERROR(SEARCH(""" """,O4)))</formula>
    </cfRule>
  </conditionalFormatting>
  <conditionalFormatting sqref="H4:P4 I5:P5 J6:P6 K7:P7 L8:P8 M9:P9 N10:P10 O11:P11 P12">
    <cfRule type="containsBlanks" dxfId="36" priority="39">
      <formula>LEN(TRIM(H4))=0</formula>
    </cfRule>
  </conditionalFormatting>
  <conditionalFormatting sqref="AA4:AB11">
    <cfRule type="containsText" dxfId="35" priority="38" operator="containsText" text="&quot; &quot;">
      <formula>NOT(ISERROR(SEARCH(""" """,AA4)))</formula>
    </cfRule>
  </conditionalFormatting>
  <conditionalFormatting sqref="T4:AB4 U5:AB5 V6:AB6 W7:AB7 X8:AB8 Y9:AB9 Z10:AB10 AA11:AB11 AB12">
    <cfRule type="containsBlanks" dxfId="34" priority="37">
      <formula>LEN(TRIM(T4))=0</formula>
    </cfRule>
  </conditionalFormatting>
  <conditionalFormatting sqref="AM4:AN11">
    <cfRule type="containsText" dxfId="33" priority="36" operator="containsText" text="&quot; &quot;">
      <formula>NOT(ISERROR(SEARCH(""" """,AM4)))</formula>
    </cfRule>
  </conditionalFormatting>
  <conditionalFormatting sqref="AF4:AN4 AG5:AN5 AH6:AN6 AI7:AN7 AJ8:AN8 AK9:AN9 AL10:AN10 AM11:AN11 AN12">
    <cfRule type="containsBlanks" dxfId="32" priority="35">
      <formula>LEN(TRIM(AF4))=0</formula>
    </cfRule>
  </conditionalFormatting>
  <conditionalFormatting sqref="O15:P22">
    <cfRule type="containsText" dxfId="31" priority="34" operator="containsText" text="&quot; &quot;">
      <formula>NOT(ISERROR(SEARCH(""" """,O15)))</formula>
    </cfRule>
  </conditionalFormatting>
  <conditionalFormatting sqref="H15:P15 I16:P16 J17:P17 K18:P18 L19:P19 M20:P20 N21:P21 O22:P22 P23">
    <cfRule type="containsBlanks" dxfId="30" priority="33">
      <formula>LEN(TRIM(H15))=0</formula>
    </cfRule>
  </conditionalFormatting>
  <conditionalFormatting sqref="AA15:AB22">
    <cfRule type="containsText" dxfId="29" priority="32" operator="containsText" text="&quot; &quot;">
      <formula>NOT(ISERROR(SEARCH(""" """,AA15)))</formula>
    </cfRule>
  </conditionalFormatting>
  <conditionalFormatting sqref="T15:AB15 U16:AB16 V17:AB17 W18:AB18 X19:AB19 Y20:AB20 Z21:AB21 AA22:AB22 AB23">
    <cfRule type="containsBlanks" dxfId="28" priority="31">
      <formula>LEN(TRIM(T15))=0</formula>
    </cfRule>
  </conditionalFormatting>
  <conditionalFormatting sqref="AM15:AN22">
    <cfRule type="containsText" dxfId="27" priority="30" operator="containsText" text="&quot; &quot;">
      <formula>NOT(ISERROR(SEARCH(""" """,AM15)))</formula>
    </cfRule>
  </conditionalFormatting>
  <conditionalFormatting sqref="AF15:AN15 AG16:AN16 AH17:AN17 AI18:AN18 AJ19:AN19 AK20:AN20 AL21:AN21 AM22:AN22 AN23">
    <cfRule type="containsBlanks" dxfId="26" priority="29">
      <formula>LEN(TRIM(AF15))=0</formula>
    </cfRule>
  </conditionalFormatting>
  <conditionalFormatting sqref="O81:P88">
    <cfRule type="containsText" dxfId="25" priority="28" operator="containsText" text="&quot; &quot;">
      <formula>NOT(ISERROR(SEARCH(""" """,O81)))</formula>
    </cfRule>
  </conditionalFormatting>
  <conditionalFormatting sqref="H81:P81 I82:P82 J83:P83 K84:P84 L85:P85 M86:P86 N87:P87 O88:P88 P89">
    <cfRule type="containsBlanks" dxfId="24" priority="27">
      <formula>LEN(TRIM(H81))=0</formula>
    </cfRule>
  </conditionalFormatting>
  <conditionalFormatting sqref="AM81:AN88">
    <cfRule type="containsText" dxfId="23" priority="26" operator="containsText" text="&quot; &quot;">
      <formula>NOT(ISERROR(SEARCH(""" """,AM81)))</formula>
    </cfRule>
  </conditionalFormatting>
  <conditionalFormatting sqref="AF81:AN81 AG82:AN82 AH83:AN83 AI84:AN84 AJ85:AN85 AK86:AN86 AL87:AN87 AM88:AN88 AN89">
    <cfRule type="containsBlanks" dxfId="22" priority="25">
      <formula>LEN(TRIM(AF81))=0</formula>
    </cfRule>
  </conditionalFormatting>
  <conditionalFormatting sqref="AA81:AB88">
    <cfRule type="containsText" dxfId="21" priority="24" operator="containsText" text="&quot; &quot;">
      <formula>NOT(ISERROR(SEARCH(""" """,AA81)))</formula>
    </cfRule>
  </conditionalFormatting>
  <conditionalFormatting sqref="T81:AB81 U82:AB82 V83:AB83 W84:AB84 X85:AB85 Y86:AB86 Z87:AB87 AA88:AB88 AB89">
    <cfRule type="containsBlanks" dxfId="20" priority="23">
      <formula>LEN(TRIM(T81))=0</formula>
    </cfRule>
  </conditionalFormatting>
  <conditionalFormatting sqref="O92:P99">
    <cfRule type="containsText" dxfId="19" priority="22" operator="containsText" text="&quot; &quot;">
      <formula>NOT(ISERROR(SEARCH(""" """,O92)))</formula>
    </cfRule>
  </conditionalFormatting>
  <conditionalFormatting sqref="H92:P92 I93:P93 J94:P94 K95:P95 L96:P96 M97:P97 N98:P98 O99:P99 P100">
    <cfRule type="containsBlanks" dxfId="18" priority="21">
      <formula>LEN(TRIM(H92))=0</formula>
    </cfRule>
  </conditionalFormatting>
  <conditionalFormatting sqref="AM92:AN99">
    <cfRule type="containsText" dxfId="17" priority="20" operator="containsText" text="&quot; &quot;">
      <formula>NOT(ISERROR(SEARCH(""" """,AM92)))</formula>
    </cfRule>
  </conditionalFormatting>
  <conditionalFormatting sqref="AF92:AN92 AG93:AN93 AH94:AN94 AI95:AN95 AJ96:AN96 AK97:AN97 AL98:AN98 AM99:AN99 AN100">
    <cfRule type="containsBlanks" dxfId="16" priority="19">
      <formula>LEN(TRIM(AF92))=0</formula>
    </cfRule>
  </conditionalFormatting>
  <conditionalFormatting sqref="AA92:AB99">
    <cfRule type="containsText" dxfId="15" priority="18" operator="containsText" text="&quot; &quot;">
      <formula>NOT(ISERROR(SEARCH(""" """,AA92)))</formula>
    </cfRule>
  </conditionalFormatting>
  <conditionalFormatting sqref="T92:AB92 U93:AB93 V94:AB94 W95:AB95 X96:AB96 Y97:AB97 Z98:AB98 AA99:AB99 AB100">
    <cfRule type="containsBlanks" dxfId="14" priority="17">
      <formula>LEN(TRIM(T92))=0</formula>
    </cfRule>
  </conditionalFormatting>
  <conditionalFormatting sqref="O103:P110">
    <cfRule type="containsText" dxfId="13" priority="16" operator="containsText" text="&quot; &quot;">
      <formula>NOT(ISERROR(SEARCH(""" """,O103)))</formula>
    </cfRule>
  </conditionalFormatting>
  <conditionalFormatting sqref="H103:P103 I104:P104 J105:P105 K106:P106 L107:P107 M108:P108 N109:P109 O110:P110 P111">
    <cfRule type="containsBlanks" dxfId="12" priority="15">
      <formula>LEN(TRIM(H103))=0</formula>
    </cfRule>
  </conditionalFormatting>
  <conditionalFormatting sqref="AM103:AN110">
    <cfRule type="containsText" dxfId="11" priority="14" operator="containsText" text="&quot; &quot;">
      <formula>NOT(ISERROR(SEARCH(""" """,AM103)))</formula>
    </cfRule>
  </conditionalFormatting>
  <conditionalFormatting sqref="AF103:AN103 AG104:AN104 AH105:AN105 AI106:AN106 AJ107:AN107 AK108:AN108 AL109:AN109 AM110:AN110 AN111">
    <cfRule type="containsBlanks" dxfId="10" priority="13">
      <formula>LEN(TRIM(AF103))=0</formula>
    </cfRule>
  </conditionalFormatting>
  <conditionalFormatting sqref="AA103:AB110">
    <cfRule type="containsText" dxfId="9" priority="12" operator="containsText" text="&quot; &quot;">
      <formula>NOT(ISERROR(SEARCH(""" """,AA103)))</formula>
    </cfRule>
  </conditionalFormatting>
  <conditionalFormatting sqref="T103:AB103 U104:AB104 V105:AB105 W106:AB106 X107:AB107 Y108:AB108 Z109:AB109 AA110:AB110 AB111">
    <cfRule type="containsBlanks" dxfId="8" priority="11">
      <formula>LEN(TRIM(T103))=0</formula>
    </cfRule>
  </conditionalFormatting>
  <conditionalFormatting sqref="O114:P121">
    <cfRule type="containsText" dxfId="7" priority="10" operator="containsText" text="&quot; &quot;">
      <formula>NOT(ISERROR(SEARCH(""" """,O114)))</formula>
    </cfRule>
  </conditionalFormatting>
  <conditionalFormatting sqref="H114:P114 I115:P115 J116:P116 K117:P117 L118:P118 M119:P119 N120:P120 O121:P121 P122">
    <cfRule type="containsBlanks" dxfId="6" priority="9">
      <formula>LEN(TRIM(H114))=0</formula>
    </cfRule>
  </conditionalFormatting>
  <conditionalFormatting sqref="AM114:AN121">
    <cfRule type="containsText" dxfId="5" priority="8" operator="containsText" text="&quot; &quot;">
      <formula>NOT(ISERROR(SEARCH(""" """,AM114)))</formula>
    </cfRule>
  </conditionalFormatting>
  <conditionalFormatting sqref="AF114:AN114 AG115:AN115 AH116:AN116 AI117:AN117 AJ118:AN118 AK119:AN119 AL120:AN120 AM121:AN121 AN122">
    <cfRule type="containsBlanks" dxfId="4" priority="7">
      <formula>LEN(TRIM(AF114))=0</formula>
    </cfRule>
  </conditionalFormatting>
  <conditionalFormatting sqref="AA26:AB33">
    <cfRule type="containsText" dxfId="3" priority="4" operator="containsText" text="&quot; &quot;">
      <formula>NOT(ISERROR(SEARCH(""" """,AA26)))</formula>
    </cfRule>
  </conditionalFormatting>
  <conditionalFormatting sqref="T26:AB26 U27:AB27 V28:AB28 W29:AB29 X30:AB30 Y31:AB31 Z32:AB32 AA33:AB33 AB34">
    <cfRule type="containsBlanks" dxfId="2" priority="3">
      <formula>LEN(TRIM(T26))=0</formula>
    </cfRule>
  </conditionalFormatting>
  <conditionalFormatting sqref="AM59:AN66">
    <cfRule type="containsText" dxfId="1" priority="2" operator="containsText" text="&quot; &quot;">
      <formula>NOT(ISERROR(SEARCH(""" """,AM59)))</formula>
    </cfRule>
  </conditionalFormatting>
  <conditionalFormatting sqref="AF59:AN59 AG60:AN60 AH61:AN61 AI62:AN62 AJ63:AN63 AK64:AN64 AL65:AN65 AM66:AN66 AN67">
    <cfRule type="containsBlanks" dxfId="0" priority="1">
      <formula>LEN(TRIM(AF59))=0</formula>
    </cfRule>
  </conditionalFormatting>
  <dataValidations count="44">
    <dataValidation type="list" allowBlank="1" showInputMessage="1" showErrorMessage="1" sqref="AF114 AF103 AF92 AF70 H70 AF59 H15 AF15 H48 AF4 AF48 AF37 T37 H4 T114 T70 T103 T92 T81 T26 AF26 T4 T15 T48 T59 H114 H92 H103 AF81 H81 H59 H26 H37" xr:uid="{00000000-0002-0000-0100-000000000000}">
      <formula1>AB</formula1>
    </dataValidation>
    <dataValidation type="list" allowBlank="1" showInputMessage="1" showErrorMessage="1" sqref="AH116 AH105 AH94 AH72 J72 AH61 J17 AH17 AH50 AH6 AH39 V39 J6 V116 V72 V105 V94 V83 V50 V28 V17 V61 AH28 J116 J94 J105 AH83 J83 J61 J28 J39 J50 V6" xr:uid="{00000000-0002-0000-0100-000001000000}">
      <formula1>CD</formula1>
    </dataValidation>
    <dataValidation type="list" allowBlank="1" showInputMessage="1" showErrorMessage="1" sqref="AI116 AI105 AI94 AI72 K72 AI61 K17 AI17 AI50 AI6 AI39 W39 K6 W116 W72 W105 W94 W83 W50 W6 W28 W17 W61 AI28 K116 K94 K105 AI83 K83 K61 K28 K39 K50" xr:uid="{00000000-0002-0000-0100-000002000000}">
      <formula1>CE</formula1>
    </dataValidation>
    <dataValidation type="list" allowBlank="1" showInputMessage="1" showErrorMessage="1" sqref="AI117 AI106 AI95 AI73 K73 AI62 K18 AI18 AI51 AI7 AI40 W40 K7 W117 W73 W106 W95 W84 W51 W7 W29 W18 W62 AI29 K117 K95 K106 AI84 K84 K62 K29 K40 K51" xr:uid="{00000000-0002-0000-0100-000003000000}">
      <formula1>DE</formula1>
    </dataValidation>
    <dataValidation type="list" allowBlank="1" showInputMessage="1" showErrorMessage="1" sqref="AK115 AK104 AK93 AK71 M71 AK60 M16 AK16 AK49 AK5 AK38 Y38 M5 Y115 Y104 Y93 Y82 Y49 Y5 Y27 Y16 Y60 Y71 M115 M93 M104 AK82 M82 M60 M27 AK27 M38 M49" xr:uid="{00000000-0002-0000-0100-000004000000}">
      <formula1>BG</formula1>
    </dataValidation>
    <dataValidation type="list" allowBlank="1" showInputMessage="1" showErrorMessage="1" sqref="AL115 AL104 AL93 AL71 N71 AL60 N16 AL16 AL49 AL5 AL38 Z38 N5 Z115 Z104 Z93 Z82 Z49 Z27 Z16 Z60 Z71 N115 N93 N104 AL82 N82 N60 N27 AL27 N38 N49 Z5" xr:uid="{00000000-0002-0000-0100-000005000000}">
      <formula1>BH</formula1>
    </dataValidation>
    <dataValidation type="list" allowBlank="1" showInputMessage="1" showErrorMessage="1" sqref="AM115 AM104 AM93 AM71 O71 AM60 O16 AM16 AM49 AM5 AM38 AA38 O5 AA115 AA104 AA93 AA82 AA49 AA5 AA27 AA16 AA60 AA71 O115 O93 O104 AM82 O82 O60 O27 AM27 O38 O49" xr:uid="{00000000-0002-0000-0100-000006000000}">
      <formula1>BI</formula1>
    </dataValidation>
    <dataValidation type="list" allowBlank="1" showInputMessage="1" showErrorMessage="1" sqref="AN115 AN104 AN93 AN71 P71 AN60 P16 AN16 AN49 AN5 AN38 AN27 AB38 P5 AB115 AB104 AB93 AB82 AB49 AB5 AB27 AB16 AB60 AB71 P115 P93 P104 AN82 P82 P60 P27 P38 P49" xr:uid="{00000000-0002-0000-0100-000007000000}">
      <formula1>BL</formula1>
    </dataValidation>
    <dataValidation type="list" allowBlank="1" showInputMessage="1" showErrorMessage="1" sqref="AJ116 AJ105 AJ94 AJ72 L72 AJ61 L17 AJ17 AJ50 AJ6 AJ39 X39 L6 X116 X105 X94 X83 X50 X6 X28 X17 X61 X72 L116 L94 L105 AJ83 L83 L61 L28 AJ28 L39 L50" xr:uid="{00000000-0002-0000-0100-000008000000}">
      <formula1>CF</formula1>
    </dataValidation>
    <dataValidation type="list" allowBlank="1" showInputMessage="1" showErrorMessage="1" sqref="AK116 AK105 AK94 AK72 M72 AK61 M17 AK17 AK50 AK6 AK39 Y39 M6 Y116 Y105 Y94 Y83 Y50 Y28 Y17 Y61 Y72 M116 M94 M105 AK83 M83 M61 M28 AK28 M39 M50 Y6" xr:uid="{00000000-0002-0000-0100-000009000000}">
      <formula1>CG</formula1>
    </dataValidation>
    <dataValidation type="list" allowBlank="1" showInputMessage="1" showErrorMessage="1" sqref="AL116 AL105 AL94 AL72 N72 AL61 N17 AL17 AL50 AL6 AL39 Z39 N6 Z116 Z105 Z94 Z83 Z50 Z6 Z28 Z17 Z61 Z72 N116 N94 N105 AL83 N83 N61 N28 AL28 N39 N50" xr:uid="{00000000-0002-0000-0100-00000A000000}">
      <formula1>CH</formula1>
    </dataValidation>
    <dataValidation type="list" allowBlank="1" showInputMessage="1" showErrorMessage="1" sqref="AM116 AM105 AM94 AM72 O72 AM61 O17 AM17 AM50 AM6 AM39 AA39 O6 AA116 AA105 AA94 AA83 AA50 AA6 AA28 AA17 AA61 AA72 O116 O94 O105 AM83 O83 O61 O28 AM28 O39 O50" xr:uid="{00000000-0002-0000-0100-00000B000000}">
      <formula1>CI</formula1>
    </dataValidation>
    <dataValidation type="list" allowBlank="1" showInputMessage="1" showErrorMessage="1" sqref="AN116 AN105 AN94 AN72 P72 AN61 P17 AN17 AN50 AN6 AN39 AN28 AB39 P6 AB116 AB105 AB94 AB83 AB50 AB6 AB28 AB17 AB61 AB72 P116 P94 P105 AN83 P83 P61 P28 P39 P50" xr:uid="{00000000-0002-0000-0100-00000C000000}">
      <formula1>CL</formula1>
    </dataValidation>
    <dataValidation type="list" allowBlank="1" showInputMessage="1" showErrorMessage="1" sqref="AJ117 AJ106 AJ95 AJ73 L73 AJ62 L18 AJ18 AJ51 AJ7 AJ40 X40 L7 X117 X106 X95 X84 X51 X7 X29 X18 X62 X73 L117 L95 L106 AJ84 L84 L62 L29 AJ29 L40 L51" xr:uid="{00000000-0002-0000-0100-00000D000000}">
      <formula1>DF</formula1>
    </dataValidation>
    <dataValidation type="list" allowBlank="1" showInputMessage="1" showErrorMessage="1" sqref="AK117 AK106 AK95 AK73 M73 AK62 M18 AK18 AK51 AK7 AK40 Y40 M7 Y117 Y106 Y95 Y84 Y51 Y7 Y29 Y18 Y62 Y73 M117 M95 M106 AK84 M84 M62 M29 AK29 M40 M51" xr:uid="{00000000-0002-0000-0100-00000E000000}">
      <formula1>DG</formula1>
    </dataValidation>
    <dataValidation type="list" allowBlank="1" showInputMessage="1" showErrorMessage="1" sqref="AL117 AL106 AL95 AL73 N73 AL62 N18 AL18 AL51 AL7 AL40 Z40 N7 Z117 Z106 Z95 Z84 Z51 Z7 Z29 Z18 Z62 Z73 N117 N95 N106 AL84 N84 N62 N29 AL29 N40 N51" xr:uid="{00000000-0002-0000-0100-00000F000000}">
      <formula1>DH</formula1>
    </dataValidation>
    <dataValidation type="list" allowBlank="1" showInputMessage="1" showErrorMessage="1" sqref="AM117 AM106 AM95 AM73 O73 AM62 O18 AM18 AM51 AM7 AM40 AA40 O7 AA117 AA106 AA95 AA84 AA51 AA7 AA29 AA18 AA62 AA73 O117 O95 O106 AM84 O84 O62 O29 AM29 O40 O51" xr:uid="{00000000-0002-0000-0100-000010000000}">
      <formula1>DI</formula1>
    </dataValidation>
    <dataValidation type="list" allowBlank="1" showInputMessage="1" showErrorMessage="1" sqref="AN117 AN106 AN95 AN73 P73 AN62 P18 AN18 AN51 AN7 AN40 AN29 AB40 P7 AB117 AB106 AB95 AB84 AB51 AB7 AB29 AB18 AB62 AB73 P117 P95 P106 AN84 P84 P62 P29 P40 P51" xr:uid="{00000000-0002-0000-0100-000011000000}">
      <formula1>DL</formula1>
    </dataValidation>
    <dataValidation type="list" allowBlank="1" showInputMessage="1" showErrorMessage="1" sqref="AJ118 AJ107 AJ96 AJ74 L74 AJ63 L19 AJ19 AJ52 AJ8 AJ41 X41 L8 X118 X107 X96 X85 X52 X8 X30 X19 X63 X74 L118 L96 L107 AJ85 L85 L63 L30 AJ30 L41 L52" xr:uid="{00000000-0002-0000-0100-000012000000}">
      <formula1>EF</formula1>
    </dataValidation>
    <dataValidation type="list" allowBlank="1" showInputMessage="1" showErrorMessage="1" sqref="AK118 AK107 AK96 AK74 M74 AK63 M19 AK19 AK52 AK8 AK41 Y41 M8 Y118 Y107 Y96 Y85 Y52 Y8 Y30 Y19 Y63 Y74 M118 M96 M107 AK85 M85 M63 M30 AK30 M41 M52" xr:uid="{00000000-0002-0000-0100-000013000000}">
      <formula1>EG</formula1>
    </dataValidation>
    <dataValidation type="list" allowBlank="1" showInputMessage="1" showErrorMessage="1" sqref="AL118 AL107 AL96 AL74 N74 AL63 N19 AL19 AL52 AL8 AL41 Z41 N8 Z118 Z107 Z96 Z85 Z52 Z8 Z30 Z19 Z63 Z74 N118 N96 N107 AL85 N85 N63 N30 AL30 N41 N52" xr:uid="{00000000-0002-0000-0100-000014000000}">
      <formula1>EH</formula1>
    </dataValidation>
    <dataValidation type="list" allowBlank="1" showInputMessage="1" showErrorMessage="1" sqref="AM118 AM107 AM96 AM74 O74 AM63 O19 AM19 AM52 AM8 AM41 AA41 O8 AA118 AA107 AA96 AA85 AA52 AA8 AA30 AA19 AA63 AA74 O118 O96 O107 AM85 O85 O63 O30 AM30 O41 O52" xr:uid="{00000000-0002-0000-0100-000015000000}">
      <formula1>EI</formula1>
    </dataValidation>
    <dataValidation type="list" allowBlank="1" showInputMessage="1" showErrorMessage="1" sqref="AN118 AN107 AN96 AN74 P74 AN63 P19 AN19 AN52 AN8 AN41 AN30 AB41 P8 AB118 AB107 AB96 AB85 AB52 AB8 AB30 AB19 AB63 AB74 P118 P96 P107 AN85 P85 P63 P30 P41 P52" xr:uid="{00000000-0002-0000-0100-000016000000}">
      <formula1>EL</formula1>
    </dataValidation>
    <dataValidation type="list" allowBlank="1" showInputMessage="1" showErrorMessage="1" sqref="AK119 AK108 AK97 AK75 M75 AK64 M20 AK20 AK53 AK9 AK42 Y42 M9 Y119 Y108 Y97 Y86 Y53 Y9 Y31 Y20 Y64 Y75 M119 M97 M108 AK86 M86 M64 M31 AK31 M42 M53" xr:uid="{00000000-0002-0000-0100-000017000000}">
      <formula1>FG</formula1>
    </dataValidation>
    <dataValidation type="list" allowBlank="1" showInputMessage="1" showErrorMessage="1" sqref="AL119 AL108 AL97 AL75 N75 AL64 N20 AL20 AL53 AL9 AL42 Z42 N9 Z119 Z108 Z97 Z86 Z53 Z9 Z31 Z20 Z64 Z75 N119 N97 N108 AL86 N86 N64 N31 AL31 N42 N53" xr:uid="{00000000-0002-0000-0100-000018000000}">
      <formula1>FH</formula1>
    </dataValidation>
    <dataValidation type="list" allowBlank="1" showInputMessage="1" showErrorMessage="1" sqref="AM119 AM108 AM97 AM75 O75 AM64 O20 AM20 AM53 AM9 AM42 AA42 O9 AA119 AA108 AA97 AA86 AA53 AA9 AA31 AA20 AA64 AA75 O119 O97 O108 AM86 O86 O64 O31 AM31 O42 O53" xr:uid="{00000000-0002-0000-0100-000019000000}">
      <formula1>FI</formula1>
    </dataValidation>
    <dataValidation type="list" allowBlank="1" showInputMessage="1" showErrorMessage="1" sqref="AN119 AN108 AN97 AN75 P75 AN64 P20 AN20 AN53 AN9 AN42 AN31 AB42 P9 AB119 AB108 AB97 AB86 AB53 AB9 AB31 AB20 AB64 AB75 P119 P97 P108 AN86 P86 P64 P31 P42 P53" xr:uid="{00000000-0002-0000-0100-00001A000000}">
      <formula1>FL</formula1>
    </dataValidation>
    <dataValidation type="list" allowBlank="1" showInputMessage="1" showErrorMessage="1" sqref="AL120 AL109 AL98 AL76 N76 AL65 N21 AL21 AL54 AL10 AL43 Z43 N10 Z120 Z109 Z98 Z87 Z54 Z10 Z32 Z21 Z65 Z76 N120 N98 N109 AL87 N87 N65 N32 AL32 N43 N54" xr:uid="{00000000-0002-0000-0100-00001B000000}">
      <formula1>GH</formula1>
    </dataValidation>
    <dataValidation type="list" allowBlank="1" showInputMessage="1" showErrorMessage="1" sqref="AM120 AM109 AM98 AM76 O76 AM65 O21 AM21 AM54 AM10 AM43 AA43 O10 AA120 AA109 AA98 AA87 AA54 AA10 AA32 AA21 AA65 AA76 O120 O98 O109 AM87 O87 O65 O32 AM32 O43 O54" xr:uid="{00000000-0002-0000-0100-00001C000000}">
      <formula1>GI</formula1>
    </dataValidation>
    <dataValidation type="list" allowBlank="1" showInputMessage="1" showErrorMessage="1" sqref="AN120 AN109 AN98 AN76 P76 AN65 P21 AN21 AN54 AN10 AN43 AB43 P10 AB120 AB109 AB98 AB87 AB54 AB10 AB32 AB21 AB65 AB76 P120 P98 P109 AN87 P87 P65 P32 AN32 P43 P54" xr:uid="{00000000-0002-0000-0100-00001D000000}">
      <formula1>GL</formula1>
    </dataValidation>
    <dataValidation type="list" allowBlank="1" showInputMessage="1" showErrorMessage="1" sqref="AM121 AM110 AM99 AM77 O77 AM66 O22 AM22 AM55 AM11 AM44 AA44 O11 AA121 AA110 AA99 AA88 AA55 AA11 AA33 AA22 AA66 AA77 O121 O99 O110 AM88 O88 O66 O33 AM33 O44 O55" xr:uid="{00000000-0002-0000-0100-00001E000000}">
      <formula1>HI</formula1>
    </dataValidation>
    <dataValidation type="list" allowBlank="1" showInputMessage="1" showErrorMessage="1" sqref="AN121 AN110 AN99 AN77 P77 AN66 P22 AN22 AN55 AN11 AN44 AB44 P11 AB121 AB110 AB99 AB88 AB55 AB11 AB33 AB22 AB66 AB77 P121 P99 P110 AN88 P88 P66 P33 AN33 P44 P55" xr:uid="{00000000-0002-0000-0100-00001F000000}">
      <formula1>HL</formula1>
    </dataValidation>
    <dataValidation type="list" allowBlank="1" showInputMessage="1" showErrorMessage="1" sqref="AH48 AH15 J15 AH59 J70 AH70 AH92 AH103 AH114 AH4 AH37 V37 J4 V4 AH26 V26 V81 V92 V103 V70 V114 V15 V48 V59 J114 J26 J59 J81 AH81 J103 J92 J37 J48" xr:uid="{00000000-0002-0000-0100-000020000000}">
      <formula1>AD</formula1>
    </dataValidation>
    <dataValidation type="list" allowBlank="1" showInputMessage="1" showErrorMessage="1" sqref="AG49 AG16 I16 AG60 I71 AG71 AG93 AG104 AG115 AG5 AG38 U38 I5 U27 U5 U49 U82 U93 U104 U71 U115 U16 U60 AG27 I115 I27 I60 I82 AG82 I104 I93 I38 I49" xr:uid="{00000000-0002-0000-0100-000021000000}">
      <formula1>BC</formula1>
    </dataValidation>
    <dataValidation type="list" allowBlank="1" showInputMessage="1" showErrorMessage="1" sqref="AH49 AH16 J16 AH60 J71 AH71 AH93 AH104 AH115 AH5 AH38 V38 J5 V27 V5 V49 V82 V93 V104 V71 V115 V16 V60 AH27 J115 J27 J60 J82 AH82 J104 J93 J38 J49" xr:uid="{00000000-0002-0000-0100-000022000000}">
      <formula1>BD</formula1>
    </dataValidation>
    <dataValidation type="list" allowBlank="1" showInputMessage="1" showErrorMessage="1" sqref="AI49 AI16 K16 AI60 K71 AI71 AI93 AI104 AI115 AI5 AI38 W38 K5 W27 W5 W49 W82 W93 W104 W71 W115 W16 W60 AI27 K115 K27 K60 K82 AI82 K104 K93 K38 K49" xr:uid="{00000000-0002-0000-0100-000023000000}">
      <formula1>BE</formula1>
    </dataValidation>
    <dataValidation type="list" allowBlank="1" showInputMessage="1" showErrorMessage="1" sqref="AI48 AI15 K15 AI59 K70 AI70 AI92 AI103 AI114 AI4 AI37 W37 K4 W4 AI26 W26 W81 W92 W103 W70 W114 W15 W48 W59 K114 K26 K59 K81 AI81 K103 K92 K37 K48" xr:uid="{00000000-0002-0000-0100-000024000000}">
      <formula1>AE</formula1>
    </dataValidation>
    <dataValidation type="list" allowBlank="1" showInputMessage="1" showErrorMessage="1" sqref="AJ48 AJ15 L15 AJ59 L70 AJ70 AJ92 AJ103 AJ114 AJ4 AJ37 X37 L4 X4 AJ26 X26 X70 X81 X92 X103 X114 X15 X48 X59 L114 L26 L59 L81 AJ81 L103 L92 L37 L48" xr:uid="{00000000-0002-0000-0100-000025000000}">
      <formula1>AF</formula1>
    </dataValidation>
    <dataValidation type="list" allowBlank="1" showInputMessage="1" showErrorMessage="1" sqref="AK48 AK15 M15 AK59 M70 AK70 AK92 AK103 AK114 AK4 AK37 Y37 M4 Y4 AK26 Y26 Y70 Y81 Y92 Y103 Y114 Y15 Y48 Y59 M114 M26 M59 M81 AK81 M103 M92 M37 M48" xr:uid="{00000000-0002-0000-0100-000026000000}">
      <formula1>AG</formula1>
    </dataValidation>
    <dataValidation type="list" allowBlank="1" showInputMessage="1" showErrorMessage="1" sqref="AL48 AL15 N15 AL59 N70 AL70 AL92 AL103 AL114 AL4 AL37 Z37 N4 Z4 AL26 Z26 Z70 Z81 Z92 Z103 Z114 Z15 Z48 Z59 N114 N26 N59 N81 AL81 N103 N92 N37 N48" xr:uid="{00000000-0002-0000-0100-000027000000}">
      <formula1>AH</formula1>
    </dataValidation>
    <dataValidation type="list" allowBlank="1" showInputMessage="1" showErrorMessage="1" sqref="AM48 AM15 O15 AM59 O70 AM70 AM92 AM103 AM114 AM4 AM37 AA37 O4 AA4 AM26 AA26 AA70 AA81 AA92 AA103 AA114 AA15 AA48 AA59 O114 O26 O59 O81 AM81 O103 O92 O37 O48" xr:uid="{00000000-0002-0000-0100-000028000000}">
      <formula1>AI</formula1>
    </dataValidation>
    <dataValidation type="list" allowBlank="1" showInputMessage="1" showErrorMessage="1" sqref="AN48 AN15 P15 AN59 P70 AN70 AN92 AN103 AN114 AN4 AN37 AB37 P4 AN26 AB26 AB70 AB81 AB92 AB103 AB114 AB15 AB48 AB59 P114 P26 P59 P81 AN81 P103 P92 P37 P48 AB4" xr:uid="{00000000-0002-0000-0100-000029000000}">
      <formula1>AL</formula1>
    </dataValidation>
    <dataValidation type="list" allowBlank="1" showInputMessage="1" showErrorMessage="1" sqref="AJ49 AJ16 L16 AJ60 L71 AJ71 AJ93 AJ104 AJ115 AJ5 AJ38 X38 L5 X27 X5 X49 X82 X93 X104 X115 X16 X60 X71 L115 AJ27 L27 L60 L82 AJ82 L104 L93 L38 L49" xr:uid="{00000000-0002-0000-0100-00002A000000}">
      <formula1>BF</formula1>
    </dataValidation>
    <dataValidation type="list" allowBlank="1" showInputMessage="1" showErrorMessage="1" sqref="AG15 AG4 AG48 I15 AG59 I70 AG70 AG92 AG103 AG114 AG37 U37 I4 AG26 U15 U4 U26 U81 U92 U103 U70 U114 U48 U59 I114 I37 I26 I59 I81 AG81 I103 I92 I48" xr:uid="{00000000-0002-0000-0100-00002B000000}">
      <formula1>AC</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2C000000}">
          <x14:formula1>
            <xm:f>#REF!</xm:f>
          </x14:formula1>
          <xm:sqref>P12 AB12 AN12 P23 AB23 AN23 P34 AB34 AN34 P45 AB45 AN45 P56 AB56 AN56 P67 AB67 AN67 P78 AB78 AN78 P89 AB89 AN89 P100 AB100 AN100 P111 AB111 AN111 P122 AB122 AN122</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5C7770-E749-4FC5-AE10-FCC0937CD4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79B0C26-0237-4D99-85A8-C590FE54E2DE}">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6A671C4-0C66-4934-8F20-B438B95A8B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evaluation tool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a.baratta@anticorruzione.it</dc:creator>
  <cp:lastModifiedBy>Microsoft Office User</cp:lastModifiedBy>
  <cp:lastPrinted>2015-10-20T10:59:33Z</cp:lastPrinted>
  <dcterms:created xsi:type="dcterms:W3CDTF">2012-04-10T15:21:46Z</dcterms:created>
  <dcterms:modified xsi:type="dcterms:W3CDTF">2020-11-21T13:41:27Z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ies>
</file>