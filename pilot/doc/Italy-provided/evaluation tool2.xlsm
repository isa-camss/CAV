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108" codeName="{6BE1CDB9-6C1C-A5B6-3FC1-E231EC3C600E}"/>
  <workbookPr codeName="Questa_cartella_di_lavoro" defaultThemeVersion="124226"/>
  <mc:AlternateContent xmlns:mc="http://schemas.openxmlformats.org/markup-compatibility/2006">
    <mc:Choice Requires="x15">
      <x15ac:absPath xmlns:x15ac="http://schemas.microsoft.com/office/spreadsheetml/2010/11/ac" url="/Users/macmini/everis/gh/cav/pilot/doc/Italy-provided/"/>
    </mc:Choice>
  </mc:AlternateContent>
  <xr:revisionPtr revIDLastSave="0" documentId="8_{C3C7D119-392D-9449-9193-C5AA8552EA15}" xr6:coauthVersionLast="45" xr6:coauthVersionMax="45" xr10:uidLastSave="{00000000-0000-0000-0000-000000000000}"/>
  <bookViews>
    <workbookView xWindow="800" yWindow="460" windowWidth="31720" windowHeight="19460" tabRatio="794" activeTab="1" xr2:uid="{00000000-000D-0000-FFFF-FFFF00000000}"/>
  </bookViews>
  <sheets>
    <sheet name="MAIN REPORT" sheetId="4" r:id="rId1"/>
    <sheet name="REPORTS PER EVALUATOR" sheetId="2" r:id="rId2"/>
    <sheet name="SUPPORTO_punti" sheetId="5" r:id="rId3"/>
    <sheet name="SUPPORTO_pareggi" sheetId="7" r:id="rId4"/>
    <sheet name="economical offer" sheetId="8" r:id="rId5"/>
  </sheets>
  <definedNames>
    <definedName name="_xlnm._FilterDatabase" localSheetId="2" hidden="1">SUPPORTO_punti!$1:$164</definedName>
    <definedName name="AB">SUPPORTO_punti!$XDJ$1:$XDJ$12</definedName>
    <definedName name="AC">SUPPORTO_punti!$XDK$1:$XDK$12</definedName>
    <definedName name="AD">SUPPORTO_punti!$XDL$1:$XDL$12</definedName>
    <definedName name="AE">SUPPORTO_punti!$XDM$1:$XDM$12</definedName>
    <definedName name="AF">SUPPORTO_punti!$XDN$1:$XDN$12</definedName>
    <definedName name="AG">SUPPORTO_punti!$XDO$1:$XDO$12</definedName>
    <definedName name="AH">SUPPORTO_punti!$XDP$1:$XDP$12</definedName>
    <definedName name="AI">SUPPORTO_punti!$XDQ$1:$XDQ$12</definedName>
    <definedName name="AL">SUPPORTO_punti!$XDR$1:$XDR$12</definedName>
    <definedName name="BC">SUPPORTO_punti!$XDS$1:$XDS$12</definedName>
    <definedName name="BD">SUPPORTO_punti!$XDT$1:$XDT$12</definedName>
    <definedName name="BE">SUPPORTO_punti!$XDU$1:$XDU$12</definedName>
    <definedName name="BF">SUPPORTO_punti!$XDV$1:$XDV$12</definedName>
    <definedName name="BG">SUPPORTO_punti!$XDW$1:$XDW$12</definedName>
    <definedName name="BH">SUPPORTO_punti!$XDX$1:$XDX$12</definedName>
    <definedName name="BI">SUPPORTO_punti!$XDY$1:$XDY$12</definedName>
    <definedName name="BL">SUPPORTO_punti!$XDZ$1:$XDZ$12</definedName>
    <definedName name="CD">SUPPORTO_punti!$XEA$1:$XEA$12</definedName>
    <definedName name="CE">SUPPORTO_punti!$XEB$1:$XEB$12</definedName>
    <definedName name="CF">SUPPORTO_punti!$XEC$1:$XEC$12</definedName>
    <definedName name="CG">SUPPORTO_punti!$XED$1:$XED$12</definedName>
    <definedName name="CH">SUPPORTO_punti!$XEE$1:$XEE$12</definedName>
    <definedName name="CI">SUPPORTO_punti!$XEF$1:$XEF$12</definedName>
    <definedName name="CL">SUPPORTO_punti!$XEG$1:$XEG$12</definedName>
    <definedName name="DE">SUPPORTO_punti!$XEH$1:$XEH$12</definedName>
    <definedName name="DF">SUPPORTO_punti!$XEI$1:$XEI$12</definedName>
    <definedName name="DG">SUPPORTO_punti!$XEJ$1:$XEJ$12</definedName>
    <definedName name="DH">SUPPORTO_punti!$XEK$1:$XEK$12</definedName>
    <definedName name="DI">SUPPORTO_punti!$XEL$1:$XEL$12</definedName>
    <definedName name="DL">SUPPORTO_punti!$XEM$1:$XEM$12</definedName>
    <definedName name="EF">SUPPORTO_punti!$XEN$1:$XEN$12</definedName>
    <definedName name="EG">SUPPORTO_punti!$XEO$1:$XEO$12</definedName>
    <definedName name="EH">SUPPORTO_punti!$XEP$1:$XEP$12</definedName>
    <definedName name="EI">SUPPORTO_punti!$XEQ$1:$XEQ$12</definedName>
    <definedName name="EL">SUPPORTO_punti!$XER$1:$XER$12</definedName>
    <definedName name="FG">SUPPORTO_punti!$XES$1:$XES$12</definedName>
    <definedName name="FH">SUPPORTO_punti!$XET$1:$XET$12</definedName>
    <definedName name="FI">SUPPORTO_punti!$XEU$1:$XEU$12</definedName>
    <definedName name="FL">SUPPORTO_punti!$XEV$1:$XEV$12</definedName>
    <definedName name="GH">SUPPORTO_punti!$XEW$1:$XEW$12</definedName>
    <definedName name="GI">SUPPORTO_punti!$XEX$1:$XEX$12</definedName>
    <definedName name="GL">SUPPORTO_punti!$XEY$1:$XEY$12</definedName>
    <definedName name="HI">SUPPORTO_punti!$XEZ$1:$XEZ$12</definedName>
    <definedName name="HL">SUPPORTO_punti!$XFA$1:$XFA$12</definedName>
    <definedName name="IL">SUPPORTO_punti!$XFB$1:$XFD$12</definedName>
    <definedName name="ListaA">#REF!</definedName>
    <definedName name="ListaB">#REF!</definedName>
    <definedName name="ListaC">#REF!</definedName>
    <definedName name="ListaD">#REF!</definedName>
    <definedName name="ListaE">#REF!</definedName>
    <definedName name="ListaF">#REF!</definedName>
    <definedName name="ListaG">#REF!</definedName>
    <definedName name="ListaH">#REF!</definedName>
    <definedName name="ListaI">#REF!</definedName>
    <definedName name="ListaL">#REF!</definedName>
  </definedNames>
  <calcPr calcId="191029"/>
</workbook>
</file>

<file path=xl/calcChain.xml><?xml version="1.0" encoding="utf-8"?>
<calcChain xmlns="http://schemas.openxmlformats.org/spreadsheetml/2006/main">
  <c r="AA3" i="8" l="1"/>
  <c r="Z4" i="8"/>
  <c r="Z5" i="8"/>
  <c r="Z6" i="8"/>
  <c r="Z7" i="8"/>
  <c r="Z8" i="8"/>
  <c r="Z9" i="8"/>
  <c r="Z10" i="8"/>
  <c r="Z11" i="8"/>
  <c r="Z12" i="8"/>
  <c r="Z3" i="8"/>
  <c r="AB4" i="8"/>
  <c r="AB5" i="8"/>
  <c r="AB6" i="8"/>
  <c r="AB7" i="8"/>
  <c r="AB8" i="8"/>
  <c r="AB9" i="8"/>
  <c r="AB10" i="8"/>
  <c r="AB11" i="8"/>
  <c r="AB12" i="8"/>
  <c r="AB3" i="8"/>
  <c r="AA4" i="8"/>
  <c r="AA5" i="8"/>
  <c r="AA6" i="8"/>
  <c r="AA7" i="8"/>
  <c r="AA8" i="8"/>
  <c r="AA9" i="8"/>
  <c r="AA10" i="8"/>
  <c r="AA11" i="8"/>
  <c r="AA12" i="8"/>
  <c r="H4" i="8"/>
  <c r="H5" i="8"/>
  <c r="H6" i="8"/>
  <c r="H7" i="8"/>
  <c r="H8" i="8"/>
  <c r="H9" i="8"/>
  <c r="H10" i="8"/>
  <c r="H11" i="8"/>
  <c r="H12" i="8"/>
  <c r="H3" i="8"/>
  <c r="B4" i="8"/>
  <c r="B5" i="8"/>
  <c r="B6" i="8"/>
  <c r="B7" i="8"/>
  <c r="B8" i="8"/>
  <c r="B9" i="8"/>
  <c r="B10" i="8"/>
  <c r="B11" i="8"/>
  <c r="B12" i="8"/>
  <c r="B3" i="8"/>
  <c r="B25" i="4" l="1"/>
  <c r="H14" i="8"/>
  <c r="B14" i="8"/>
  <c r="H13" i="8"/>
  <c r="I12" i="8" s="1"/>
  <c r="J12" i="8" s="1"/>
  <c r="K12" i="8" s="1"/>
  <c r="L27" i="4" s="1"/>
  <c r="B13" i="8"/>
  <c r="C11" i="8" s="1"/>
  <c r="I3" i="8"/>
  <c r="J3" i="8" s="1"/>
  <c r="K3" i="8" s="1"/>
  <c r="C27" i="4" s="1"/>
  <c r="I7" i="8" l="1"/>
  <c r="J7" i="8" s="1"/>
  <c r="K7" i="8" s="1"/>
  <c r="G27" i="4" s="1"/>
  <c r="I11" i="8"/>
  <c r="J11" i="8" s="1"/>
  <c r="K11" i="8" s="1"/>
  <c r="K27" i="4" s="1"/>
  <c r="D11" i="8"/>
  <c r="E11" i="8" s="1"/>
  <c r="C7" i="8"/>
  <c r="D7" i="8" s="1"/>
  <c r="E7" i="8" s="1"/>
  <c r="G26" i="4" s="1"/>
  <c r="C5" i="8"/>
  <c r="D5" i="8" s="1"/>
  <c r="E5" i="8" s="1"/>
  <c r="E26" i="4" s="1"/>
  <c r="E25" i="4" s="1"/>
  <c r="C12" i="8"/>
  <c r="D12" i="8" s="1"/>
  <c r="E12" i="8" s="1"/>
  <c r="C4" i="8"/>
  <c r="D4" i="8" s="1"/>
  <c r="E4" i="8" s="1"/>
  <c r="D26" i="4" s="1"/>
  <c r="C9" i="8"/>
  <c r="D9" i="8" s="1"/>
  <c r="E9" i="8" s="1"/>
  <c r="I26" i="4" s="1"/>
  <c r="C6" i="8"/>
  <c r="D6" i="8" s="1"/>
  <c r="E6" i="8" s="1"/>
  <c r="F26" i="4" s="1"/>
  <c r="C10" i="8"/>
  <c r="D10" i="8" s="1"/>
  <c r="E10" i="8" s="1"/>
  <c r="J26" i="4" s="1"/>
  <c r="C3" i="8"/>
  <c r="D3" i="8" s="1"/>
  <c r="E3" i="8" s="1"/>
  <c r="C26" i="4" s="1"/>
  <c r="C25" i="4" s="1"/>
  <c r="C8" i="8"/>
  <c r="D8" i="8" s="1"/>
  <c r="E8" i="8" s="1"/>
  <c r="H26" i="4" s="1"/>
  <c r="I6" i="8"/>
  <c r="J6" i="8" s="1"/>
  <c r="K6" i="8" s="1"/>
  <c r="I10" i="8"/>
  <c r="J10" i="8" s="1"/>
  <c r="K10" i="8" s="1"/>
  <c r="J27" i="4" s="1"/>
  <c r="I5" i="8"/>
  <c r="J5" i="8" s="1"/>
  <c r="K5" i="8" s="1"/>
  <c r="E27" i="4" s="1"/>
  <c r="I9" i="8"/>
  <c r="J9" i="8" s="1"/>
  <c r="K9" i="8" s="1"/>
  <c r="I27" i="4" s="1"/>
  <c r="I4" i="8"/>
  <c r="J4" i="8" s="1"/>
  <c r="K4" i="8" s="1"/>
  <c r="D27" i="4" s="1"/>
  <c r="I8" i="8"/>
  <c r="J8" i="8" s="1"/>
  <c r="K8" i="8" s="1"/>
  <c r="H27" i="4" s="1"/>
  <c r="B5" i="4"/>
  <c r="B28" i="4" s="1"/>
  <c r="J25" i="4" l="1"/>
  <c r="I25" i="4"/>
  <c r="G25" i="4"/>
  <c r="H25" i="4"/>
  <c r="D25" i="4"/>
  <c r="M6" i="8"/>
  <c r="F27" i="4"/>
  <c r="F25" i="4" s="1"/>
  <c r="M3" i="8"/>
  <c r="M11" i="8"/>
  <c r="K26" i="4"/>
  <c r="K25" i="4" s="1"/>
  <c r="M12" i="8"/>
  <c r="L26" i="4"/>
  <c r="L25" i="4" s="1"/>
  <c r="M7" i="8"/>
  <c r="M8" i="8"/>
  <c r="M10" i="8"/>
  <c r="M4" i="8"/>
  <c r="M5" i="8"/>
  <c r="M9" i="8"/>
  <c r="AR166" i="5"/>
  <c r="AQ166" i="5"/>
  <c r="AP166" i="5"/>
  <c r="AO166" i="5"/>
  <c r="AN166" i="5"/>
  <c r="AM166" i="5"/>
  <c r="AL166" i="5"/>
  <c r="AK166" i="5"/>
  <c r="AJ166" i="5"/>
  <c r="AI166" i="5"/>
  <c r="AH166" i="5"/>
  <c r="AG166" i="5"/>
  <c r="AF166" i="5"/>
  <c r="AE166" i="5"/>
  <c r="AD166" i="5"/>
  <c r="AC166" i="5"/>
  <c r="AB166" i="5"/>
  <c r="AA166" i="5"/>
  <c r="Z166" i="5"/>
  <c r="Y166" i="5"/>
  <c r="X166" i="5"/>
  <c r="W166" i="5"/>
  <c r="V166" i="5"/>
  <c r="U166" i="5"/>
  <c r="T166" i="5"/>
  <c r="S166" i="5"/>
  <c r="R166" i="5"/>
  <c r="Q166" i="5"/>
  <c r="P166" i="5"/>
  <c r="O166" i="5"/>
  <c r="N166" i="5"/>
  <c r="M166" i="5"/>
  <c r="L166" i="5"/>
  <c r="K166" i="5"/>
  <c r="J166" i="5"/>
  <c r="I166" i="5"/>
  <c r="H166" i="5"/>
  <c r="G166" i="5"/>
  <c r="F166" i="5"/>
  <c r="E166" i="5"/>
  <c r="AR165" i="5"/>
  <c r="AQ165" i="5"/>
  <c r="AP165" i="5"/>
  <c r="AO165" i="5"/>
  <c r="AN165" i="5"/>
  <c r="AM165" i="5"/>
  <c r="AL165" i="5"/>
  <c r="AK165" i="5"/>
  <c r="AJ165" i="5"/>
  <c r="AI165" i="5"/>
  <c r="AH165" i="5"/>
  <c r="AG165" i="5"/>
  <c r="AF165" i="5"/>
  <c r="AE165" i="5"/>
  <c r="AD165" i="5"/>
  <c r="AC165" i="5"/>
  <c r="AB165" i="5"/>
  <c r="AA165" i="5"/>
  <c r="Z165" i="5"/>
  <c r="Y165" i="5"/>
  <c r="X165" i="5"/>
  <c r="W165" i="5"/>
  <c r="V165" i="5"/>
  <c r="U165" i="5"/>
  <c r="T165" i="5"/>
  <c r="S165" i="5"/>
  <c r="R165" i="5"/>
  <c r="Q165" i="5"/>
  <c r="P165" i="5"/>
  <c r="O165" i="5"/>
  <c r="N165" i="5"/>
  <c r="M165" i="5"/>
  <c r="L165" i="5"/>
  <c r="K165" i="5"/>
  <c r="J165" i="5"/>
  <c r="I165" i="5"/>
  <c r="H165" i="5"/>
  <c r="G165" i="5"/>
  <c r="F165" i="5"/>
  <c r="E165" i="5"/>
  <c r="AR163" i="5"/>
  <c r="AQ163" i="5"/>
  <c r="AP163" i="5"/>
  <c r="AO163" i="5"/>
  <c r="AN163" i="5"/>
  <c r="AM163" i="5"/>
  <c r="AL163" i="5"/>
  <c r="AK163" i="5"/>
  <c r="AJ163" i="5"/>
  <c r="AI163" i="5"/>
  <c r="AH163" i="5"/>
  <c r="AG163" i="5"/>
  <c r="AF163" i="5"/>
  <c r="AE163" i="5"/>
  <c r="AD163" i="5"/>
  <c r="AC163" i="5"/>
  <c r="AB163" i="5"/>
  <c r="AA163" i="5"/>
  <c r="Z163" i="5"/>
  <c r="Y163" i="5"/>
  <c r="X163" i="5"/>
  <c r="W163" i="5"/>
  <c r="V163" i="5"/>
  <c r="U163" i="5"/>
  <c r="T163" i="5"/>
  <c r="S163" i="5"/>
  <c r="R163" i="5"/>
  <c r="Q163" i="5"/>
  <c r="P163" i="5"/>
  <c r="O163" i="5"/>
  <c r="N163" i="5"/>
  <c r="M163" i="5"/>
  <c r="L163" i="5"/>
  <c r="K163" i="5"/>
  <c r="J163" i="5"/>
  <c r="I163" i="5"/>
  <c r="H163" i="5"/>
  <c r="G163" i="5"/>
  <c r="F163" i="5"/>
  <c r="E163" i="5"/>
  <c r="AR160" i="5"/>
  <c r="AQ160" i="5"/>
  <c r="AP160" i="5"/>
  <c r="AO160" i="5"/>
  <c r="AN160" i="5"/>
  <c r="AM160" i="5"/>
  <c r="AL160" i="5"/>
  <c r="AK160" i="5"/>
  <c r="AJ160" i="5"/>
  <c r="AI160" i="5"/>
  <c r="AH160" i="5"/>
  <c r="AG160" i="5"/>
  <c r="AF160" i="5"/>
  <c r="AE160" i="5"/>
  <c r="AD160" i="5"/>
  <c r="AC160" i="5"/>
  <c r="AB160" i="5"/>
  <c r="AA160" i="5"/>
  <c r="Z160" i="5"/>
  <c r="Y160" i="5"/>
  <c r="X160" i="5"/>
  <c r="W160" i="5"/>
  <c r="V160" i="5"/>
  <c r="U160" i="5"/>
  <c r="T160" i="5"/>
  <c r="S160" i="5"/>
  <c r="R160" i="5"/>
  <c r="Q160" i="5"/>
  <c r="P160" i="5"/>
  <c r="O160" i="5"/>
  <c r="N160" i="5"/>
  <c r="M160" i="5"/>
  <c r="L160" i="5"/>
  <c r="K160" i="5"/>
  <c r="J160" i="5"/>
  <c r="I160" i="5"/>
  <c r="H160" i="5"/>
  <c r="G160" i="5"/>
  <c r="F160" i="5"/>
  <c r="E160" i="5"/>
  <c r="AR156" i="5"/>
  <c r="AQ156" i="5"/>
  <c r="AP156" i="5"/>
  <c r="AO156" i="5"/>
  <c r="AN156" i="5"/>
  <c r="AM156" i="5"/>
  <c r="AL156" i="5"/>
  <c r="AK156" i="5"/>
  <c r="AJ156" i="5"/>
  <c r="AI156" i="5"/>
  <c r="AH156" i="5"/>
  <c r="AG156" i="5"/>
  <c r="AF156" i="5"/>
  <c r="AE156" i="5"/>
  <c r="AD156" i="5"/>
  <c r="AC156" i="5"/>
  <c r="AB156" i="5"/>
  <c r="AA156" i="5"/>
  <c r="Z156" i="5"/>
  <c r="Y156" i="5"/>
  <c r="X156" i="5"/>
  <c r="W156" i="5"/>
  <c r="V156" i="5"/>
  <c r="U156" i="5"/>
  <c r="T156" i="5"/>
  <c r="S156" i="5"/>
  <c r="R156" i="5"/>
  <c r="Q156" i="5"/>
  <c r="P156" i="5"/>
  <c r="O156" i="5"/>
  <c r="N156" i="5"/>
  <c r="M156" i="5"/>
  <c r="L156" i="5"/>
  <c r="K156" i="5"/>
  <c r="J156" i="5"/>
  <c r="I156" i="5"/>
  <c r="H156" i="5"/>
  <c r="G156" i="5"/>
  <c r="F156" i="5"/>
  <c r="E156" i="5"/>
  <c r="AR151" i="5"/>
  <c r="AQ151" i="5"/>
  <c r="AP151" i="5"/>
  <c r="AO151" i="5"/>
  <c r="AN151" i="5"/>
  <c r="AM151" i="5"/>
  <c r="AL151" i="5"/>
  <c r="AK151" i="5"/>
  <c r="AJ151" i="5"/>
  <c r="AI151" i="5"/>
  <c r="AH151" i="5"/>
  <c r="AG151" i="5"/>
  <c r="AF151" i="5"/>
  <c r="AE151" i="5"/>
  <c r="AD151" i="5"/>
  <c r="AC151" i="5"/>
  <c r="AB151" i="5"/>
  <c r="AA151" i="5"/>
  <c r="Z151" i="5"/>
  <c r="Y151" i="5"/>
  <c r="X151" i="5"/>
  <c r="W151" i="5"/>
  <c r="V151" i="5"/>
  <c r="U151" i="5"/>
  <c r="T151" i="5"/>
  <c r="S151" i="5"/>
  <c r="R151" i="5"/>
  <c r="Q151" i="5"/>
  <c r="P151" i="5"/>
  <c r="O151" i="5"/>
  <c r="N151" i="5"/>
  <c r="M151" i="5"/>
  <c r="L151" i="5"/>
  <c r="K151" i="5"/>
  <c r="J151" i="5"/>
  <c r="I151" i="5"/>
  <c r="H151" i="5"/>
  <c r="G151" i="5"/>
  <c r="F151" i="5"/>
  <c r="E151" i="5"/>
  <c r="AR145" i="5"/>
  <c r="AQ145" i="5"/>
  <c r="AP145" i="5"/>
  <c r="AO145" i="5"/>
  <c r="AN145" i="5"/>
  <c r="AM145" i="5"/>
  <c r="AL145" i="5"/>
  <c r="AK145" i="5"/>
  <c r="AJ145" i="5"/>
  <c r="AI145" i="5"/>
  <c r="AH145" i="5"/>
  <c r="AG145" i="5"/>
  <c r="AF145" i="5"/>
  <c r="AE145" i="5"/>
  <c r="AD145" i="5"/>
  <c r="AC145" i="5"/>
  <c r="AB145" i="5"/>
  <c r="AA145" i="5"/>
  <c r="Z145" i="5"/>
  <c r="Y145" i="5"/>
  <c r="X145" i="5"/>
  <c r="W145" i="5"/>
  <c r="V145" i="5"/>
  <c r="U145" i="5"/>
  <c r="T145" i="5"/>
  <c r="S145" i="5"/>
  <c r="R145" i="5"/>
  <c r="Q145" i="5"/>
  <c r="P145" i="5"/>
  <c r="O145" i="5"/>
  <c r="N145" i="5"/>
  <c r="M145" i="5"/>
  <c r="L145" i="5"/>
  <c r="K145" i="5"/>
  <c r="J145" i="5"/>
  <c r="I145" i="5"/>
  <c r="H145" i="5"/>
  <c r="G145" i="5"/>
  <c r="F145" i="5"/>
  <c r="E145" i="5"/>
  <c r="AR138" i="5"/>
  <c r="AQ138" i="5"/>
  <c r="AP138" i="5"/>
  <c r="AO138" i="5"/>
  <c r="AN138" i="5"/>
  <c r="AM138" i="5"/>
  <c r="AL138" i="5"/>
  <c r="AK138" i="5"/>
  <c r="AJ138" i="5"/>
  <c r="AI138" i="5"/>
  <c r="AH138" i="5"/>
  <c r="AG138" i="5"/>
  <c r="AF138" i="5"/>
  <c r="AE138" i="5"/>
  <c r="AD138" i="5"/>
  <c r="AC138" i="5"/>
  <c r="AB138" i="5"/>
  <c r="AA138" i="5"/>
  <c r="Z138" i="5"/>
  <c r="Y138" i="5"/>
  <c r="X138" i="5"/>
  <c r="W138" i="5"/>
  <c r="V138" i="5"/>
  <c r="U138" i="5"/>
  <c r="T138" i="5"/>
  <c r="S138" i="5"/>
  <c r="R138" i="5"/>
  <c r="Q138" i="5"/>
  <c r="P138" i="5"/>
  <c r="O138" i="5"/>
  <c r="N138" i="5"/>
  <c r="M138" i="5"/>
  <c r="L138" i="5"/>
  <c r="K138" i="5"/>
  <c r="J138" i="5"/>
  <c r="I138" i="5"/>
  <c r="H138" i="5"/>
  <c r="G138" i="5"/>
  <c r="F138" i="5"/>
  <c r="E138" i="5"/>
  <c r="AR130" i="5"/>
  <c r="AQ130" i="5"/>
  <c r="AP130" i="5"/>
  <c r="AO130" i="5"/>
  <c r="AN130" i="5"/>
  <c r="AM130" i="5"/>
  <c r="AL130" i="5"/>
  <c r="AK130" i="5"/>
  <c r="AJ130" i="5"/>
  <c r="AI130" i="5"/>
  <c r="AH130" i="5"/>
  <c r="AG130" i="5"/>
  <c r="AF130" i="5"/>
  <c r="AE130" i="5"/>
  <c r="AD130" i="5"/>
  <c r="AC130" i="5"/>
  <c r="AB130" i="5"/>
  <c r="AA130" i="5"/>
  <c r="Z130" i="5"/>
  <c r="Y130" i="5"/>
  <c r="X130" i="5"/>
  <c r="W130" i="5"/>
  <c r="V130" i="5"/>
  <c r="U130" i="5"/>
  <c r="T130" i="5"/>
  <c r="S130" i="5"/>
  <c r="R130" i="5"/>
  <c r="Q130" i="5"/>
  <c r="P130" i="5"/>
  <c r="O130" i="5"/>
  <c r="N130" i="5"/>
  <c r="M130" i="5"/>
  <c r="L130" i="5"/>
  <c r="K130" i="5"/>
  <c r="J130" i="5"/>
  <c r="I130" i="5"/>
  <c r="H130" i="5"/>
  <c r="G130" i="5"/>
  <c r="F130" i="5"/>
  <c r="E130" i="5"/>
  <c r="AR121" i="5" l="1"/>
  <c r="AQ121" i="5"/>
  <c r="AP121" i="5"/>
  <c r="AO121" i="5"/>
  <c r="AN121" i="5"/>
  <c r="AM121" i="5"/>
  <c r="AL121" i="5"/>
  <c r="AK121" i="5"/>
  <c r="AJ121" i="5"/>
  <c r="AI121" i="5"/>
  <c r="AH121" i="5"/>
  <c r="AG121" i="5"/>
  <c r="AF121" i="5"/>
  <c r="AE121" i="5"/>
  <c r="AD121" i="5"/>
  <c r="AC121" i="5"/>
  <c r="AB121" i="5"/>
  <c r="AA121" i="5"/>
  <c r="Z121" i="5"/>
  <c r="Y121" i="5"/>
  <c r="X121" i="5"/>
  <c r="W121" i="5"/>
  <c r="V121" i="5"/>
  <c r="U121" i="5"/>
  <c r="T121" i="5"/>
  <c r="S121" i="5"/>
  <c r="R121" i="5"/>
  <c r="Q121" i="5"/>
  <c r="P121" i="5"/>
  <c r="O121" i="5"/>
  <c r="N121" i="5"/>
  <c r="M121" i="5"/>
  <c r="L121" i="5"/>
  <c r="K121" i="5"/>
  <c r="J121" i="5"/>
  <c r="I121" i="5"/>
  <c r="H121" i="5"/>
  <c r="G121" i="5"/>
  <c r="F121" i="5"/>
  <c r="E121" i="5"/>
  <c r="AR111" i="5" l="1"/>
  <c r="AQ111" i="5"/>
  <c r="AP111" i="5"/>
  <c r="AO111" i="5"/>
  <c r="AN111" i="5"/>
  <c r="AM111" i="5"/>
  <c r="AL111" i="5"/>
  <c r="AK111" i="5"/>
  <c r="AJ111" i="5"/>
  <c r="AI111" i="5"/>
  <c r="AH111" i="5"/>
  <c r="AG111" i="5"/>
  <c r="AF111" i="5"/>
  <c r="AE111" i="5"/>
  <c r="AD111" i="5"/>
  <c r="AC111" i="5"/>
  <c r="AB111" i="5"/>
  <c r="AA111" i="5"/>
  <c r="Z111" i="5"/>
  <c r="Y111" i="5"/>
  <c r="X111" i="5"/>
  <c r="W111" i="5"/>
  <c r="V111" i="5"/>
  <c r="U111" i="5"/>
  <c r="T111" i="5"/>
  <c r="S111" i="5"/>
  <c r="R111" i="5"/>
  <c r="Q111" i="5"/>
  <c r="P111" i="5"/>
  <c r="O111" i="5"/>
  <c r="N111" i="5"/>
  <c r="M111" i="5"/>
  <c r="L111" i="5"/>
  <c r="K111" i="5"/>
  <c r="J111" i="5"/>
  <c r="I111" i="5"/>
  <c r="H111" i="5"/>
  <c r="G111" i="5"/>
  <c r="F111" i="5"/>
  <c r="E111" i="5"/>
  <c r="AR110" i="5"/>
  <c r="AQ110" i="5"/>
  <c r="AP110" i="5"/>
  <c r="AO110" i="5"/>
  <c r="AN110" i="5"/>
  <c r="AM110" i="5"/>
  <c r="AL110" i="5"/>
  <c r="AK110" i="5"/>
  <c r="AJ110" i="5"/>
  <c r="AI110" i="5"/>
  <c r="AH110" i="5"/>
  <c r="AG110" i="5"/>
  <c r="AF110" i="5"/>
  <c r="AE110" i="5"/>
  <c r="AD110" i="5"/>
  <c r="AC110" i="5"/>
  <c r="AB110" i="5"/>
  <c r="AA110" i="5"/>
  <c r="Z110" i="5"/>
  <c r="Y110" i="5"/>
  <c r="X110" i="5"/>
  <c r="W110" i="5"/>
  <c r="V110" i="5"/>
  <c r="U110" i="5"/>
  <c r="T110" i="5"/>
  <c r="S110" i="5"/>
  <c r="R110" i="5"/>
  <c r="Q110" i="5"/>
  <c r="P110" i="5"/>
  <c r="O110" i="5"/>
  <c r="N110" i="5"/>
  <c r="M110" i="5"/>
  <c r="L110" i="5"/>
  <c r="K110" i="5"/>
  <c r="J110" i="5"/>
  <c r="I110" i="5"/>
  <c r="H110" i="5"/>
  <c r="G110" i="5"/>
  <c r="F110" i="5"/>
  <c r="E110" i="5"/>
  <c r="AR108" i="5"/>
  <c r="AQ108" i="5"/>
  <c r="AP108" i="5"/>
  <c r="AO108" i="5"/>
  <c r="AN108" i="5"/>
  <c r="AM108" i="5"/>
  <c r="AL108" i="5"/>
  <c r="AK108" i="5"/>
  <c r="AJ108" i="5"/>
  <c r="AI108" i="5"/>
  <c r="AH108" i="5"/>
  <c r="AG108" i="5"/>
  <c r="AF108" i="5"/>
  <c r="AE108" i="5"/>
  <c r="AD108" i="5"/>
  <c r="AC108" i="5"/>
  <c r="AB108" i="5"/>
  <c r="AA108" i="5"/>
  <c r="Z108" i="5"/>
  <c r="Y108" i="5"/>
  <c r="X108" i="5"/>
  <c r="W108" i="5"/>
  <c r="V108" i="5"/>
  <c r="U108" i="5"/>
  <c r="T108" i="5"/>
  <c r="S108" i="5"/>
  <c r="R108" i="5"/>
  <c r="Q108" i="5"/>
  <c r="P108" i="5"/>
  <c r="O108" i="5"/>
  <c r="N108" i="5"/>
  <c r="M108" i="5"/>
  <c r="L108" i="5"/>
  <c r="K108" i="5"/>
  <c r="J108" i="5"/>
  <c r="I108" i="5"/>
  <c r="H108" i="5"/>
  <c r="G108" i="5"/>
  <c r="F108" i="5"/>
  <c r="E108" i="5"/>
  <c r="AR105" i="5"/>
  <c r="AQ105" i="5"/>
  <c r="AP105" i="5"/>
  <c r="AO105" i="5"/>
  <c r="AN105" i="5"/>
  <c r="AM105" i="5"/>
  <c r="AL105" i="5"/>
  <c r="AK105" i="5"/>
  <c r="AJ105" i="5"/>
  <c r="AI105" i="5"/>
  <c r="AH105" i="5"/>
  <c r="AG105" i="5"/>
  <c r="AF105" i="5"/>
  <c r="AE105" i="5"/>
  <c r="AD105" i="5"/>
  <c r="AC105" i="5"/>
  <c r="AB105" i="5"/>
  <c r="AA105" i="5"/>
  <c r="Z105" i="5"/>
  <c r="Y105" i="5"/>
  <c r="X105" i="5"/>
  <c r="W105" i="5"/>
  <c r="V105" i="5"/>
  <c r="U105" i="5"/>
  <c r="T105" i="5"/>
  <c r="S105" i="5"/>
  <c r="R105" i="5"/>
  <c r="Q105" i="5"/>
  <c r="P105" i="5"/>
  <c r="O105" i="5"/>
  <c r="N105" i="5"/>
  <c r="M105" i="5"/>
  <c r="L105" i="5"/>
  <c r="K105" i="5"/>
  <c r="J105" i="5"/>
  <c r="I105" i="5"/>
  <c r="H105" i="5"/>
  <c r="G105" i="5"/>
  <c r="F105" i="5"/>
  <c r="E105"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AR96" i="5"/>
  <c r="AQ96" i="5"/>
  <c r="AP96" i="5"/>
  <c r="AO96" i="5"/>
  <c r="AN96" i="5"/>
  <c r="AM96" i="5"/>
  <c r="AL96" i="5"/>
  <c r="AK96" i="5"/>
  <c r="AJ96" i="5"/>
  <c r="AI96" i="5"/>
  <c r="AH96" i="5"/>
  <c r="AG96" i="5"/>
  <c r="AF96" i="5"/>
  <c r="AE96" i="5"/>
  <c r="AD96" i="5"/>
  <c r="AC96" i="5"/>
  <c r="AB96" i="5"/>
  <c r="AA96" i="5"/>
  <c r="Z96" i="5"/>
  <c r="Y96" i="5"/>
  <c r="X96" i="5"/>
  <c r="W96" i="5"/>
  <c r="V96" i="5"/>
  <c r="U96" i="5"/>
  <c r="T96" i="5"/>
  <c r="S96" i="5"/>
  <c r="R96" i="5"/>
  <c r="Q96" i="5"/>
  <c r="P96" i="5"/>
  <c r="O96" i="5"/>
  <c r="N96" i="5"/>
  <c r="M96" i="5"/>
  <c r="L96" i="5"/>
  <c r="K96" i="5"/>
  <c r="J96" i="5"/>
  <c r="I96" i="5"/>
  <c r="H96" i="5"/>
  <c r="G96" i="5"/>
  <c r="F96" i="5"/>
  <c r="E96"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AR83" i="5"/>
  <c r="AQ83" i="5"/>
  <c r="AP83" i="5"/>
  <c r="AO83" i="5"/>
  <c r="AN83" i="5"/>
  <c r="AM83" i="5"/>
  <c r="AL83" i="5"/>
  <c r="AK83" i="5"/>
  <c r="AJ83" i="5"/>
  <c r="AI83" i="5"/>
  <c r="AH83" i="5"/>
  <c r="AG83" i="5"/>
  <c r="AF83" i="5"/>
  <c r="AE83" i="5"/>
  <c r="AD83" i="5"/>
  <c r="AC83" i="5"/>
  <c r="AB83" i="5"/>
  <c r="AA83" i="5"/>
  <c r="Z83" i="5"/>
  <c r="Y83" i="5"/>
  <c r="X83" i="5"/>
  <c r="W83" i="5"/>
  <c r="V83" i="5"/>
  <c r="U83" i="5"/>
  <c r="T83" i="5"/>
  <c r="S83" i="5"/>
  <c r="R83" i="5"/>
  <c r="Q83" i="5"/>
  <c r="P83" i="5"/>
  <c r="O83" i="5"/>
  <c r="N83" i="5"/>
  <c r="M83" i="5"/>
  <c r="L83" i="5"/>
  <c r="K83" i="5"/>
  <c r="J83" i="5"/>
  <c r="I83" i="5"/>
  <c r="H83" i="5"/>
  <c r="G83" i="5"/>
  <c r="F83" i="5"/>
  <c r="E83" i="5"/>
  <c r="AR75" i="5"/>
  <c r="AQ75" i="5"/>
  <c r="AP75" i="5"/>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AR66" i="5"/>
  <c r="AQ66" i="5"/>
  <c r="AP66" i="5"/>
  <c r="AO66" i="5"/>
  <c r="AN66" i="5"/>
  <c r="AM66" i="5"/>
  <c r="AL66" i="5"/>
  <c r="AK66" i="5"/>
  <c r="AJ66" i="5"/>
  <c r="AI66" i="5"/>
  <c r="AH66" i="5"/>
  <c r="AG66" i="5"/>
  <c r="AF66" i="5"/>
  <c r="AE66" i="5"/>
  <c r="AD66" i="5"/>
  <c r="AC66" i="5"/>
  <c r="AB66" i="5"/>
  <c r="AA66" i="5"/>
  <c r="Z66" i="5"/>
  <c r="Y66" i="5"/>
  <c r="X66" i="5"/>
  <c r="W66" i="5"/>
  <c r="V66" i="5"/>
  <c r="U66" i="5"/>
  <c r="T66" i="5"/>
  <c r="S66" i="5"/>
  <c r="R66" i="5"/>
  <c r="Q66" i="5"/>
  <c r="P66" i="5"/>
  <c r="O66" i="5"/>
  <c r="N66" i="5"/>
  <c r="M66" i="5"/>
  <c r="L66" i="5"/>
  <c r="K66" i="5"/>
  <c r="J66" i="5"/>
  <c r="I66" i="5"/>
  <c r="H66" i="5"/>
  <c r="G66" i="5"/>
  <c r="F66" i="5"/>
  <c r="E66" i="5"/>
  <c r="C165" i="5"/>
  <c r="C166" i="5"/>
  <c r="B165" i="5"/>
  <c r="B166" i="5"/>
  <c r="B163" i="5"/>
  <c r="C163" i="5"/>
  <c r="B160" i="5"/>
  <c r="C160" i="5"/>
  <c r="B156" i="5"/>
  <c r="C156" i="5"/>
  <c r="B151" i="5"/>
  <c r="C151" i="5"/>
  <c r="B145" i="5"/>
  <c r="C145" i="5"/>
  <c r="B138" i="5"/>
  <c r="C138" i="5"/>
  <c r="B130" i="5"/>
  <c r="C130" i="5"/>
  <c r="B121" i="5"/>
  <c r="C121" i="5"/>
  <c r="C111" i="5"/>
  <c r="C110" i="5"/>
  <c r="C108" i="5"/>
  <c r="C105" i="5"/>
  <c r="C101" i="5"/>
  <c r="C96" i="5"/>
  <c r="C90" i="5"/>
  <c r="C83"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C75" i="5"/>
  <c r="B75" i="5"/>
  <c r="C66" i="5"/>
  <c r="B66" i="5"/>
  <c r="C56" i="5"/>
  <c r="B56" i="5"/>
  <c r="C55" i="5"/>
  <c r="B55" i="5"/>
  <c r="C53" i="5"/>
  <c r="B53" i="5"/>
  <c r="C50" i="5"/>
  <c r="B50" i="5"/>
  <c r="C46" i="5"/>
  <c r="B46" i="5"/>
  <c r="C41" i="5"/>
  <c r="B41" i="5"/>
  <c r="C35" i="5"/>
  <c r="B35" i="5"/>
  <c r="C28" i="5"/>
  <c r="B28" i="5"/>
  <c r="C20" i="5"/>
  <c r="B20" i="5"/>
  <c r="B3" i="5"/>
  <c r="AR56" i="5"/>
  <c r="AQ56" i="5"/>
  <c r="AP56" i="5"/>
  <c r="AO56" i="5"/>
  <c r="AN56" i="5"/>
  <c r="AM56" i="5"/>
  <c r="AL56" i="5"/>
  <c r="AK56" i="5"/>
  <c r="AJ56" i="5"/>
  <c r="AI56" i="5"/>
  <c r="AH56" i="5"/>
  <c r="AG56" i="5"/>
  <c r="AF56" i="5"/>
  <c r="AE56" i="5"/>
  <c r="AD56" i="5"/>
  <c r="AC56" i="5"/>
  <c r="AB56" i="5"/>
  <c r="AA56" i="5"/>
  <c r="Z56" i="5"/>
  <c r="Y56" i="5"/>
  <c r="X56" i="5"/>
  <c r="W56" i="5"/>
  <c r="V56" i="5"/>
  <c r="U56" i="5"/>
  <c r="T56" i="5"/>
  <c r="S56" i="5"/>
  <c r="R56" i="5"/>
  <c r="Q56" i="5"/>
  <c r="P56" i="5"/>
  <c r="O56" i="5"/>
  <c r="N56" i="5"/>
  <c r="M56" i="5"/>
  <c r="L56" i="5"/>
  <c r="K56" i="5"/>
  <c r="J56" i="5"/>
  <c r="I56" i="5"/>
  <c r="H56" i="5"/>
  <c r="G56" i="5"/>
  <c r="F56" i="5"/>
  <c r="E56" i="5"/>
  <c r="AR55" i="5"/>
  <c r="AQ55" i="5"/>
  <c r="AP55" i="5"/>
  <c r="AO55" i="5"/>
  <c r="AN55" i="5"/>
  <c r="AM55" i="5"/>
  <c r="AL55" i="5"/>
  <c r="AK55" i="5"/>
  <c r="AJ55" i="5"/>
  <c r="AI55" i="5"/>
  <c r="AH55" i="5"/>
  <c r="AG55" i="5"/>
  <c r="AF55" i="5"/>
  <c r="AE55" i="5"/>
  <c r="AD55" i="5"/>
  <c r="AC55" i="5"/>
  <c r="AB55" i="5"/>
  <c r="AA55" i="5"/>
  <c r="Z55" i="5"/>
  <c r="Y55" i="5"/>
  <c r="X55" i="5"/>
  <c r="W55" i="5"/>
  <c r="V55" i="5"/>
  <c r="U55" i="5"/>
  <c r="T55" i="5"/>
  <c r="S55" i="5"/>
  <c r="R55" i="5"/>
  <c r="Q55" i="5"/>
  <c r="P55" i="5"/>
  <c r="O55" i="5"/>
  <c r="N55" i="5"/>
  <c r="M55" i="5"/>
  <c r="L55" i="5"/>
  <c r="K55" i="5"/>
  <c r="J55" i="5"/>
  <c r="I55" i="5"/>
  <c r="H55" i="5"/>
  <c r="G55" i="5"/>
  <c r="F55" i="5"/>
  <c r="E55" i="5"/>
  <c r="AR53" i="5"/>
  <c r="AQ53" i="5"/>
  <c r="AP53" i="5"/>
  <c r="AO53" i="5"/>
  <c r="AN53" i="5"/>
  <c r="AM53" i="5"/>
  <c r="AL53" i="5"/>
  <c r="AK53" i="5"/>
  <c r="AJ53" i="5"/>
  <c r="AI53" i="5"/>
  <c r="AH53" i="5"/>
  <c r="AG53" i="5"/>
  <c r="AF53" i="5"/>
  <c r="AE53" i="5"/>
  <c r="AD53" i="5"/>
  <c r="AC53" i="5"/>
  <c r="AB53" i="5"/>
  <c r="AA53" i="5"/>
  <c r="Z53" i="5"/>
  <c r="Y53" i="5"/>
  <c r="X53" i="5"/>
  <c r="W53" i="5"/>
  <c r="V53" i="5"/>
  <c r="U53" i="5"/>
  <c r="T53" i="5"/>
  <c r="S53" i="5"/>
  <c r="R53" i="5"/>
  <c r="Q53" i="5"/>
  <c r="P53" i="5"/>
  <c r="O53" i="5"/>
  <c r="N53" i="5"/>
  <c r="M53" i="5"/>
  <c r="L53" i="5"/>
  <c r="K53" i="5"/>
  <c r="J53" i="5"/>
  <c r="I53" i="5"/>
  <c r="H53" i="5"/>
  <c r="G53" i="5"/>
  <c r="F53" i="5"/>
  <c r="E53" i="5"/>
  <c r="AR50" i="5"/>
  <c r="AQ50" i="5"/>
  <c r="AP50" i="5"/>
  <c r="AO50" i="5"/>
  <c r="AN50" i="5"/>
  <c r="AM50" i="5"/>
  <c r="AL50" i="5"/>
  <c r="AK50" i="5"/>
  <c r="AJ50" i="5"/>
  <c r="AI50" i="5"/>
  <c r="AH50" i="5"/>
  <c r="AG50" i="5"/>
  <c r="AF50" i="5"/>
  <c r="AE50" i="5"/>
  <c r="AD50" i="5"/>
  <c r="AC50" i="5"/>
  <c r="AB50" i="5"/>
  <c r="AA50" i="5"/>
  <c r="Z50" i="5"/>
  <c r="Y50" i="5"/>
  <c r="X50" i="5"/>
  <c r="W50" i="5"/>
  <c r="V50" i="5"/>
  <c r="U50" i="5"/>
  <c r="T50" i="5"/>
  <c r="S50" i="5"/>
  <c r="R50" i="5"/>
  <c r="Q50" i="5"/>
  <c r="P50" i="5"/>
  <c r="O50" i="5"/>
  <c r="N50" i="5"/>
  <c r="M50" i="5"/>
  <c r="L50" i="5"/>
  <c r="K50" i="5"/>
  <c r="J50" i="5"/>
  <c r="I50" i="5"/>
  <c r="H50" i="5"/>
  <c r="G50" i="5"/>
  <c r="F50" i="5"/>
  <c r="E50" i="5"/>
  <c r="AR46" i="5"/>
  <c r="AQ46" i="5"/>
  <c r="AP46" i="5"/>
  <c r="AO46" i="5"/>
  <c r="AN46" i="5"/>
  <c r="AM46" i="5"/>
  <c r="AL46" i="5"/>
  <c r="AK46" i="5"/>
  <c r="AJ46" i="5"/>
  <c r="AI46" i="5"/>
  <c r="AH46" i="5"/>
  <c r="AG46" i="5"/>
  <c r="AF46" i="5"/>
  <c r="AE46" i="5"/>
  <c r="AD46" i="5"/>
  <c r="AC46" i="5"/>
  <c r="AB46" i="5"/>
  <c r="AA46" i="5"/>
  <c r="Z46" i="5"/>
  <c r="Y46" i="5"/>
  <c r="X46" i="5"/>
  <c r="W46" i="5"/>
  <c r="V46" i="5"/>
  <c r="U46" i="5"/>
  <c r="T46" i="5"/>
  <c r="S46" i="5"/>
  <c r="R46" i="5"/>
  <c r="Q46" i="5"/>
  <c r="P46" i="5"/>
  <c r="O46" i="5"/>
  <c r="N46" i="5"/>
  <c r="M46" i="5"/>
  <c r="L46" i="5"/>
  <c r="K46" i="5"/>
  <c r="J46" i="5"/>
  <c r="I46" i="5"/>
  <c r="H46" i="5"/>
  <c r="G46" i="5"/>
  <c r="F46" i="5"/>
  <c r="E46" i="5"/>
  <c r="AR41" i="5"/>
  <c r="AQ41" i="5"/>
  <c r="AP41" i="5"/>
  <c r="AO41" i="5"/>
  <c r="AN41" i="5"/>
  <c r="AM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R35" i="5"/>
  <c r="AQ35" i="5"/>
  <c r="AP35" i="5"/>
  <c r="AO35" i="5"/>
  <c r="AN35" i="5"/>
  <c r="AM35" i="5"/>
  <c r="AL35" i="5"/>
  <c r="AK35" i="5"/>
  <c r="AJ35" i="5"/>
  <c r="AI35" i="5"/>
  <c r="AH35" i="5"/>
  <c r="AG35" i="5"/>
  <c r="AF35" i="5"/>
  <c r="AE35" i="5"/>
  <c r="AD35" i="5"/>
  <c r="AC35" i="5"/>
  <c r="AB35" i="5"/>
  <c r="AA35" i="5"/>
  <c r="Z35" i="5"/>
  <c r="Y35" i="5"/>
  <c r="X35" i="5"/>
  <c r="W35" i="5"/>
  <c r="V35" i="5"/>
  <c r="U35" i="5"/>
  <c r="T35" i="5"/>
  <c r="S35" i="5"/>
  <c r="R35" i="5"/>
  <c r="Q35" i="5"/>
  <c r="P35" i="5"/>
  <c r="O35" i="5"/>
  <c r="N35" i="5"/>
  <c r="M35" i="5"/>
  <c r="L35" i="5"/>
  <c r="K35" i="5"/>
  <c r="J35" i="5"/>
  <c r="I35" i="5"/>
  <c r="H35" i="5"/>
  <c r="G35" i="5"/>
  <c r="F35" i="5"/>
  <c r="E35"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E28"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E11" i="5"/>
  <c r="E10" i="5"/>
  <c r="G123" i="2" l="1"/>
  <c r="A123" i="2"/>
  <c r="AG123" i="2" s="1"/>
  <c r="G111" i="2"/>
  <c r="A111" i="2"/>
  <c r="AG111" i="2" s="1"/>
  <c r="G99" i="2"/>
  <c r="A99" i="2"/>
  <c r="AG99" i="2" s="1"/>
  <c r="G87" i="2"/>
  <c r="A87" i="2"/>
  <c r="AG87" i="2" s="1"/>
  <c r="G75" i="2"/>
  <c r="A75" i="2"/>
  <c r="AG75" i="2" s="1"/>
  <c r="G63" i="2"/>
  <c r="A63" i="2"/>
  <c r="AG63" i="2" s="1"/>
  <c r="G51" i="2"/>
  <c r="A51" i="2"/>
  <c r="AG51" i="2" s="1"/>
  <c r="U51" i="2" l="1"/>
  <c r="I51" i="2"/>
  <c r="U63" i="2"/>
  <c r="I63" i="2"/>
  <c r="U87" i="2"/>
  <c r="I87" i="2"/>
  <c r="U111" i="2"/>
  <c r="I111" i="2"/>
  <c r="I75" i="2"/>
  <c r="U75" i="2"/>
  <c r="I123" i="2"/>
  <c r="U123" i="2"/>
  <c r="U99" i="2"/>
  <c r="I99" i="2"/>
  <c r="G39" i="2"/>
  <c r="A39" i="2"/>
  <c r="AG39" i="2" s="1"/>
  <c r="G27" i="2"/>
  <c r="A27" i="2"/>
  <c r="AG27" i="2" s="1"/>
  <c r="G15" i="2"/>
  <c r="A15" i="2"/>
  <c r="AG15" i="2" s="1"/>
  <c r="G3" i="2"/>
  <c r="A3" i="2"/>
  <c r="AG3" i="2" l="1"/>
  <c r="U3" i="2"/>
  <c r="I3" i="2"/>
  <c r="U39" i="2"/>
  <c r="I39" i="2"/>
  <c r="U15" i="2"/>
  <c r="I15" i="2"/>
  <c r="I27" i="2"/>
  <c r="U27" i="2"/>
  <c r="C11" i="5"/>
  <c r="B11" i="5"/>
  <c r="G133" i="5" l="1"/>
  <c r="G132" i="5"/>
  <c r="AR146" i="5"/>
  <c r="AQ146" i="5"/>
  <c r="AP146" i="5"/>
  <c r="AO146" i="5"/>
  <c r="AN146" i="5"/>
  <c r="AM146" i="5"/>
  <c r="AL146" i="5"/>
  <c r="AK146" i="5"/>
  <c r="AJ146" i="5"/>
  <c r="AI146" i="5"/>
  <c r="AR150" i="5"/>
  <c r="AR149" i="5"/>
  <c r="AR148" i="5"/>
  <c r="AR147" i="5"/>
  <c r="AQ150" i="5"/>
  <c r="AQ149" i="5"/>
  <c r="AQ148" i="5"/>
  <c r="AQ147" i="5"/>
  <c r="AP150" i="5"/>
  <c r="AP149" i="5"/>
  <c r="AP148" i="5"/>
  <c r="AP147" i="5"/>
  <c r="AO150" i="5"/>
  <c r="AO149" i="5"/>
  <c r="AO148" i="5"/>
  <c r="AO147" i="5"/>
  <c r="AN150" i="5"/>
  <c r="AN149" i="5"/>
  <c r="AN148" i="5"/>
  <c r="AN147" i="5"/>
  <c r="AM150" i="5"/>
  <c r="AM149" i="5"/>
  <c r="AM148" i="5"/>
  <c r="AM147" i="5"/>
  <c r="AL150" i="5"/>
  <c r="AL149" i="5"/>
  <c r="AL148" i="5"/>
  <c r="AL147" i="5"/>
  <c r="AK150" i="5"/>
  <c r="AK149" i="5"/>
  <c r="AK148" i="5"/>
  <c r="AK147" i="5"/>
  <c r="AJ150" i="5"/>
  <c r="AJ149" i="5"/>
  <c r="AJ148" i="5"/>
  <c r="AJ147" i="5"/>
  <c r="AI150" i="5"/>
  <c r="AI149" i="5"/>
  <c r="AI148" i="5"/>
  <c r="AI147" i="5"/>
  <c r="E164" i="5" l="1"/>
  <c r="AR164" i="5"/>
  <c r="AQ164" i="5"/>
  <c r="AP164" i="5"/>
  <c r="AO164" i="5"/>
  <c r="AN164" i="5"/>
  <c r="AM164" i="5"/>
  <c r="AL164" i="5"/>
  <c r="AK164" i="5"/>
  <c r="AJ164" i="5"/>
  <c r="AI164" i="5"/>
  <c r="AI157" i="5"/>
  <c r="AR159" i="5"/>
  <c r="AR158" i="5"/>
  <c r="AR157" i="5"/>
  <c r="AQ159" i="5"/>
  <c r="AQ158" i="5"/>
  <c r="AQ157" i="5"/>
  <c r="AP159" i="5"/>
  <c r="AP158" i="5"/>
  <c r="AP157" i="5"/>
  <c r="AO159" i="5"/>
  <c r="AO158" i="5"/>
  <c r="AO157" i="5"/>
  <c r="AN159" i="5"/>
  <c r="AN158" i="5"/>
  <c r="AN157" i="5"/>
  <c r="AM159" i="5"/>
  <c r="AM158" i="5"/>
  <c r="AM157" i="5"/>
  <c r="AL159" i="5"/>
  <c r="AL158" i="5"/>
  <c r="AL157" i="5"/>
  <c r="AK159" i="5"/>
  <c r="AK158" i="5"/>
  <c r="AK157" i="5"/>
  <c r="AJ159" i="5"/>
  <c r="AJ158" i="5"/>
  <c r="AJ157" i="5"/>
  <c r="AI159" i="5"/>
  <c r="AI158" i="5"/>
  <c r="AR144" i="5"/>
  <c r="AR143" i="5"/>
  <c r="AR142" i="5"/>
  <c r="AR141" i="5"/>
  <c r="AR140" i="5"/>
  <c r="AR139" i="5"/>
  <c r="AQ144" i="5"/>
  <c r="AQ143" i="5"/>
  <c r="AQ142" i="5"/>
  <c r="AQ141" i="5"/>
  <c r="AQ140" i="5"/>
  <c r="AQ139" i="5"/>
  <c r="AP144" i="5"/>
  <c r="AP143" i="5"/>
  <c r="AP142" i="5"/>
  <c r="AP141" i="5"/>
  <c r="AP140" i="5"/>
  <c r="AP139" i="5"/>
  <c r="AO144" i="5"/>
  <c r="AO143" i="5"/>
  <c r="AO142" i="5"/>
  <c r="AO141" i="5"/>
  <c r="AO140" i="5"/>
  <c r="AO139" i="5"/>
  <c r="AN144" i="5"/>
  <c r="AN143" i="5"/>
  <c r="AN142" i="5"/>
  <c r="AN141" i="5"/>
  <c r="AN140" i="5"/>
  <c r="AN139" i="5"/>
  <c r="AM144" i="5"/>
  <c r="AM143" i="5"/>
  <c r="AM142" i="5"/>
  <c r="AM141" i="5"/>
  <c r="AM140" i="5"/>
  <c r="AM139" i="5"/>
  <c r="AL144" i="5"/>
  <c r="AL143" i="5"/>
  <c r="AL142" i="5"/>
  <c r="AL141" i="5"/>
  <c r="AL140" i="5"/>
  <c r="AL139" i="5"/>
  <c r="AK144" i="5"/>
  <c r="AK143" i="5"/>
  <c r="AK142" i="5"/>
  <c r="AK141" i="5"/>
  <c r="AK140" i="5"/>
  <c r="AK139" i="5"/>
  <c r="AJ144" i="5"/>
  <c r="AJ143" i="5"/>
  <c r="AJ142" i="5"/>
  <c r="AJ141" i="5"/>
  <c r="AJ140" i="5"/>
  <c r="AJ139" i="5"/>
  <c r="AI144" i="5"/>
  <c r="AI143" i="5"/>
  <c r="AI142" i="5"/>
  <c r="AI141" i="5"/>
  <c r="AI140" i="5"/>
  <c r="AI139" i="5"/>
  <c r="AR137" i="5"/>
  <c r="AR136" i="5"/>
  <c r="AR135" i="5"/>
  <c r="AR134" i="5"/>
  <c r="AR133" i="5"/>
  <c r="AR132" i="5"/>
  <c r="AR131" i="5"/>
  <c r="AQ137" i="5"/>
  <c r="AQ136" i="5"/>
  <c r="AQ135" i="5"/>
  <c r="AQ134" i="5"/>
  <c r="AQ133" i="5"/>
  <c r="AQ132" i="5"/>
  <c r="AQ131" i="5"/>
  <c r="AP137" i="5"/>
  <c r="AP136" i="5"/>
  <c r="AP135" i="5"/>
  <c r="AP134" i="5"/>
  <c r="AP133" i="5"/>
  <c r="AP132" i="5"/>
  <c r="AP131" i="5"/>
  <c r="AO137" i="5"/>
  <c r="AO136" i="5"/>
  <c r="AO135" i="5"/>
  <c r="AO134" i="5"/>
  <c r="AO133" i="5"/>
  <c r="AO132" i="5"/>
  <c r="AO131" i="5"/>
  <c r="AN137" i="5"/>
  <c r="AN136" i="5"/>
  <c r="AN135" i="5"/>
  <c r="AN134" i="5"/>
  <c r="AN133" i="5"/>
  <c r="AN132" i="5"/>
  <c r="AN131" i="5"/>
  <c r="AM137" i="5"/>
  <c r="AM136" i="5"/>
  <c r="AM135" i="5"/>
  <c r="AM134" i="5"/>
  <c r="AM133" i="5"/>
  <c r="AM132" i="5"/>
  <c r="AM131" i="5"/>
  <c r="AL137" i="5"/>
  <c r="AL136" i="5"/>
  <c r="AL135" i="5"/>
  <c r="AL134" i="5"/>
  <c r="AL133" i="5"/>
  <c r="AL132" i="5"/>
  <c r="AL131" i="5"/>
  <c r="AK137" i="5"/>
  <c r="AK136" i="5"/>
  <c r="AK135" i="5"/>
  <c r="AK134" i="5"/>
  <c r="AK133" i="5"/>
  <c r="AK132" i="5"/>
  <c r="AK131" i="5"/>
  <c r="AJ137" i="5"/>
  <c r="AJ136" i="5"/>
  <c r="AJ135" i="5"/>
  <c r="AJ134" i="5"/>
  <c r="AJ133" i="5"/>
  <c r="AJ132" i="5"/>
  <c r="AJ131" i="5"/>
  <c r="AI137" i="5"/>
  <c r="AI136" i="5"/>
  <c r="AI135" i="5"/>
  <c r="AI134" i="5"/>
  <c r="AI133" i="5"/>
  <c r="AI132" i="5"/>
  <c r="AI131" i="5"/>
  <c r="AR129" i="5" l="1"/>
  <c r="AR128" i="5"/>
  <c r="AR127" i="5"/>
  <c r="AR126" i="5"/>
  <c r="AR125" i="5"/>
  <c r="AR124" i="5"/>
  <c r="AR123" i="5"/>
  <c r="AR122" i="5"/>
  <c r="AQ129" i="5"/>
  <c r="AQ128" i="5"/>
  <c r="AQ127" i="5"/>
  <c r="AQ126" i="5"/>
  <c r="AQ125" i="5"/>
  <c r="AQ124" i="5"/>
  <c r="AQ123" i="5"/>
  <c r="AQ122" i="5"/>
  <c r="AP129" i="5"/>
  <c r="AP128" i="5"/>
  <c r="AP127" i="5"/>
  <c r="AP126" i="5"/>
  <c r="AP125" i="5"/>
  <c r="AP124" i="5"/>
  <c r="AP123" i="5"/>
  <c r="AP122" i="5"/>
  <c r="AO129" i="5"/>
  <c r="AO128" i="5"/>
  <c r="AO127" i="5"/>
  <c r="AO126" i="5"/>
  <c r="AO125" i="5"/>
  <c r="AO124" i="5"/>
  <c r="AO123" i="5"/>
  <c r="AO122" i="5"/>
  <c r="AN129" i="5"/>
  <c r="AN128" i="5"/>
  <c r="AN127" i="5"/>
  <c r="AN126" i="5"/>
  <c r="AN125" i="5"/>
  <c r="AN124" i="5"/>
  <c r="AN123" i="5"/>
  <c r="AN122" i="5"/>
  <c r="AM129" i="5"/>
  <c r="AM128" i="5"/>
  <c r="AM127" i="5"/>
  <c r="AM126" i="5"/>
  <c r="AM125" i="5"/>
  <c r="AM124" i="5"/>
  <c r="AM123" i="5"/>
  <c r="AM122" i="5"/>
  <c r="AL129" i="5"/>
  <c r="AL128" i="5"/>
  <c r="AL127" i="5"/>
  <c r="AL126" i="5"/>
  <c r="AL125" i="5"/>
  <c r="AL124" i="5"/>
  <c r="AL123" i="5"/>
  <c r="AL122" i="5"/>
  <c r="AK129" i="5"/>
  <c r="AK128" i="5"/>
  <c r="AK127" i="5"/>
  <c r="AK126" i="5"/>
  <c r="AK125" i="5"/>
  <c r="AK124" i="5"/>
  <c r="AK123" i="5"/>
  <c r="AK122" i="5"/>
  <c r="AJ129" i="5"/>
  <c r="AJ128" i="5"/>
  <c r="AJ127" i="5"/>
  <c r="AJ126" i="5"/>
  <c r="AJ125" i="5"/>
  <c r="AJ124" i="5"/>
  <c r="AJ123" i="5"/>
  <c r="AJ122" i="5"/>
  <c r="AI129" i="5"/>
  <c r="AI128" i="5"/>
  <c r="AI127" i="5"/>
  <c r="AI126" i="5"/>
  <c r="AI125" i="5"/>
  <c r="AI124" i="5"/>
  <c r="AI123" i="5"/>
  <c r="AI122" i="5"/>
  <c r="AI109" i="5"/>
  <c r="AR109" i="5"/>
  <c r="AQ109" i="5"/>
  <c r="AP109" i="5"/>
  <c r="AO109" i="5"/>
  <c r="AN109" i="5"/>
  <c r="AM109" i="5"/>
  <c r="AL109" i="5"/>
  <c r="AK109" i="5"/>
  <c r="AJ109" i="5"/>
  <c r="AI102" i="5"/>
  <c r="AR104" i="5"/>
  <c r="AR103" i="5"/>
  <c r="AR102" i="5"/>
  <c r="AQ104" i="5"/>
  <c r="AQ103" i="5"/>
  <c r="AQ102" i="5"/>
  <c r="AP104" i="5"/>
  <c r="AP103" i="5"/>
  <c r="AP102" i="5"/>
  <c r="AO104" i="5"/>
  <c r="AO103" i="5"/>
  <c r="AO102" i="5"/>
  <c r="AN104" i="5"/>
  <c r="AN103" i="5"/>
  <c r="AN102" i="5"/>
  <c r="AM104" i="5"/>
  <c r="AM103" i="5"/>
  <c r="AM102" i="5"/>
  <c r="AL104" i="5"/>
  <c r="AL103" i="5"/>
  <c r="AL102" i="5"/>
  <c r="AK104" i="5"/>
  <c r="AK103" i="5"/>
  <c r="AK102" i="5"/>
  <c r="AJ104" i="5"/>
  <c r="AJ103" i="5"/>
  <c r="AJ102" i="5"/>
  <c r="AI104" i="5"/>
  <c r="AI103" i="5"/>
  <c r="AR95" i="5"/>
  <c r="AR94" i="5"/>
  <c r="AR93" i="5"/>
  <c r="AR92" i="5"/>
  <c r="AR91" i="5"/>
  <c r="AQ95" i="5"/>
  <c r="AQ94" i="5"/>
  <c r="AQ93" i="5"/>
  <c r="AQ92" i="5"/>
  <c r="AQ91" i="5"/>
  <c r="AP95" i="5"/>
  <c r="AP94" i="5"/>
  <c r="AP93" i="5"/>
  <c r="AP92" i="5"/>
  <c r="AP91" i="5"/>
  <c r="AO95" i="5"/>
  <c r="AO94" i="5"/>
  <c r="AO93" i="5"/>
  <c r="AO92" i="5"/>
  <c r="AO91" i="5"/>
  <c r="AN95" i="5"/>
  <c r="AN94" i="5"/>
  <c r="AN93" i="5"/>
  <c r="AN92" i="5"/>
  <c r="AN91" i="5"/>
  <c r="AM95" i="5"/>
  <c r="AM94" i="5"/>
  <c r="AM93" i="5"/>
  <c r="AM92" i="5"/>
  <c r="AM91" i="5"/>
  <c r="AL95" i="5"/>
  <c r="AL94" i="5"/>
  <c r="AL93" i="5"/>
  <c r="AL92" i="5"/>
  <c r="AL91" i="5"/>
  <c r="AK95" i="5"/>
  <c r="AK94" i="5"/>
  <c r="AK93" i="5"/>
  <c r="AK92" i="5"/>
  <c r="AK91" i="5"/>
  <c r="AJ95" i="5"/>
  <c r="AJ94" i="5"/>
  <c r="AJ93" i="5"/>
  <c r="AJ92" i="5"/>
  <c r="AJ91" i="5"/>
  <c r="AI95" i="5"/>
  <c r="AI94" i="5"/>
  <c r="AI93" i="5"/>
  <c r="AI92" i="5"/>
  <c r="AI91" i="5"/>
  <c r="AR89" i="5"/>
  <c r="AR88" i="5"/>
  <c r="AR87" i="5"/>
  <c r="AR86" i="5"/>
  <c r="AR85" i="5"/>
  <c r="AR84" i="5"/>
  <c r="AQ89" i="5"/>
  <c r="AQ88" i="5"/>
  <c r="AQ87" i="5"/>
  <c r="AQ86" i="5"/>
  <c r="AQ85" i="5"/>
  <c r="AQ84" i="5"/>
  <c r="AP89" i="5"/>
  <c r="AP88" i="5"/>
  <c r="AP87" i="5"/>
  <c r="AP86" i="5"/>
  <c r="AP85" i="5"/>
  <c r="AP84" i="5"/>
  <c r="AO89" i="5"/>
  <c r="AO88" i="5"/>
  <c r="AO87" i="5"/>
  <c r="AO86" i="5"/>
  <c r="AO85" i="5"/>
  <c r="AO84" i="5"/>
  <c r="AN89" i="5"/>
  <c r="AN88" i="5"/>
  <c r="AN87" i="5"/>
  <c r="AN86" i="5"/>
  <c r="AN85" i="5"/>
  <c r="AN84" i="5"/>
  <c r="AM89" i="5"/>
  <c r="AM88" i="5"/>
  <c r="AM87" i="5"/>
  <c r="AM86" i="5"/>
  <c r="AM85" i="5"/>
  <c r="AM84" i="5"/>
  <c r="AL89" i="5"/>
  <c r="AL88" i="5"/>
  <c r="AL87" i="5"/>
  <c r="AL86" i="5"/>
  <c r="AL85" i="5"/>
  <c r="AL84" i="5"/>
  <c r="AK89" i="5"/>
  <c r="AK88" i="5"/>
  <c r="AK87" i="5"/>
  <c r="AK86" i="5"/>
  <c r="AK85" i="5"/>
  <c r="AK84" i="5"/>
  <c r="AJ89" i="5"/>
  <c r="AJ88" i="5"/>
  <c r="AJ87" i="5"/>
  <c r="AJ86" i="5"/>
  <c r="AJ85" i="5"/>
  <c r="AJ84" i="5"/>
  <c r="AI89" i="5"/>
  <c r="AI88" i="5"/>
  <c r="AI87" i="5"/>
  <c r="AI86" i="5"/>
  <c r="AI85" i="5"/>
  <c r="AI84" i="5"/>
  <c r="AI76" i="5"/>
  <c r="AR82" i="5"/>
  <c r="AR81" i="5"/>
  <c r="AR80" i="5"/>
  <c r="AR79" i="5"/>
  <c r="AR78" i="5"/>
  <c r="AR77" i="5"/>
  <c r="AR76" i="5"/>
  <c r="AQ82" i="5"/>
  <c r="AQ81" i="5"/>
  <c r="AQ80" i="5"/>
  <c r="AQ79" i="5"/>
  <c r="AQ78" i="5"/>
  <c r="AQ77" i="5"/>
  <c r="AQ76" i="5"/>
  <c r="AP82" i="5"/>
  <c r="AP81" i="5"/>
  <c r="AP80" i="5"/>
  <c r="AP79" i="5"/>
  <c r="AP78" i="5"/>
  <c r="AP77" i="5"/>
  <c r="AP76" i="5"/>
  <c r="AO82" i="5"/>
  <c r="AO81" i="5"/>
  <c r="AO80" i="5"/>
  <c r="AO79" i="5"/>
  <c r="AO78" i="5"/>
  <c r="AO77" i="5"/>
  <c r="AO76" i="5"/>
  <c r="AN82" i="5"/>
  <c r="AN81" i="5"/>
  <c r="AN80" i="5"/>
  <c r="AN79" i="5"/>
  <c r="AN78" i="5"/>
  <c r="AN77" i="5"/>
  <c r="AN76" i="5"/>
  <c r="AM82" i="5"/>
  <c r="AM81" i="5"/>
  <c r="AM80" i="5"/>
  <c r="AM79" i="5"/>
  <c r="AM78" i="5"/>
  <c r="AM77" i="5"/>
  <c r="AM76" i="5"/>
  <c r="AL82" i="5"/>
  <c r="AL81" i="5"/>
  <c r="AL80" i="5"/>
  <c r="AL79" i="5"/>
  <c r="AL78" i="5"/>
  <c r="AL77" i="5"/>
  <c r="AL76" i="5"/>
  <c r="AK82" i="5"/>
  <c r="AK81" i="5"/>
  <c r="AK80" i="5"/>
  <c r="AK79" i="5"/>
  <c r="AK78" i="5"/>
  <c r="AK77" i="5"/>
  <c r="AK76" i="5"/>
  <c r="AJ82" i="5"/>
  <c r="AJ81" i="5"/>
  <c r="AJ80" i="5"/>
  <c r="AJ79" i="5"/>
  <c r="AJ78" i="5"/>
  <c r="AJ77" i="5"/>
  <c r="AJ76" i="5"/>
  <c r="AI82" i="5"/>
  <c r="AI81" i="5"/>
  <c r="AI80" i="5"/>
  <c r="AI79" i="5"/>
  <c r="AI78" i="5"/>
  <c r="AI77" i="5"/>
  <c r="G78" i="5"/>
  <c r="G77" i="5"/>
  <c r="AR74" i="5"/>
  <c r="AR73" i="5"/>
  <c r="AR72" i="5"/>
  <c r="AR71" i="5"/>
  <c r="AR70" i="5"/>
  <c r="AR69" i="5"/>
  <c r="AR68" i="5"/>
  <c r="AR67" i="5"/>
  <c r="AQ74" i="5"/>
  <c r="AQ73" i="5"/>
  <c r="AQ72" i="5"/>
  <c r="AQ71" i="5"/>
  <c r="AQ70" i="5"/>
  <c r="AQ69" i="5"/>
  <c r="AQ68" i="5"/>
  <c r="AQ67" i="5"/>
  <c r="AP74" i="5"/>
  <c r="AP73" i="5"/>
  <c r="AP72" i="5"/>
  <c r="AP71" i="5"/>
  <c r="AP70" i="5"/>
  <c r="AP69" i="5"/>
  <c r="AP68" i="5"/>
  <c r="AP67" i="5"/>
  <c r="AO74" i="5"/>
  <c r="AO73" i="5"/>
  <c r="AO72" i="5"/>
  <c r="AO71" i="5"/>
  <c r="AO70" i="5"/>
  <c r="AO69" i="5"/>
  <c r="AO68" i="5"/>
  <c r="AO67" i="5"/>
  <c r="AN74" i="5"/>
  <c r="AN73" i="5"/>
  <c r="AN72" i="5"/>
  <c r="AN71" i="5"/>
  <c r="AN70" i="5"/>
  <c r="AN69" i="5"/>
  <c r="AN68" i="5"/>
  <c r="AN67" i="5"/>
  <c r="AM74" i="5"/>
  <c r="AM73" i="5"/>
  <c r="AM72" i="5"/>
  <c r="AM71" i="5"/>
  <c r="AM70" i="5"/>
  <c r="AM69" i="5"/>
  <c r="AM68" i="5"/>
  <c r="AM67" i="5"/>
  <c r="AL74" i="5"/>
  <c r="AL73" i="5"/>
  <c r="AL72" i="5"/>
  <c r="AL71" i="5"/>
  <c r="AL70" i="5"/>
  <c r="AL69" i="5"/>
  <c r="AL68" i="5"/>
  <c r="AL67" i="5"/>
  <c r="AK74" i="5"/>
  <c r="AK73" i="5"/>
  <c r="AK72" i="5"/>
  <c r="AK71" i="5"/>
  <c r="AK70" i="5"/>
  <c r="AK69" i="5"/>
  <c r="AK68" i="5"/>
  <c r="AK67" i="5"/>
  <c r="AJ74" i="5"/>
  <c r="AJ73" i="5"/>
  <c r="AJ72" i="5"/>
  <c r="AJ71" i="5"/>
  <c r="AJ70" i="5"/>
  <c r="AJ69" i="5"/>
  <c r="AJ68" i="5"/>
  <c r="AJ67" i="5"/>
  <c r="AI74" i="5"/>
  <c r="AI73" i="5"/>
  <c r="AI72" i="5"/>
  <c r="AI71" i="5"/>
  <c r="AI70" i="5"/>
  <c r="AI69" i="5"/>
  <c r="AI68" i="5"/>
  <c r="AI67" i="5"/>
  <c r="AI54" i="5"/>
  <c r="AR54" i="5"/>
  <c r="AQ54" i="5"/>
  <c r="AP54" i="5"/>
  <c r="AO54" i="5"/>
  <c r="AN54" i="5"/>
  <c r="AM54" i="5"/>
  <c r="AL54" i="5"/>
  <c r="AK54" i="5"/>
  <c r="AJ54" i="5"/>
  <c r="AI47" i="5"/>
  <c r="AR49" i="5"/>
  <c r="AR48" i="5"/>
  <c r="AR47" i="5"/>
  <c r="AQ49" i="5"/>
  <c r="AQ48" i="5"/>
  <c r="AQ47" i="5"/>
  <c r="AP49" i="5"/>
  <c r="AP48" i="5"/>
  <c r="AP47" i="5"/>
  <c r="AO49" i="5"/>
  <c r="AO48" i="5"/>
  <c r="AO47" i="5"/>
  <c r="AN49" i="5"/>
  <c r="AN48" i="5"/>
  <c r="AN47" i="5"/>
  <c r="AM49" i="5"/>
  <c r="AM48" i="5"/>
  <c r="AM47" i="5"/>
  <c r="AL49" i="5"/>
  <c r="AL48" i="5"/>
  <c r="AL47" i="5"/>
  <c r="AK49" i="5"/>
  <c r="AK48" i="5"/>
  <c r="AK47" i="5"/>
  <c r="AJ49" i="5"/>
  <c r="AJ48" i="5"/>
  <c r="AJ47" i="5"/>
  <c r="AI49" i="5"/>
  <c r="AI48" i="5"/>
  <c r="AR40" i="5"/>
  <c r="AR39" i="5"/>
  <c r="AR38" i="5"/>
  <c r="AR37" i="5"/>
  <c r="AR36" i="5"/>
  <c r="AQ40" i="5"/>
  <c r="AQ39" i="5"/>
  <c r="AQ38" i="5"/>
  <c r="AQ37" i="5"/>
  <c r="AQ36" i="5"/>
  <c r="AP40" i="5"/>
  <c r="AP39" i="5"/>
  <c r="AP38" i="5"/>
  <c r="AP37" i="5"/>
  <c r="AP36" i="5"/>
  <c r="AO40" i="5"/>
  <c r="AO39" i="5"/>
  <c r="AO38" i="5"/>
  <c r="AO37" i="5"/>
  <c r="AO36" i="5"/>
  <c r="AN40" i="5"/>
  <c r="AN39" i="5"/>
  <c r="AN38" i="5"/>
  <c r="AN37" i="5"/>
  <c r="AN36" i="5"/>
  <c r="AM40" i="5"/>
  <c r="AM39" i="5"/>
  <c r="AM38" i="5"/>
  <c r="AM37" i="5"/>
  <c r="AM36" i="5"/>
  <c r="AL40" i="5"/>
  <c r="AL39" i="5"/>
  <c r="AL38" i="5"/>
  <c r="AL37" i="5"/>
  <c r="AL36" i="5"/>
  <c r="AK40" i="5"/>
  <c r="AK39" i="5"/>
  <c r="AK38" i="5"/>
  <c r="AK37" i="5"/>
  <c r="AK36" i="5"/>
  <c r="AJ40" i="5"/>
  <c r="AJ39" i="5"/>
  <c r="AJ38" i="5"/>
  <c r="AJ37" i="5"/>
  <c r="AJ36" i="5"/>
  <c r="AI40" i="5"/>
  <c r="AI39" i="5"/>
  <c r="AI38" i="5"/>
  <c r="AI37" i="5"/>
  <c r="AI36" i="5"/>
  <c r="AG29" i="5"/>
  <c r="AR34" i="5"/>
  <c r="AR33" i="5"/>
  <c r="AR32" i="5"/>
  <c r="AR31" i="5"/>
  <c r="AR30" i="5"/>
  <c r="AR29" i="5"/>
  <c r="AQ34" i="5"/>
  <c r="AQ33" i="5"/>
  <c r="AQ32" i="5"/>
  <c r="AQ31" i="5"/>
  <c r="AQ30" i="5"/>
  <c r="AQ29" i="5"/>
  <c r="AP34" i="5"/>
  <c r="AP33" i="5"/>
  <c r="AP32" i="5"/>
  <c r="AP31" i="5"/>
  <c r="AP30" i="5"/>
  <c r="AP29" i="5"/>
  <c r="AO34" i="5"/>
  <c r="AO33" i="5"/>
  <c r="AO32" i="5"/>
  <c r="AO31" i="5"/>
  <c r="AO30" i="5"/>
  <c r="AO29" i="5"/>
  <c r="AN34" i="5"/>
  <c r="AN33" i="5"/>
  <c r="AN32" i="5"/>
  <c r="AN31" i="5"/>
  <c r="AN30" i="5"/>
  <c r="AN29" i="5"/>
  <c r="AM34" i="5"/>
  <c r="AM33" i="5"/>
  <c r="AM32" i="5"/>
  <c r="AM31" i="5"/>
  <c r="AM30" i="5"/>
  <c r="AM29" i="5"/>
  <c r="AL34" i="5"/>
  <c r="AL33" i="5"/>
  <c r="AL32" i="5"/>
  <c r="AL31" i="5"/>
  <c r="AL30" i="5"/>
  <c r="AL29" i="5"/>
  <c r="AK34" i="5"/>
  <c r="AK33" i="5"/>
  <c r="AK32" i="5"/>
  <c r="AK31" i="5"/>
  <c r="AK30" i="5"/>
  <c r="AK29" i="5"/>
  <c r="AJ34" i="5"/>
  <c r="AJ33" i="5"/>
  <c r="AJ32" i="5"/>
  <c r="AJ31" i="5"/>
  <c r="AJ30" i="5"/>
  <c r="AJ29" i="5"/>
  <c r="AI34" i="5"/>
  <c r="AI33" i="5"/>
  <c r="AI32" i="5"/>
  <c r="AI31" i="5"/>
  <c r="AI30" i="5"/>
  <c r="AI29" i="5"/>
  <c r="AR21" i="5"/>
  <c r="AQ21" i="5"/>
  <c r="AP21" i="5"/>
  <c r="AO21" i="5"/>
  <c r="AN21" i="5"/>
  <c r="AM21" i="5"/>
  <c r="AL21" i="5"/>
  <c r="AK21" i="5"/>
  <c r="AJ21" i="5"/>
  <c r="AI21" i="5"/>
  <c r="AR27" i="5"/>
  <c r="AR26" i="5"/>
  <c r="AR25" i="5"/>
  <c r="AR24" i="5"/>
  <c r="AR23" i="5"/>
  <c r="AR22" i="5"/>
  <c r="AQ27" i="5"/>
  <c r="AQ26" i="5"/>
  <c r="AQ25" i="5"/>
  <c r="AQ24" i="5"/>
  <c r="AQ23" i="5"/>
  <c r="AQ22" i="5"/>
  <c r="AP27" i="5"/>
  <c r="AP26" i="5"/>
  <c r="AP25" i="5"/>
  <c r="AP24" i="5"/>
  <c r="AP23" i="5"/>
  <c r="AP22" i="5"/>
  <c r="AO27" i="5"/>
  <c r="AO26" i="5"/>
  <c r="AO25" i="5"/>
  <c r="AO24" i="5"/>
  <c r="AO23" i="5"/>
  <c r="AO22" i="5"/>
  <c r="AN27" i="5"/>
  <c r="AN26" i="5"/>
  <c r="AN25" i="5"/>
  <c r="AN24" i="5"/>
  <c r="AN23" i="5"/>
  <c r="AN22" i="5"/>
  <c r="AM27" i="5"/>
  <c r="AM26" i="5"/>
  <c r="AM25" i="5"/>
  <c r="AM24" i="5"/>
  <c r="AM23" i="5"/>
  <c r="AM22" i="5"/>
  <c r="AL27" i="5"/>
  <c r="AL26" i="5"/>
  <c r="AL25" i="5"/>
  <c r="AL24" i="5"/>
  <c r="AL23" i="5"/>
  <c r="AL22" i="5"/>
  <c r="AK27" i="5"/>
  <c r="AK26" i="5"/>
  <c r="AK25" i="5"/>
  <c r="AK24" i="5"/>
  <c r="AK23" i="5"/>
  <c r="AK22" i="5"/>
  <c r="AJ27" i="5"/>
  <c r="AJ26" i="5"/>
  <c r="AJ25" i="5"/>
  <c r="AJ24" i="5"/>
  <c r="AJ23" i="5"/>
  <c r="AJ22" i="5"/>
  <c r="AI27" i="5"/>
  <c r="AI26" i="5"/>
  <c r="AI25" i="5"/>
  <c r="AI24" i="5"/>
  <c r="AI23" i="5"/>
  <c r="AI22" i="5"/>
  <c r="AR19" i="5"/>
  <c r="AR18" i="5"/>
  <c r="AR17" i="5"/>
  <c r="AR16" i="5"/>
  <c r="AR15" i="5"/>
  <c r="AR14" i="5"/>
  <c r="AR13" i="5"/>
  <c r="AR12" i="5"/>
  <c r="AQ19" i="5"/>
  <c r="AQ18" i="5"/>
  <c r="AQ17" i="5"/>
  <c r="AQ16" i="5"/>
  <c r="AQ15" i="5"/>
  <c r="AQ14" i="5"/>
  <c r="AQ13" i="5"/>
  <c r="AQ12" i="5"/>
  <c r="AP19" i="5"/>
  <c r="AP18" i="5"/>
  <c r="AP17" i="5"/>
  <c r="AP16" i="5"/>
  <c r="AP15" i="5"/>
  <c r="AP14" i="5"/>
  <c r="AP13" i="5"/>
  <c r="AP12" i="5"/>
  <c r="AO19" i="5"/>
  <c r="AO18" i="5"/>
  <c r="AO17" i="5"/>
  <c r="AO16" i="5"/>
  <c r="AO15" i="5"/>
  <c r="AO14" i="5"/>
  <c r="AO13" i="5"/>
  <c r="AO12" i="5"/>
  <c r="AN19" i="5"/>
  <c r="AN18" i="5"/>
  <c r="AN17" i="5"/>
  <c r="AN16" i="5"/>
  <c r="AN15" i="5"/>
  <c r="AN14" i="5"/>
  <c r="AN13" i="5"/>
  <c r="AN12" i="5"/>
  <c r="AM19" i="5"/>
  <c r="AM18" i="5"/>
  <c r="AM17" i="5"/>
  <c r="AM16" i="5"/>
  <c r="AM15" i="5"/>
  <c r="AM14" i="5"/>
  <c r="AM13" i="5"/>
  <c r="AM12" i="5"/>
  <c r="AL19" i="5"/>
  <c r="AL18" i="5"/>
  <c r="AL17" i="5"/>
  <c r="AL16" i="5"/>
  <c r="AL15" i="5"/>
  <c r="AL14" i="5"/>
  <c r="AL13" i="5"/>
  <c r="AL12" i="5"/>
  <c r="AK19" i="5"/>
  <c r="AK18" i="5"/>
  <c r="AK17" i="5"/>
  <c r="AK16" i="5"/>
  <c r="AK15" i="5"/>
  <c r="AK14" i="5"/>
  <c r="AK13" i="5"/>
  <c r="AK12" i="5"/>
  <c r="AJ19" i="5"/>
  <c r="AJ18" i="5"/>
  <c r="AJ17" i="5"/>
  <c r="AJ16" i="5"/>
  <c r="AJ15" i="5"/>
  <c r="AJ14" i="5"/>
  <c r="AJ13" i="5"/>
  <c r="AJ12" i="5"/>
  <c r="AI19" i="5"/>
  <c r="AI18" i="5"/>
  <c r="AI17" i="5"/>
  <c r="AI16" i="5"/>
  <c r="AI15" i="5"/>
  <c r="AI14" i="5"/>
  <c r="AI13" i="5"/>
  <c r="AI12" i="5"/>
  <c r="G23" i="5"/>
  <c r="G22" i="5"/>
  <c r="AR162" i="5" l="1"/>
  <c r="AR161" i="5"/>
  <c r="AR155" i="5"/>
  <c r="AR154" i="5"/>
  <c r="AR153" i="5"/>
  <c r="AR152" i="5"/>
  <c r="AR120" i="5"/>
  <c r="AR119" i="5"/>
  <c r="AR118" i="5"/>
  <c r="AR117" i="5"/>
  <c r="AR116" i="5"/>
  <c r="AR115" i="5"/>
  <c r="AR114" i="5"/>
  <c r="AR113" i="5"/>
  <c r="AR112" i="5"/>
  <c r="AR107" i="5"/>
  <c r="AR106" i="5"/>
  <c r="AR100" i="5"/>
  <c r="AR99" i="5"/>
  <c r="AR98" i="5"/>
  <c r="AR97" i="5"/>
  <c r="AR65" i="5"/>
  <c r="AR64" i="5"/>
  <c r="AR63" i="5"/>
  <c r="AR62" i="5"/>
  <c r="AR61" i="5"/>
  <c r="AR60" i="5"/>
  <c r="AR59" i="5"/>
  <c r="AR58" i="5"/>
  <c r="AR57" i="5"/>
  <c r="AR52" i="5"/>
  <c r="AR51" i="5"/>
  <c r="AR45" i="5"/>
  <c r="AR44" i="5"/>
  <c r="AR43" i="5"/>
  <c r="AR42" i="5"/>
  <c r="AR10" i="5"/>
  <c r="AR9" i="5"/>
  <c r="AR8" i="5"/>
  <c r="AR7" i="5"/>
  <c r="AR6" i="5"/>
  <c r="AR5" i="5"/>
  <c r="AR4" i="5"/>
  <c r="AR3" i="5"/>
  <c r="AR2" i="5"/>
  <c r="AP162" i="5"/>
  <c r="AP161" i="5"/>
  <c r="AP155" i="5"/>
  <c r="AP154" i="5"/>
  <c r="AP153" i="5"/>
  <c r="AP152" i="5"/>
  <c r="AP120" i="5"/>
  <c r="AP119" i="5"/>
  <c r="AP118" i="5"/>
  <c r="AP117" i="5"/>
  <c r="AP116" i="5"/>
  <c r="AP115" i="5"/>
  <c r="AP114" i="5"/>
  <c r="AP113" i="5"/>
  <c r="AP112" i="5"/>
  <c r="AP107" i="5"/>
  <c r="AP106" i="5"/>
  <c r="AP100" i="5"/>
  <c r="AP99" i="5"/>
  <c r="AP98" i="5"/>
  <c r="AP97" i="5"/>
  <c r="AP65" i="5"/>
  <c r="AP64" i="5"/>
  <c r="AP63" i="5"/>
  <c r="AP62" i="5"/>
  <c r="AP61" i="5"/>
  <c r="AP60" i="5"/>
  <c r="AP59" i="5"/>
  <c r="AP58" i="5"/>
  <c r="AP57" i="5"/>
  <c r="AP52" i="5"/>
  <c r="AP51" i="5"/>
  <c r="AP45" i="5"/>
  <c r="AP44" i="5"/>
  <c r="AP43" i="5"/>
  <c r="AP42" i="5"/>
  <c r="AP10" i="5"/>
  <c r="AP9" i="5"/>
  <c r="AP8" i="5"/>
  <c r="AP7" i="5"/>
  <c r="AP6" i="5"/>
  <c r="AP5" i="5"/>
  <c r="AP4" i="5"/>
  <c r="AP3" i="5"/>
  <c r="AP2" i="5"/>
  <c r="AN162" i="5"/>
  <c r="AN161" i="5"/>
  <c r="AN155" i="5"/>
  <c r="AN154" i="5"/>
  <c r="AN153" i="5"/>
  <c r="AN152" i="5"/>
  <c r="AN120" i="5"/>
  <c r="AN119" i="5"/>
  <c r="AN118" i="5"/>
  <c r="AN117" i="5"/>
  <c r="AN116" i="5"/>
  <c r="AN115" i="5"/>
  <c r="AN114" i="5"/>
  <c r="AN113" i="5"/>
  <c r="AN112" i="5"/>
  <c r="AN107" i="5"/>
  <c r="AN106" i="5"/>
  <c r="AN100" i="5"/>
  <c r="AN99" i="5"/>
  <c r="AN98" i="5"/>
  <c r="AN97" i="5"/>
  <c r="AN65" i="5"/>
  <c r="AN64" i="5"/>
  <c r="AN63" i="5"/>
  <c r="AN62" i="5"/>
  <c r="AN61" i="5"/>
  <c r="AN60" i="5"/>
  <c r="AN59" i="5"/>
  <c r="AN58" i="5"/>
  <c r="AN57" i="5"/>
  <c r="AN52" i="5"/>
  <c r="AN51" i="5"/>
  <c r="AN45" i="5"/>
  <c r="AN44" i="5"/>
  <c r="AN43" i="5"/>
  <c r="AN42" i="5"/>
  <c r="AN10" i="5"/>
  <c r="AN9" i="5"/>
  <c r="AN8" i="5"/>
  <c r="AN7" i="5"/>
  <c r="AN6" i="5"/>
  <c r="AN5" i="5"/>
  <c r="AN4" i="5"/>
  <c r="AN3" i="5"/>
  <c r="AN2" i="5"/>
  <c r="AL162" i="5"/>
  <c r="AL161" i="5"/>
  <c r="AL155" i="5"/>
  <c r="AL154" i="5"/>
  <c r="AL153" i="5"/>
  <c r="AL152" i="5"/>
  <c r="AL120" i="5"/>
  <c r="AL119" i="5"/>
  <c r="AL118" i="5"/>
  <c r="AL117" i="5"/>
  <c r="AL116" i="5"/>
  <c r="AL115" i="5"/>
  <c r="AL114" i="5"/>
  <c r="AL113" i="5"/>
  <c r="AL112" i="5"/>
  <c r="AL107" i="5"/>
  <c r="AL106" i="5"/>
  <c r="AL100" i="5"/>
  <c r="AL99" i="5"/>
  <c r="AL98" i="5"/>
  <c r="AL97" i="5"/>
  <c r="AL65" i="5"/>
  <c r="AL64" i="5"/>
  <c r="AL63" i="5"/>
  <c r="AL62" i="5"/>
  <c r="AL61" i="5"/>
  <c r="AL60" i="5"/>
  <c r="AL59" i="5"/>
  <c r="AL58" i="5"/>
  <c r="AL57" i="5"/>
  <c r="AL52" i="5"/>
  <c r="AL51" i="5"/>
  <c r="AL45" i="5"/>
  <c r="AL44" i="5"/>
  <c r="AL43" i="5"/>
  <c r="AL42" i="5"/>
  <c r="AL10" i="5"/>
  <c r="AL9" i="5"/>
  <c r="AL8" i="5"/>
  <c r="AL7" i="5"/>
  <c r="AL6" i="5"/>
  <c r="AL5" i="5"/>
  <c r="AL4" i="5"/>
  <c r="AL3" i="5"/>
  <c r="AL2" i="5"/>
  <c r="AJ162" i="5"/>
  <c r="AJ161" i="5"/>
  <c r="AJ155" i="5"/>
  <c r="AJ154" i="5"/>
  <c r="AJ153" i="5"/>
  <c r="AJ152" i="5"/>
  <c r="AJ120" i="5"/>
  <c r="AJ119" i="5"/>
  <c r="AJ118" i="5"/>
  <c r="AJ117" i="5"/>
  <c r="AJ116" i="5"/>
  <c r="AJ115" i="5"/>
  <c r="AJ114" i="5"/>
  <c r="AJ113" i="5"/>
  <c r="AJ112" i="5"/>
  <c r="AJ107" i="5"/>
  <c r="AJ106" i="5"/>
  <c r="AJ100" i="5"/>
  <c r="AJ99" i="5"/>
  <c r="AJ98" i="5"/>
  <c r="AJ97" i="5"/>
  <c r="AJ65" i="5"/>
  <c r="AJ64" i="5"/>
  <c r="AJ63" i="5"/>
  <c r="AJ62" i="5"/>
  <c r="AJ61" i="5"/>
  <c r="AJ60" i="5"/>
  <c r="AJ59" i="5"/>
  <c r="AJ58" i="5"/>
  <c r="AJ57" i="5"/>
  <c r="AJ52" i="5"/>
  <c r="AJ51" i="5"/>
  <c r="AJ45" i="5"/>
  <c r="AJ44" i="5"/>
  <c r="AJ43" i="5"/>
  <c r="AJ42" i="5"/>
  <c r="AJ10" i="5"/>
  <c r="AJ9" i="5"/>
  <c r="AJ8" i="5"/>
  <c r="AJ7" i="5"/>
  <c r="AJ6" i="5"/>
  <c r="AJ5" i="5"/>
  <c r="AJ4" i="5"/>
  <c r="AJ3" i="5"/>
  <c r="AJ2" i="5"/>
  <c r="AH164" i="5"/>
  <c r="AH162" i="5"/>
  <c r="AH161" i="5"/>
  <c r="AH159" i="5"/>
  <c r="AH158" i="5"/>
  <c r="AH157" i="5"/>
  <c r="AH155" i="5"/>
  <c r="AH154" i="5"/>
  <c r="AH153" i="5"/>
  <c r="AH152" i="5"/>
  <c r="AH150" i="5"/>
  <c r="AH149" i="5"/>
  <c r="AH148" i="5"/>
  <c r="AH147" i="5"/>
  <c r="AH146" i="5"/>
  <c r="AH144" i="5"/>
  <c r="AH143" i="5"/>
  <c r="AH142" i="5"/>
  <c r="AH141" i="5"/>
  <c r="AH140" i="5"/>
  <c r="AH139" i="5"/>
  <c r="AH137" i="5"/>
  <c r="AH136" i="5"/>
  <c r="AH135" i="5"/>
  <c r="AH134" i="5"/>
  <c r="AH133" i="5"/>
  <c r="AH132" i="5"/>
  <c r="AH131" i="5"/>
  <c r="AH129" i="5"/>
  <c r="AH128" i="5"/>
  <c r="AH127" i="5"/>
  <c r="AH126" i="5"/>
  <c r="AH125" i="5"/>
  <c r="AH124" i="5"/>
  <c r="AH123" i="5"/>
  <c r="AH122" i="5"/>
  <c r="AH120" i="5"/>
  <c r="AH119" i="5"/>
  <c r="AH118" i="5"/>
  <c r="AH117" i="5"/>
  <c r="AH116" i="5"/>
  <c r="AH115" i="5"/>
  <c r="AH114" i="5"/>
  <c r="AH113" i="5"/>
  <c r="AH112" i="5"/>
  <c r="AH109" i="5"/>
  <c r="AH107" i="5"/>
  <c r="AH106" i="5"/>
  <c r="AH104" i="5"/>
  <c r="AH103" i="5"/>
  <c r="AH102" i="5"/>
  <c r="AH100" i="5"/>
  <c r="AH99" i="5"/>
  <c r="AH98" i="5"/>
  <c r="AH97" i="5"/>
  <c r="AH95" i="5"/>
  <c r="AH94" i="5"/>
  <c r="AH93" i="5"/>
  <c r="AH92" i="5"/>
  <c r="AH91" i="5"/>
  <c r="AH89" i="5"/>
  <c r="AH88" i="5"/>
  <c r="AH87" i="5"/>
  <c r="AH86" i="5"/>
  <c r="AH85" i="5"/>
  <c r="AH84" i="5"/>
  <c r="AH82" i="5"/>
  <c r="AH81" i="5"/>
  <c r="AH80" i="5"/>
  <c r="AH79" i="5"/>
  <c r="AH78" i="5"/>
  <c r="AH77" i="5"/>
  <c r="AH76" i="5"/>
  <c r="AH74" i="5"/>
  <c r="AH73" i="5"/>
  <c r="AH72" i="5"/>
  <c r="AH71" i="5"/>
  <c r="AH70" i="5"/>
  <c r="AH69" i="5"/>
  <c r="AH68" i="5"/>
  <c r="AH67" i="5"/>
  <c r="AH65" i="5"/>
  <c r="AH64" i="5"/>
  <c r="AH63" i="5"/>
  <c r="AH62" i="5"/>
  <c r="AH61" i="5"/>
  <c r="AH60" i="5"/>
  <c r="AH59" i="5"/>
  <c r="AH58" i="5"/>
  <c r="AH57" i="5"/>
  <c r="AH54" i="5"/>
  <c r="AH52" i="5"/>
  <c r="AH51" i="5"/>
  <c r="AH49" i="5"/>
  <c r="AH48" i="5"/>
  <c r="AH47" i="5"/>
  <c r="AH45" i="5"/>
  <c r="AH44" i="5"/>
  <c r="AH43" i="5"/>
  <c r="AH42" i="5"/>
  <c r="AH40" i="5"/>
  <c r="AH39" i="5"/>
  <c r="AH38" i="5"/>
  <c r="AH37" i="5"/>
  <c r="AH36" i="5"/>
  <c r="AH34" i="5"/>
  <c r="AH33" i="5"/>
  <c r="AH32" i="5"/>
  <c r="AH31" i="5"/>
  <c r="AH30" i="5"/>
  <c r="AH29" i="5"/>
  <c r="AH27" i="5"/>
  <c r="AH26" i="5"/>
  <c r="AH25" i="5"/>
  <c r="AH24" i="5"/>
  <c r="AH23" i="5"/>
  <c r="AH22" i="5"/>
  <c r="AH21" i="5"/>
  <c r="AH19" i="5"/>
  <c r="AH18" i="5"/>
  <c r="AH17" i="5"/>
  <c r="AH16" i="5"/>
  <c r="AH15" i="5"/>
  <c r="AH14" i="5"/>
  <c r="AH13" i="5"/>
  <c r="AH12" i="5"/>
  <c r="AH10" i="5"/>
  <c r="AH9" i="5"/>
  <c r="AH8" i="5"/>
  <c r="AH7" i="5"/>
  <c r="AH6" i="5"/>
  <c r="AH5" i="5"/>
  <c r="AH4" i="5"/>
  <c r="AH3" i="5"/>
  <c r="AH2" i="5"/>
  <c r="AF164" i="5"/>
  <c r="AF162" i="5"/>
  <c r="AF161" i="5"/>
  <c r="AF159" i="5"/>
  <c r="AF158" i="5"/>
  <c r="AF157" i="5"/>
  <c r="AF155" i="5"/>
  <c r="AF154" i="5"/>
  <c r="AF153" i="5"/>
  <c r="AF152" i="5"/>
  <c r="AF150" i="5"/>
  <c r="AF149" i="5"/>
  <c r="AF148" i="5"/>
  <c r="AF147" i="5"/>
  <c r="AF146" i="5"/>
  <c r="AF144" i="5"/>
  <c r="AF143" i="5"/>
  <c r="AF142" i="5"/>
  <c r="AF141" i="5"/>
  <c r="AF140" i="5"/>
  <c r="AF139" i="5"/>
  <c r="AF137" i="5"/>
  <c r="AF136" i="5"/>
  <c r="AF135" i="5"/>
  <c r="AF134" i="5"/>
  <c r="AF133" i="5"/>
  <c r="AF132" i="5"/>
  <c r="AF131" i="5"/>
  <c r="AF129" i="5"/>
  <c r="AF128" i="5"/>
  <c r="AF127" i="5"/>
  <c r="AF126" i="5"/>
  <c r="AF125" i="5"/>
  <c r="AF124" i="5"/>
  <c r="AF123" i="5"/>
  <c r="AF122" i="5"/>
  <c r="AF120" i="5"/>
  <c r="AF119" i="5"/>
  <c r="AF118" i="5"/>
  <c r="AF117" i="5"/>
  <c r="AF116" i="5"/>
  <c r="AF115" i="5"/>
  <c r="AF114" i="5"/>
  <c r="AF113" i="5"/>
  <c r="AF112" i="5"/>
  <c r="AF109" i="5"/>
  <c r="AF107" i="5"/>
  <c r="AF106" i="5"/>
  <c r="AF104" i="5"/>
  <c r="AF103" i="5"/>
  <c r="AF102" i="5"/>
  <c r="AF100" i="5"/>
  <c r="AF99" i="5"/>
  <c r="AF98" i="5"/>
  <c r="AF97" i="5"/>
  <c r="AF95" i="5"/>
  <c r="AF94" i="5"/>
  <c r="AF93" i="5"/>
  <c r="AF92" i="5"/>
  <c r="AF91" i="5"/>
  <c r="AF89" i="5"/>
  <c r="AF88" i="5"/>
  <c r="AF87" i="5"/>
  <c r="AF86" i="5"/>
  <c r="AF85" i="5"/>
  <c r="AF84" i="5"/>
  <c r="AF82" i="5"/>
  <c r="AF81" i="5"/>
  <c r="AF80" i="5"/>
  <c r="AF79" i="5"/>
  <c r="AF78" i="5"/>
  <c r="AF77" i="5"/>
  <c r="AF76" i="5"/>
  <c r="AF74" i="5"/>
  <c r="AF73" i="5"/>
  <c r="AF72" i="5"/>
  <c r="AF71" i="5"/>
  <c r="AF70" i="5"/>
  <c r="AF69" i="5"/>
  <c r="AF68" i="5"/>
  <c r="AF67" i="5"/>
  <c r="AF65" i="5"/>
  <c r="AF64" i="5"/>
  <c r="AF63" i="5"/>
  <c r="AF62" i="5"/>
  <c r="AF61" i="5"/>
  <c r="AF60" i="5"/>
  <c r="AF59" i="5"/>
  <c r="AF58" i="5"/>
  <c r="AF57" i="5"/>
  <c r="AF54" i="5"/>
  <c r="AF52" i="5"/>
  <c r="AF51" i="5"/>
  <c r="AF49" i="5"/>
  <c r="AF48" i="5"/>
  <c r="AF47" i="5"/>
  <c r="AF45" i="5"/>
  <c r="AF44" i="5"/>
  <c r="AF43" i="5"/>
  <c r="AF42" i="5"/>
  <c r="AF40" i="5"/>
  <c r="AF39" i="5"/>
  <c r="AF38" i="5"/>
  <c r="AF37" i="5"/>
  <c r="AF36" i="5"/>
  <c r="AF34" i="5"/>
  <c r="AF33" i="5"/>
  <c r="AF32" i="5"/>
  <c r="AF31" i="5"/>
  <c r="AF30" i="5"/>
  <c r="AF29" i="5"/>
  <c r="AF27" i="5"/>
  <c r="AF26" i="5"/>
  <c r="AF25" i="5"/>
  <c r="AF24" i="5"/>
  <c r="AF23" i="5"/>
  <c r="AF22" i="5"/>
  <c r="AF21" i="5"/>
  <c r="AF19" i="5"/>
  <c r="AF18" i="5"/>
  <c r="AF17" i="5"/>
  <c r="AF16" i="5"/>
  <c r="AF15" i="5"/>
  <c r="AF14" i="5"/>
  <c r="AF13" i="5"/>
  <c r="AF12" i="5"/>
  <c r="AF10" i="5"/>
  <c r="AF9" i="5"/>
  <c r="AF8" i="5"/>
  <c r="AF7" i="5"/>
  <c r="AF6" i="5"/>
  <c r="AF5" i="5"/>
  <c r="AF4" i="5"/>
  <c r="AF3" i="5"/>
  <c r="AF2" i="5"/>
  <c r="AD164" i="5"/>
  <c r="AD162" i="5"/>
  <c r="AD161" i="5"/>
  <c r="AD159" i="5"/>
  <c r="AD158" i="5"/>
  <c r="AD157" i="5"/>
  <c r="AD155" i="5"/>
  <c r="AD154" i="5"/>
  <c r="AD153" i="5"/>
  <c r="AD152" i="5"/>
  <c r="AD150" i="5"/>
  <c r="AD149" i="5"/>
  <c r="AD148" i="5"/>
  <c r="AD147" i="5"/>
  <c r="AD146" i="5"/>
  <c r="AD144" i="5"/>
  <c r="AD143" i="5"/>
  <c r="AD142" i="5"/>
  <c r="AD141" i="5"/>
  <c r="AD140" i="5"/>
  <c r="AD139" i="5"/>
  <c r="AD137" i="5"/>
  <c r="AD136" i="5"/>
  <c r="AD135" i="5"/>
  <c r="AD134" i="5"/>
  <c r="AD133" i="5"/>
  <c r="AD132" i="5"/>
  <c r="AD131" i="5"/>
  <c r="AD129" i="5"/>
  <c r="AD128" i="5"/>
  <c r="AD127" i="5"/>
  <c r="AD126" i="5"/>
  <c r="AD125" i="5"/>
  <c r="AD124" i="5"/>
  <c r="AD123" i="5"/>
  <c r="AD122" i="5"/>
  <c r="AD120" i="5"/>
  <c r="AD119" i="5"/>
  <c r="AD118" i="5"/>
  <c r="AD117" i="5"/>
  <c r="AD116" i="5"/>
  <c r="AD115" i="5"/>
  <c r="AD114" i="5"/>
  <c r="AD113" i="5"/>
  <c r="AD112" i="5"/>
  <c r="AD109" i="5"/>
  <c r="AD107" i="5"/>
  <c r="AD106" i="5"/>
  <c r="AD104" i="5"/>
  <c r="AD103" i="5"/>
  <c r="AD102" i="5"/>
  <c r="AD100" i="5"/>
  <c r="AD99" i="5"/>
  <c r="AD98" i="5"/>
  <c r="AD97" i="5"/>
  <c r="AD95" i="5"/>
  <c r="AD94" i="5"/>
  <c r="AD93" i="5"/>
  <c r="AD92" i="5"/>
  <c r="AD91" i="5"/>
  <c r="AD89" i="5"/>
  <c r="AD88" i="5"/>
  <c r="AD87" i="5"/>
  <c r="AD86" i="5"/>
  <c r="AD85" i="5"/>
  <c r="AD84" i="5"/>
  <c r="AD82" i="5"/>
  <c r="AD81" i="5"/>
  <c r="AD80" i="5"/>
  <c r="AD79" i="5"/>
  <c r="AD78" i="5"/>
  <c r="AD77" i="5"/>
  <c r="AD76" i="5"/>
  <c r="AD74" i="5"/>
  <c r="AD73" i="5"/>
  <c r="AD72" i="5"/>
  <c r="AD71" i="5"/>
  <c r="AD70" i="5"/>
  <c r="AD69" i="5"/>
  <c r="AD68" i="5"/>
  <c r="AD67" i="5"/>
  <c r="AD65" i="5"/>
  <c r="AD64" i="5"/>
  <c r="AD63" i="5"/>
  <c r="AD62" i="5"/>
  <c r="AD61" i="5"/>
  <c r="AD60" i="5"/>
  <c r="AD59" i="5"/>
  <c r="AD58" i="5"/>
  <c r="AD57" i="5"/>
  <c r="AD54" i="5"/>
  <c r="AD52" i="5"/>
  <c r="AD51" i="5"/>
  <c r="AD49" i="5"/>
  <c r="AD48" i="5"/>
  <c r="AD47" i="5"/>
  <c r="AD45" i="5"/>
  <c r="AD44" i="5"/>
  <c r="AD43" i="5"/>
  <c r="AD42" i="5"/>
  <c r="AD40" i="5"/>
  <c r="AD39" i="5"/>
  <c r="AD38" i="5"/>
  <c r="AD37" i="5"/>
  <c r="AD36" i="5"/>
  <c r="AD34" i="5"/>
  <c r="AD33" i="5"/>
  <c r="AD32" i="5"/>
  <c r="AD31" i="5"/>
  <c r="AD30" i="5"/>
  <c r="AD29" i="5"/>
  <c r="AD27" i="5"/>
  <c r="AD26" i="5"/>
  <c r="AD25" i="5"/>
  <c r="AD24" i="5"/>
  <c r="AD23" i="5"/>
  <c r="AD22" i="5"/>
  <c r="AD21" i="5"/>
  <c r="AD19" i="5"/>
  <c r="AD18" i="5"/>
  <c r="AD17" i="5"/>
  <c r="AD16" i="5"/>
  <c r="AD15" i="5"/>
  <c r="AD14" i="5"/>
  <c r="AD13" i="5"/>
  <c r="AD12" i="5"/>
  <c r="AD10" i="5"/>
  <c r="AD9" i="5"/>
  <c r="AD8" i="5"/>
  <c r="AD7" i="5"/>
  <c r="AD6" i="5"/>
  <c r="AD5" i="5"/>
  <c r="AD4" i="5"/>
  <c r="AD3" i="5"/>
  <c r="AD2" i="5"/>
  <c r="AB164" i="5"/>
  <c r="AB162" i="5"/>
  <c r="AB161" i="5"/>
  <c r="AB159" i="5"/>
  <c r="AB158" i="5"/>
  <c r="AB157" i="5"/>
  <c r="AB155" i="5"/>
  <c r="AB154" i="5"/>
  <c r="AB153" i="5"/>
  <c r="AB152" i="5"/>
  <c r="AB150" i="5"/>
  <c r="AB149" i="5"/>
  <c r="AB148" i="5"/>
  <c r="AB147" i="5"/>
  <c r="AB146" i="5"/>
  <c r="AB144" i="5"/>
  <c r="AB143" i="5"/>
  <c r="AB142" i="5"/>
  <c r="AB141" i="5"/>
  <c r="AB140" i="5"/>
  <c r="AB139" i="5"/>
  <c r="AB137" i="5"/>
  <c r="AB136" i="5"/>
  <c r="AB135" i="5"/>
  <c r="AB134" i="5"/>
  <c r="AB133" i="5"/>
  <c r="AB132" i="5"/>
  <c r="AB131" i="5"/>
  <c r="AB129" i="5"/>
  <c r="AB128" i="5"/>
  <c r="AB127" i="5"/>
  <c r="AB126" i="5"/>
  <c r="AB125" i="5"/>
  <c r="AB124" i="5"/>
  <c r="AB123" i="5"/>
  <c r="AB122" i="5"/>
  <c r="AB120" i="5"/>
  <c r="AB119" i="5"/>
  <c r="AB118" i="5"/>
  <c r="AB117" i="5"/>
  <c r="AB116" i="5"/>
  <c r="AB115" i="5"/>
  <c r="AB114" i="5"/>
  <c r="AB113" i="5"/>
  <c r="AB112" i="5"/>
  <c r="AB109" i="5"/>
  <c r="AB107" i="5"/>
  <c r="AB106" i="5"/>
  <c r="AB104" i="5"/>
  <c r="AB103" i="5"/>
  <c r="AB102" i="5"/>
  <c r="AB100" i="5"/>
  <c r="AB99" i="5"/>
  <c r="AB98" i="5"/>
  <c r="AB97" i="5"/>
  <c r="AB95" i="5"/>
  <c r="AB94" i="5"/>
  <c r="AB93" i="5"/>
  <c r="AB92" i="5"/>
  <c r="AB91" i="5"/>
  <c r="AB89" i="5"/>
  <c r="AB88" i="5"/>
  <c r="AB87" i="5"/>
  <c r="AB86" i="5"/>
  <c r="AB85" i="5"/>
  <c r="AB84" i="5"/>
  <c r="AB82" i="5"/>
  <c r="AB81" i="5"/>
  <c r="AB80" i="5"/>
  <c r="AB79" i="5"/>
  <c r="AB78" i="5"/>
  <c r="AB77" i="5"/>
  <c r="AB76" i="5"/>
  <c r="AB74" i="5"/>
  <c r="AB73" i="5"/>
  <c r="AB72" i="5"/>
  <c r="AB71" i="5"/>
  <c r="AB70" i="5"/>
  <c r="AB69" i="5"/>
  <c r="AB68" i="5"/>
  <c r="AB67" i="5"/>
  <c r="AB65" i="5"/>
  <c r="AB64" i="5"/>
  <c r="AB63" i="5"/>
  <c r="AB62" i="5"/>
  <c r="AB61" i="5"/>
  <c r="AB60" i="5"/>
  <c r="AB59" i="5"/>
  <c r="AB58" i="5"/>
  <c r="AB57" i="5"/>
  <c r="AB54" i="5"/>
  <c r="AB52" i="5"/>
  <c r="AB51" i="5"/>
  <c r="AB49" i="5"/>
  <c r="AB48" i="5"/>
  <c r="AB47" i="5"/>
  <c r="AB45" i="5"/>
  <c r="AB44" i="5"/>
  <c r="AB43" i="5"/>
  <c r="AB42" i="5"/>
  <c r="AB40" i="5"/>
  <c r="AB39" i="5"/>
  <c r="AB38" i="5"/>
  <c r="AB37" i="5"/>
  <c r="AB36" i="5"/>
  <c r="AB34" i="5"/>
  <c r="AB33" i="5"/>
  <c r="AB32" i="5"/>
  <c r="AB31" i="5"/>
  <c r="AB30" i="5"/>
  <c r="AB29" i="5"/>
  <c r="AB27" i="5"/>
  <c r="AB26" i="5"/>
  <c r="AB25" i="5"/>
  <c r="AB24" i="5"/>
  <c r="AB23" i="5"/>
  <c r="AB22" i="5"/>
  <c r="AB21" i="5"/>
  <c r="AB19" i="5"/>
  <c r="AB18" i="5"/>
  <c r="AB17" i="5"/>
  <c r="AB16" i="5"/>
  <c r="AB15" i="5"/>
  <c r="AB14" i="5"/>
  <c r="AB13" i="5"/>
  <c r="AB12" i="5"/>
  <c r="AB10" i="5"/>
  <c r="AB9" i="5"/>
  <c r="AB8" i="5"/>
  <c r="AB7" i="5"/>
  <c r="AB6" i="5"/>
  <c r="AB5" i="5"/>
  <c r="AB4" i="5"/>
  <c r="AB3" i="5"/>
  <c r="AB2" i="5"/>
  <c r="Z164" i="5"/>
  <c r="Z162" i="5"/>
  <c r="Z161" i="5"/>
  <c r="Z159" i="5"/>
  <c r="Z158" i="5"/>
  <c r="Z157" i="5"/>
  <c r="Z155" i="5"/>
  <c r="Z154" i="5"/>
  <c r="Z153" i="5"/>
  <c r="Z152" i="5"/>
  <c r="Z150" i="5"/>
  <c r="Z149" i="5"/>
  <c r="Z148" i="5"/>
  <c r="Z147" i="5"/>
  <c r="Z146" i="5"/>
  <c r="Z144" i="5"/>
  <c r="Z143" i="5"/>
  <c r="Z142" i="5"/>
  <c r="Z141" i="5"/>
  <c r="Z140" i="5"/>
  <c r="Z139" i="5"/>
  <c r="Z137" i="5"/>
  <c r="Z136" i="5"/>
  <c r="Z135" i="5"/>
  <c r="Z134" i="5"/>
  <c r="Z133" i="5"/>
  <c r="Z132" i="5"/>
  <c r="Z131" i="5"/>
  <c r="Z129" i="5"/>
  <c r="Z128" i="5"/>
  <c r="Z127" i="5"/>
  <c r="Z126" i="5"/>
  <c r="Z125" i="5"/>
  <c r="Z124" i="5"/>
  <c r="Z123" i="5"/>
  <c r="Z122" i="5"/>
  <c r="Z120" i="5"/>
  <c r="Z119" i="5"/>
  <c r="Z118" i="5"/>
  <c r="Z117" i="5"/>
  <c r="Z116" i="5"/>
  <c r="Z115" i="5"/>
  <c r="Z114" i="5"/>
  <c r="Z113" i="5"/>
  <c r="Z112" i="5"/>
  <c r="Z109" i="5"/>
  <c r="Z107" i="5"/>
  <c r="Z106" i="5"/>
  <c r="Z104" i="5"/>
  <c r="Z103" i="5"/>
  <c r="Z102" i="5"/>
  <c r="Z100" i="5"/>
  <c r="Z99" i="5"/>
  <c r="Z98" i="5"/>
  <c r="Z97" i="5"/>
  <c r="Z95" i="5"/>
  <c r="Z94" i="5"/>
  <c r="Z93" i="5"/>
  <c r="Z92" i="5"/>
  <c r="Z91" i="5"/>
  <c r="Z89" i="5"/>
  <c r="Z88" i="5"/>
  <c r="Z87" i="5"/>
  <c r="Z86" i="5"/>
  <c r="Z85" i="5"/>
  <c r="Z84" i="5"/>
  <c r="Z82" i="5"/>
  <c r="Z81" i="5"/>
  <c r="Z80" i="5"/>
  <c r="Z79" i="5"/>
  <c r="Z78" i="5"/>
  <c r="Z77" i="5"/>
  <c r="Z76" i="5"/>
  <c r="Z74" i="5"/>
  <c r="Z73" i="5"/>
  <c r="Z72" i="5"/>
  <c r="Z71" i="5"/>
  <c r="Z70" i="5"/>
  <c r="Z69" i="5"/>
  <c r="Z68" i="5"/>
  <c r="Z67" i="5"/>
  <c r="Z65" i="5"/>
  <c r="Z64" i="5"/>
  <c r="Z63" i="5"/>
  <c r="Z62" i="5"/>
  <c r="Z61" i="5"/>
  <c r="Z60" i="5"/>
  <c r="Z59" i="5"/>
  <c r="Z58" i="5"/>
  <c r="Z57" i="5"/>
  <c r="Z54" i="5"/>
  <c r="Z52" i="5"/>
  <c r="Z51" i="5"/>
  <c r="Z49" i="5"/>
  <c r="Z48" i="5"/>
  <c r="Z47" i="5"/>
  <c r="Z45" i="5"/>
  <c r="Z44" i="5"/>
  <c r="Z43" i="5"/>
  <c r="Z42" i="5"/>
  <c r="Z40" i="5"/>
  <c r="Z39" i="5"/>
  <c r="Z38" i="5"/>
  <c r="Z37" i="5"/>
  <c r="Z36" i="5"/>
  <c r="Z34" i="5"/>
  <c r="Z33" i="5"/>
  <c r="Z32" i="5"/>
  <c r="Z31" i="5"/>
  <c r="Z30" i="5"/>
  <c r="Z29" i="5"/>
  <c r="Z27" i="5"/>
  <c r="Z26" i="5"/>
  <c r="Z25" i="5"/>
  <c r="Z24" i="5"/>
  <c r="Z23" i="5"/>
  <c r="Z22" i="5"/>
  <c r="Z21" i="5"/>
  <c r="Z19" i="5"/>
  <c r="Z18" i="5"/>
  <c r="Z17" i="5"/>
  <c r="Z16" i="5"/>
  <c r="Z15" i="5"/>
  <c r="Z14" i="5"/>
  <c r="Z13" i="5"/>
  <c r="Z12" i="5"/>
  <c r="Z10" i="5"/>
  <c r="Z9" i="5"/>
  <c r="Z8" i="5"/>
  <c r="Z7" i="5"/>
  <c r="Z6" i="5"/>
  <c r="Z5" i="5"/>
  <c r="Z4" i="5"/>
  <c r="Z3" i="5"/>
  <c r="Z2" i="5"/>
  <c r="X164" i="5"/>
  <c r="X162" i="5"/>
  <c r="X161" i="5"/>
  <c r="X159" i="5"/>
  <c r="X158" i="5"/>
  <c r="X157" i="5"/>
  <c r="X155" i="5"/>
  <c r="X154" i="5"/>
  <c r="X153" i="5"/>
  <c r="X152" i="5"/>
  <c r="X150" i="5"/>
  <c r="X149" i="5"/>
  <c r="X148" i="5"/>
  <c r="X147" i="5"/>
  <c r="X146" i="5"/>
  <c r="X144" i="5"/>
  <c r="X143" i="5"/>
  <c r="X142" i="5"/>
  <c r="X141" i="5"/>
  <c r="X140" i="5"/>
  <c r="X139" i="5"/>
  <c r="X137" i="5"/>
  <c r="X136" i="5"/>
  <c r="X135" i="5"/>
  <c r="X134" i="5"/>
  <c r="X133" i="5"/>
  <c r="X132" i="5"/>
  <c r="X131" i="5"/>
  <c r="X129" i="5"/>
  <c r="X128" i="5"/>
  <c r="X127" i="5"/>
  <c r="X126" i="5"/>
  <c r="X125" i="5"/>
  <c r="X124" i="5"/>
  <c r="X123" i="5"/>
  <c r="X122" i="5"/>
  <c r="X120" i="5"/>
  <c r="X119" i="5"/>
  <c r="X118" i="5"/>
  <c r="X117" i="5"/>
  <c r="X116" i="5"/>
  <c r="X115" i="5"/>
  <c r="X114" i="5"/>
  <c r="X113" i="5"/>
  <c r="X112" i="5"/>
  <c r="X109" i="5"/>
  <c r="X107" i="5"/>
  <c r="X106" i="5"/>
  <c r="X104" i="5"/>
  <c r="X103" i="5"/>
  <c r="X102" i="5"/>
  <c r="X100" i="5"/>
  <c r="X99" i="5"/>
  <c r="X98" i="5"/>
  <c r="X97" i="5"/>
  <c r="X95" i="5"/>
  <c r="X94" i="5"/>
  <c r="X93" i="5"/>
  <c r="X92" i="5"/>
  <c r="X91" i="5"/>
  <c r="X89" i="5"/>
  <c r="X88" i="5"/>
  <c r="X87" i="5"/>
  <c r="X86" i="5"/>
  <c r="X85" i="5"/>
  <c r="X84" i="5"/>
  <c r="X82" i="5"/>
  <c r="X81" i="5"/>
  <c r="X80" i="5"/>
  <c r="X79" i="5"/>
  <c r="X78" i="5"/>
  <c r="X77" i="5"/>
  <c r="X76" i="5"/>
  <c r="X74" i="5"/>
  <c r="X73" i="5"/>
  <c r="X72" i="5"/>
  <c r="X71" i="5"/>
  <c r="X70" i="5"/>
  <c r="X69" i="5"/>
  <c r="X68" i="5"/>
  <c r="X67" i="5"/>
  <c r="X65" i="5"/>
  <c r="X64" i="5"/>
  <c r="X63" i="5"/>
  <c r="X62" i="5"/>
  <c r="X61" i="5"/>
  <c r="X60" i="5"/>
  <c r="X59" i="5"/>
  <c r="X58" i="5"/>
  <c r="X57" i="5"/>
  <c r="X54" i="5"/>
  <c r="X52" i="5"/>
  <c r="X51" i="5"/>
  <c r="X49" i="5"/>
  <c r="X48" i="5"/>
  <c r="X47" i="5"/>
  <c r="X45" i="5"/>
  <c r="X44" i="5"/>
  <c r="X43" i="5"/>
  <c r="X42" i="5"/>
  <c r="X40" i="5"/>
  <c r="X39" i="5"/>
  <c r="X38" i="5"/>
  <c r="X37" i="5"/>
  <c r="X36" i="5"/>
  <c r="X34" i="5"/>
  <c r="X33" i="5"/>
  <c r="X32" i="5"/>
  <c r="X31" i="5"/>
  <c r="X30" i="5"/>
  <c r="X29" i="5"/>
  <c r="X27" i="5"/>
  <c r="X26" i="5"/>
  <c r="X25" i="5"/>
  <c r="X24" i="5"/>
  <c r="X23" i="5"/>
  <c r="X22" i="5"/>
  <c r="X21" i="5"/>
  <c r="X19" i="5"/>
  <c r="X18" i="5"/>
  <c r="X17" i="5"/>
  <c r="X16" i="5"/>
  <c r="X15" i="5"/>
  <c r="X14" i="5"/>
  <c r="X13" i="5"/>
  <c r="X12" i="5"/>
  <c r="X10" i="5"/>
  <c r="X9" i="5"/>
  <c r="X8" i="5"/>
  <c r="X7" i="5"/>
  <c r="X6" i="5"/>
  <c r="X5" i="5"/>
  <c r="X4" i="5"/>
  <c r="X3" i="5"/>
  <c r="X2" i="5"/>
  <c r="V164" i="5"/>
  <c r="V162" i="5"/>
  <c r="V161" i="5"/>
  <c r="V159" i="5"/>
  <c r="V158" i="5"/>
  <c r="V157" i="5"/>
  <c r="V155" i="5"/>
  <c r="V154" i="5"/>
  <c r="V153" i="5"/>
  <c r="V152" i="5"/>
  <c r="V150" i="5"/>
  <c r="V149" i="5"/>
  <c r="V148" i="5"/>
  <c r="V147" i="5"/>
  <c r="V146" i="5"/>
  <c r="V144" i="5"/>
  <c r="V143" i="5"/>
  <c r="V142" i="5"/>
  <c r="V141" i="5"/>
  <c r="V140" i="5"/>
  <c r="V139" i="5"/>
  <c r="V137" i="5"/>
  <c r="V136" i="5"/>
  <c r="V135" i="5"/>
  <c r="V134" i="5"/>
  <c r="V133" i="5"/>
  <c r="V132" i="5"/>
  <c r="V131" i="5"/>
  <c r="V129" i="5"/>
  <c r="V128" i="5"/>
  <c r="V127" i="5"/>
  <c r="V126" i="5"/>
  <c r="V125" i="5"/>
  <c r="V124" i="5"/>
  <c r="V123" i="5"/>
  <c r="V122" i="5"/>
  <c r="V120" i="5"/>
  <c r="V119" i="5"/>
  <c r="V118" i="5"/>
  <c r="V117" i="5"/>
  <c r="V116" i="5"/>
  <c r="V115" i="5"/>
  <c r="V114" i="5"/>
  <c r="V113" i="5"/>
  <c r="V112" i="5"/>
  <c r="V109" i="5"/>
  <c r="V107" i="5"/>
  <c r="V106" i="5"/>
  <c r="V104" i="5"/>
  <c r="V103" i="5"/>
  <c r="V102" i="5"/>
  <c r="V100" i="5"/>
  <c r="V99" i="5"/>
  <c r="V98" i="5"/>
  <c r="V97" i="5"/>
  <c r="V95" i="5"/>
  <c r="V94" i="5"/>
  <c r="V93" i="5"/>
  <c r="V92" i="5"/>
  <c r="V91" i="5"/>
  <c r="V89" i="5"/>
  <c r="V88" i="5"/>
  <c r="V87" i="5"/>
  <c r="V86" i="5"/>
  <c r="V85" i="5"/>
  <c r="V84" i="5"/>
  <c r="V82" i="5"/>
  <c r="V81" i="5"/>
  <c r="V80" i="5"/>
  <c r="V79" i="5"/>
  <c r="V78" i="5"/>
  <c r="V77" i="5"/>
  <c r="V76" i="5"/>
  <c r="V74" i="5"/>
  <c r="V73" i="5"/>
  <c r="V72" i="5"/>
  <c r="V71" i="5"/>
  <c r="V70" i="5"/>
  <c r="V69" i="5"/>
  <c r="V68" i="5"/>
  <c r="V67" i="5"/>
  <c r="V65" i="5"/>
  <c r="V64" i="5"/>
  <c r="V63" i="5"/>
  <c r="V62" i="5"/>
  <c r="V61" i="5"/>
  <c r="V60" i="5"/>
  <c r="V59" i="5"/>
  <c r="V58" i="5"/>
  <c r="V57" i="5"/>
  <c r="V54" i="5"/>
  <c r="V52" i="5"/>
  <c r="V51" i="5"/>
  <c r="V49" i="5"/>
  <c r="V48" i="5"/>
  <c r="V47" i="5"/>
  <c r="V45" i="5"/>
  <c r="V44" i="5"/>
  <c r="V43" i="5"/>
  <c r="V42" i="5"/>
  <c r="V40" i="5"/>
  <c r="V39" i="5"/>
  <c r="V38" i="5"/>
  <c r="V37" i="5"/>
  <c r="V36" i="5"/>
  <c r="V34" i="5"/>
  <c r="V33" i="5"/>
  <c r="V32" i="5"/>
  <c r="V31" i="5"/>
  <c r="V30" i="5"/>
  <c r="V29" i="5"/>
  <c r="V27" i="5"/>
  <c r="V26" i="5"/>
  <c r="V25" i="5"/>
  <c r="V24" i="5"/>
  <c r="V23" i="5"/>
  <c r="V22" i="5"/>
  <c r="V21" i="5"/>
  <c r="V19" i="5"/>
  <c r="V18" i="5"/>
  <c r="V17" i="5"/>
  <c r="V16" i="5"/>
  <c r="V15" i="5"/>
  <c r="V14" i="5"/>
  <c r="V13" i="5"/>
  <c r="V12" i="5"/>
  <c r="V10" i="5"/>
  <c r="V9" i="5"/>
  <c r="V8" i="5"/>
  <c r="V7" i="5"/>
  <c r="V6" i="5"/>
  <c r="V5" i="5"/>
  <c r="V4" i="5"/>
  <c r="V3" i="5"/>
  <c r="V2" i="5"/>
  <c r="T164" i="5"/>
  <c r="T162" i="5"/>
  <c r="T161" i="5"/>
  <c r="T159" i="5"/>
  <c r="T158" i="5"/>
  <c r="T157" i="5"/>
  <c r="T155" i="5"/>
  <c r="T154" i="5"/>
  <c r="T153" i="5"/>
  <c r="T152" i="5"/>
  <c r="T150" i="5"/>
  <c r="T149" i="5"/>
  <c r="T148" i="5"/>
  <c r="T147" i="5"/>
  <c r="T146" i="5"/>
  <c r="T144" i="5"/>
  <c r="T143" i="5"/>
  <c r="T142" i="5"/>
  <c r="T141" i="5"/>
  <c r="T140" i="5"/>
  <c r="T139" i="5"/>
  <c r="T137" i="5"/>
  <c r="T136" i="5"/>
  <c r="T135" i="5"/>
  <c r="T134" i="5"/>
  <c r="T133" i="5"/>
  <c r="T132" i="5"/>
  <c r="T131" i="5"/>
  <c r="T129" i="5"/>
  <c r="T128" i="5"/>
  <c r="T127" i="5"/>
  <c r="T126" i="5"/>
  <c r="T125" i="5"/>
  <c r="T124" i="5"/>
  <c r="T123" i="5"/>
  <c r="T122" i="5"/>
  <c r="T120" i="5"/>
  <c r="T119" i="5"/>
  <c r="T118" i="5"/>
  <c r="T117" i="5"/>
  <c r="T116" i="5"/>
  <c r="T115" i="5"/>
  <c r="T114" i="5"/>
  <c r="T113" i="5"/>
  <c r="T112" i="5"/>
  <c r="T109" i="5"/>
  <c r="T107" i="5"/>
  <c r="T106" i="5"/>
  <c r="T104" i="5"/>
  <c r="T103" i="5"/>
  <c r="T102" i="5"/>
  <c r="T100" i="5"/>
  <c r="T99" i="5"/>
  <c r="T98" i="5"/>
  <c r="T97" i="5"/>
  <c r="T95" i="5"/>
  <c r="T94" i="5"/>
  <c r="T93" i="5"/>
  <c r="T92" i="5"/>
  <c r="T91" i="5"/>
  <c r="T89" i="5"/>
  <c r="T88" i="5"/>
  <c r="T87" i="5"/>
  <c r="T86" i="5"/>
  <c r="T85" i="5"/>
  <c r="T84" i="5"/>
  <c r="T82" i="5"/>
  <c r="T81" i="5"/>
  <c r="T80" i="5"/>
  <c r="T79" i="5"/>
  <c r="T78" i="5"/>
  <c r="T77" i="5"/>
  <c r="T76" i="5"/>
  <c r="T74" i="5"/>
  <c r="T73" i="5"/>
  <c r="T72" i="5"/>
  <c r="T71" i="5"/>
  <c r="T70" i="5"/>
  <c r="T69" i="5"/>
  <c r="T68" i="5"/>
  <c r="T67" i="5"/>
  <c r="T65" i="5"/>
  <c r="T64" i="5"/>
  <c r="T63" i="5"/>
  <c r="T62" i="5"/>
  <c r="T61" i="5"/>
  <c r="T60" i="5"/>
  <c r="T59" i="5"/>
  <c r="T58" i="5"/>
  <c r="T57" i="5"/>
  <c r="T54" i="5"/>
  <c r="T52" i="5"/>
  <c r="T51" i="5"/>
  <c r="T49" i="5"/>
  <c r="T48" i="5"/>
  <c r="T47" i="5"/>
  <c r="T45" i="5"/>
  <c r="T44" i="5"/>
  <c r="T43" i="5"/>
  <c r="T42" i="5"/>
  <c r="T40" i="5"/>
  <c r="T39" i="5"/>
  <c r="T38" i="5"/>
  <c r="T37" i="5"/>
  <c r="T36" i="5"/>
  <c r="T34" i="5"/>
  <c r="T33" i="5"/>
  <c r="T32" i="5"/>
  <c r="T31" i="5"/>
  <c r="T30" i="5"/>
  <c r="T29" i="5"/>
  <c r="T27" i="5"/>
  <c r="T26" i="5"/>
  <c r="T25" i="5"/>
  <c r="T24" i="5"/>
  <c r="T23" i="5"/>
  <c r="T22" i="5"/>
  <c r="T21" i="5"/>
  <c r="T19" i="5"/>
  <c r="T18" i="5"/>
  <c r="T17" i="5"/>
  <c r="T16" i="5"/>
  <c r="T15" i="5"/>
  <c r="T14" i="5"/>
  <c r="T13" i="5"/>
  <c r="T12" i="5"/>
  <c r="T10" i="5"/>
  <c r="T9" i="5"/>
  <c r="T8" i="5"/>
  <c r="T7" i="5"/>
  <c r="T6" i="5"/>
  <c r="T5" i="5"/>
  <c r="T4" i="5"/>
  <c r="T3" i="5"/>
  <c r="T2" i="5"/>
  <c r="R164" i="5"/>
  <c r="R162" i="5"/>
  <c r="R161" i="5"/>
  <c r="R159" i="5"/>
  <c r="R158" i="5"/>
  <c r="R157" i="5"/>
  <c r="R155" i="5"/>
  <c r="R154" i="5"/>
  <c r="R153" i="5"/>
  <c r="R152" i="5"/>
  <c r="R150" i="5"/>
  <c r="R149" i="5"/>
  <c r="R148" i="5"/>
  <c r="R147" i="5"/>
  <c r="R146" i="5"/>
  <c r="R144" i="5"/>
  <c r="R143" i="5"/>
  <c r="R142" i="5"/>
  <c r="R141" i="5"/>
  <c r="R140" i="5"/>
  <c r="R139" i="5"/>
  <c r="R137" i="5"/>
  <c r="R136" i="5"/>
  <c r="R135" i="5"/>
  <c r="R134" i="5"/>
  <c r="R133" i="5"/>
  <c r="R132" i="5"/>
  <c r="R131" i="5"/>
  <c r="R129" i="5"/>
  <c r="R128" i="5"/>
  <c r="R127" i="5"/>
  <c r="R126" i="5"/>
  <c r="R125" i="5"/>
  <c r="R124" i="5"/>
  <c r="R123" i="5"/>
  <c r="R122" i="5"/>
  <c r="R120" i="5"/>
  <c r="R119" i="5"/>
  <c r="R118" i="5"/>
  <c r="R117" i="5"/>
  <c r="R116" i="5"/>
  <c r="R115" i="5"/>
  <c r="R114" i="5"/>
  <c r="R113" i="5"/>
  <c r="R112" i="5"/>
  <c r="R109" i="5"/>
  <c r="R107" i="5"/>
  <c r="R106" i="5"/>
  <c r="R104" i="5"/>
  <c r="R103" i="5"/>
  <c r="R102" i="5"/>
  <c r="R100" i="5"/>
  <c r="R99" i="5"/>
  <c r="R98" i="5"/>
  <c r="R97" i="5"/>
  <c r="R95" i="5"/>
  <c r="R94" i="5"/>
  <c r="R93" i="5"/>
  <c r="R92" i="5"/>
  <c r="R91" i="5"/>
  <c r="R89" i="5"/>
  <c r="R88" i="5"/>
  <c r="R87" i="5"/>
  <c r="R86" i="5"/>
  <c r="R85" i="5"/>
  <c r="R84" i="5"/>
  <c r="R82" i="5"/>
  <c r="R81" i="5"/>
  <c r="R80" i="5"/>
  <c r="R79" i="5"/>
  <c r="R78" i="5"/>
  <c r="R77" i="5"/>
  <c r="R76" i="5"/>
  <c r="R74" i="5"/>
  <c r="R73" i="5"/>
  <c r="R72" i="5"/>
  <c r="R71" i="5"/>
  <c r="R70" i="5"/>
  <c r="R69" i="5"/>
  <c r="R68" i="5"/>
  <c r="R67" i="5"/>
  <c r="R65" i="5"/>
  <c r="R64" i="5"/>
  <c r="R63" i="5"/>
  <c r="R62" i="5"/>
  <c r="R61" i="5"/>
  <c r="R60" i="5"/>
  <c r="R59" i="5"/>
  <c r="R58" i="5"/>
  <c r="R57" i="5"/>
  <c r="R54" i="5"/>
  <c r="R52" i="5"/>
  <c r="R51" i="5"/>
  <c r="R49" i="5"/>
  <c r="R48" i="5"/>
  <c r="R47" i="5"/>
  <c r="R45" i="5"/>
  <c r="R44" i="5"/>
  <c r="R43" i="5"/>
  <c r="R42" i="5"/>
  <c r="R40" i="5"/>
  <c r="R39" i="5"/>
  <c r="R38" i="5"/>
  <c r="R37" i="5"/>
  <c r="R36" i="5"/>
  <c r="R34" i="5"/>
  <c r="R33" i="5"/>
  <c r="R32" i="5"/>
  <c r="R31" i="5"/>
  <c r="R30" i="5"/>
  <c r="R29" i="5"/>
  <c r="R27" i="5"/>
  <c r="R26" i="5"/>
  <c r="R25" i="5"/>
  <c r="R24" i="5"/>
  <c r="R23" i="5"/>
  <c r="R22" i="5"/>
  <c r="R21" i="5"/>
  <c r="R19" i="5"/>
  <c r="R18" i="5"/>
  <c r="R17" i="5"/>
  <c r="R16" i="5"/>
  <c r="R15" i="5"/>
  <c r="R14" i="5"/>
  <c r="R13" i="5"/>
  <c r="R12" i="5"/>
  <c r="R10" i="5"/>
  <c r="R9" i="5"/>
  <c r="R8" i="5"/>
  <c r="R7" i="5"/>
  <c r="R6" i="5"/>
  <c r="R5" i="5"/>
  <c r="R4" i="5"/>
  <c r="R3" i="5"/>
  <c r="R2" i="5"/>
  <c r="P164" i="5"/>
  <c r="P162" i="5"/>
  <c r="P161" i="5"/>
  <c r="P159" i="5"/>
  <c r="P158" i="5"/>
  <c r="P157" i="5"/>
  <c r="P155" i="5"/>
  <c r="P154" i="5"/>
  <c r="P153" i="5"/>
  <c r="P152" i="5"/>
  <c r="P150" i="5"/>
  <c r="P149" i="5"/>
  <c r="P148" i="5"/>
  <c r="P147" i="5"/>
  <c r="P146" i="5"/>
  <c r="P144" i="5"/>
  <c r="P143" i="5"/>
  <c r="P142" i="5"/>
  <c r="P141" i="5"/>
  <c r="P140" i="5"/>
  <c r="P139" i="5"/>
  <c r="P137" i="5"/>
  <c r="P136" i="5"/>
  <c r="P135" i="5"/>
  <c r="P134" i="5"/>
  <c r="P133" i="5"/>
  <c r="P132" i="5"/>
  <c r="P131" i="5"/>
  <c r="P129" i="5"/>
  <c r="P128" i="5"/>
  <c r="P127" i="5"/>
  <c r="P126" i="5"/>
  <c r="P125" i="5"/>
  <c r="P124" i="5"/>
  <c r="P123" i="5"/>
  <c r="P122" i="5"/>
  <c r="P120" i="5"/>
  <c r="P119" i="5"/>
  <c r="P118" i="5"/>
  <c r="P117" i="5"/>
  <c r="P116" i="5"/>
  <c r="P115" i="5"/>
  <c r="P114" i="5"/>
  <c r="P113" i="5"/>
  <c r="P112" i="5"/>
  <c r="P109" i="5"/>
  <c r="P107" i="5"/>
  <c r="P106" i="5"/>
  <c r="P104" i="5"/>
  <c r="P103" i="5"/>
  <c r="P102" i="5"/>
  <c r="P100" i="5"/>
  <c r="P99" i="5"/>
  <c r="P98" i="5"/>
  <c r="P97" i="5"/>
  <c r="P95" i="5"/>
  <c r="P94" i="5"/>
  <c r="P93" i="5"/>
  <c r="P92" i="5"/>
  <c r="P91" i="5"/>
  <c r="P89" i="5"/>
  <c r="P88" i="5"/>
  <c r="P87" i="5"/>
  <c r="P86" i="5"/>
  <c r="P85" i="5"/>
  <c r="P84" i="5"/>
  <c r="P82" i="5"/>
  <c r="P81" i="5"/>
  <c r="P80" i="5"/>
  <c r="P79" i="5"/>
  <c r="P78" i="5"/>
  <c r="P77" i="5"/>
  <c r="P76" i="5"/>
  <c r="P74" i="5"/>
  <c r="P73" i="5"/>
  <c r="P72" i="5"/>
  <c r="P71" i="5"/>
  <c r="P70" i="5"/>
  <c r="P69" i="5"/>
  <c r="P68" i="5"/>
  <c r="P67" i="5"/>
  <c r="P65" i="5"/>
  <c r="P64" i="5"/>
  <c r="P63" i="5"/>
  <c r="P62" i="5"/>
  <c r="P61" i="5"/>
  <c r="P60" i="5"/>
  <c r="P59" i="5"/>
  <c r="P58" i="5"/>
  <c r="P57" i="5"/>
  <c r="P54" i="5"/>
  <c r="P52" i="5"/>
  <c r="P51" i="5"/>
  <c r="P49" i="5"/>
  <c r="P48" i="5"/>
  <c r="P47" i="5"/>
  <c r="P45" i="5"/>
  <c r="P44" i="5"/>
  <c r="P43" i="5"/>
  <c r="P42" i="5"/>
  <c r="P40" i="5"/>
  <c r="P39" i="5"/>
  <c r="P38" i="5"/>
  <c r="P37" i="5"/>
  <c r="P36" i="5"/>
  <c r="P34" i="5"/>
  <c r="P33" i="5"/>
  <c r="P32" i="5"/>
  <c r="P31" i="5"/>
  <c r="P30" i="5"/>
  <c r="P29" i="5"/>
  <c r="P27" i="5"/>
  <c r="P26" i="5"/>
  <c r="P25" i="5"/>
  <c r="P24" i="5"/>
  <c r="P23" i="5"/>
  <c r="P22" i="5"/>
  <c r="P21" i="5"/>
  <c r="P19" i="5"/>
  <c r="P18" i="5"/>
  <c r="P17" i="5"/>
  <c r="P16" i="5"/>
  <c r="P15" i="5"/>
  <c r="P14" i="5"/>
  <c r="P13" i="5"/>
  <c r="P12" i="5"/>
  <c r="P10" i="5"/>
  <c r="P9" i="5"/>
  <c r="P8" i="5"/>
  <c r="P7" i="5"/>
  <c r="P6" i="5"/>
  <c r="P5" i="5"/>
  <c r="P4" i="5"/>
  <c r="P3" i="5"/>
  <c r="P2" i="5"/>
  <c r="N164" i="5"/>
  <c r="N162" i="5"/>
  <c r="N161" i="5"/>
  <c r="N159" i="5"/>
  <c r="N158" i="5"/>
  <c r="N157" i="5"/>
  <c r="N155" i="5"/>
  <c r="N154" i="5"/>
  <c r="N153" i="5"/>
  <c r="N152" i="5"/>
  <c r="N150" i="5"/>
  <c r="N149" i="5"/>
  <c r="N148" i="5"/>
  <c r="N147" i="5"/>
  <c r="N146" i="5"/>
  <c r="N144" i="5"/>
  <c r="N143" i="5"/>
  <c r="N142" i="5"/>
  <c r="N141" i="5"/>
  <c r="N140" i="5"/>
  <c r="N139" i="5"/>
  <c r="N137" i="5"/>
  <c r="N136" i="5"/>
  <c r="N135" i="5"/>
  <c r="N134" i="5"/>
  <c r="N133" i="5"/>
  <c r="N132" i="5"/>
  <c r="N131" i="5"/>
  <c r="N129" i="5"/>
  <c r="N128" i="5"/>
  <c r="N127" i="5"/>
  <c r="N126" i="5"/>
  <c r="N125" i="5"/>
  <c r="N124" i="5"/>
  <c r="N123" i="5"/>
  <c r="N122" i="5"/>
  <c r="N120" i="5"/>
  <c r="N119" i="5"/>
  <c r="N118" i="5"/>
  <c r="N117" i="5"/>
  <c r="N116" i="5"/>
  <c r="N115" i="5"/>
  <c r="N114" i="5"/>
  <c r="N113" i="5"/>
  <c r="N112" i="5"/>
  <c r="N109" i="5"/>
  <c r="N107" i="5"/>
  <c r="N106" i="5"/>
  <c r="N104" i="5"/>
  <c r="N103" i="5"/>
  <c r="N102" i="5"/>
  <c r="N100" i="5"/>
  <c r="N99" i="5"/>
  <c r="N98" i="5"/>
  <c r="N97" i="5"/>
  <c r="N95" i="5"/>
  <c r="N94" i="5"/>
  <c r="N93" i="5"/>
  <c r="N92" i="5"/>
  <c r="N91" i="5"/>
  <c r="N89" i="5"/>
  <c r="N88" i="5"/>
  <c r="N87" i="5"/>
  <c r="N86" i="5"/>
  <c r="N85" i="5"/>
  <c r="N84" i="5"/>
  <c r="N82" i="5"/>
  <c r="N81" i="5"/>
  <c r="N80" i="5"/>
  <c r="N79" i="5"/>
  <c r="N78" i="5"/>
  <c r="N77" i="5"/>
  <c r="N76" i="5"/>
  <c r="N74" i="5"/>
  <c r="N73" i="5"/>
  <c r="N72" i="5"/>
  <c r="N71" i="5"/>
  <c r="N70" i="5"/>
  <c r="N69" i="5"/>
  <c r="N68" i="5"/>
  <c r="N67" i="5"/>
  <c r="N65" i="5"/>
  <c r="N64" i="5"/>
  <c r="N63" i="5"/>
  <c r="N62" i="5"/>
  <c r="N61" i="5"/>
  <c r="N60" i="5"/>
  <c r="N59" i="5"/>
  <c r="N58" i="5"/>
  <c r="N57" i="5"/>
  <c r="N54" i="5"/>
  <c r="N52" i="5"/>
  <c r="N51" i="5"/>
  <c r="N49" i="5"/>
  <c r="N48" i="5"/>
  <c r="N47" i="5"/>
  <c r="N45" i="5"/>
  <c r="N44" i="5"/>
  <c r="N43" i="5"/>
  <c r="N42" i="5"/>
  <c r="N40" i="5"/>
  <c r="N39" i="5"/>
  <c r="N38" i="5"/>
  <c r="N37" i="5"/>
  <c r="N36" i="5"/>
  <c r="N34" i="5"/>
  <c r="N33" i="5"/>
  <c r="N32" i="5"/>
  <c r="N31" i="5"/>
  <c r="N30" i="5"/>
  <c r="N29" i="5"/>
  <c r="N27" i="5"/>
  <c r="N26" i="5"/>
  <c r="N25" i="5"/>
  <c r="N24" i="5"/>
  <c r="N23" i="5"/>
  <c r="N22" i="5"/>
  <c r="N21" i="5"/>
  <c r="N19" i="5"/>
  <c r="N18" i="5"/>
  <c r="N17" i="5"/>
  <c r="N16" i="5"/>
  <c r="N15" i="5"/>
  <c r="N14" i="5"/>
  <c r="N13" i="5"/>
  <c r="N12" i="5"/>
  <c r="N10" i="5"/>
  <c r="N9" i="5"/>
  <c r="N8" i="5"/>
  <c r="N7" i="5"/>
  <c r="N6" i="5"/>
  <c r="N5" i="5"/>
  <c r="N4" i="5"/>
  <c r="N3" i="5"/>
  <c r="N2" i="5"/>
  <c r="L164" i="5"/>
  <c r="L162" i="5"/>
  <c r="L161" i="5"/>
  <c r="L159" i="5"/>
  <c r="L158" i="5"/>
  <c r="L157" i="5"/>
  <c r="L155" i="5"/>
  <c r="L154" i="5"/>
  <c r="L153" i="5"/>
  <c r="L152" i="5"/>
  <c r="L150" i="5"/>
  <c r="L149" i="5"/>
  <c r="L148" i="5"/>
  <c r="L147" i="5"/>
  <c r="L146" i="5"/>
  <c r="L144" i="5"/>
  <c r="L143" i="5"/>
  <c r="L142" i="5"/>
  <c r="L141" i="5"/>
  <c r="L140" i="5"/>
  <c r="L139" i="5"/>
  <c r="L137" i="5"/>
  <c r="L136" i="5"/>
  <c r="L135" i="5"/>
  <c r="L134" i="5"/>
  <c r="L133" i="5"/>
  <c r="L132" i="5"/>
  <c r="L131" i="5"/>
  <c r="L129" i="5"/>
  <c r="L128" i="5"/>
  <c r="L127" i="5"/>
  <c r="L126" i="5"/>
  <c r="L125" i="5"/>
  <c r="L124" i="5"/>
  <c r="L123" i="5"/>
  <c r="L122" i="5"/>
  <c r="L120" i="5"/>
  <c r="L119" i="5"/>
  <c r="L118" i="5"/>
  <c r="L117" i="5"/>
  <c r="L116" i="5"/>
  <c r="L115" i="5"/>
  <c r="L114" i="5"/>
  <c r="L113" i="5"/>
  <c r="L112" i="5"/>
  <c r="L109" i="5"/>
  <c r="L107" i="5"/>
  <c r="L106" i="5"/>
  <c r="L104" i="5"/>
  <c r="L103" i="5"/>
  <c r="L102" i="5"/>
  <c r="L100" i="5"/>
  <c r="L99" i="5"/>
  <c r="L98" i="5"/>
  <c r="L97" i="5"/>
  <c r="L95" i="5"/>
  <c r="L94" i="5"/>
  <c r="L93" i="5"/>
  <c r="L92" i="5"/>
  <c r="L91" i="5"/>
  <c r="L89" i="5"/>
  <c r="L88" i="5"/>
  <c r="L87" i="5"/>
  <c r="L86" i="5"/>
  <c r="L85" i="5"/>
  <c r="L84" i="5"/>
  <c r="L82" i="5"/>
  <c r="L81" i="5"/>
  <c r="L80" i="5"/>
  <c r="L79" i="5"/>
  <c r="L78" i="5"/>
  <c r="L77" i="5"/>
  <c r="L76" i="5"/>
  <c r="L74" i="5"/>
  <c r="L73" i="5"/>
  <c r="L72" i="5"/>
  <c r="L71" i="5"/>
  <c r="L70" i="5"/>
  <c r="L69" i="5"/>
  <c r="L68" i="5"/>
  <c r="L67" i="5"/>
  <c r="L65" i="5"/>
  <c r="L64" i="5"/>
  <c r="L63" i="5"/>
  <c r="L62" i="5"/>
  <c r="L61" i="5"/>
  <c r="L60" i="5"/>
  <c r="L59" i="5"/>
  <c r="L58" i="5"/>
  <c r="L57" i="5"/>
  <c r="L54" i="5"/>
  <c r="L52" i="5"/>
  <c r="L51" i="5"/>
  <c r="L49" i="5"/>
  <c r="L48" i="5"/>
  <c r="L47" i="5"/>
  <c r="L45" i="5"/>
  <c r="L44" i="5"/>
  <c r="L43" i="5"/>
  <c r="L42" i="5"/>
  <c r="L40" i="5"/>
  <c r="L39" i="5"/>
  <c r="L38" i="5"/>
  <c r="L37" i="5"/>
  <c r="L36" i="5"/>
  <c r="L34" i="5"/>
  <c r="L33" i="5"/>
  <c r="L32" i="5"/>
  <c r="L31" i="5"/>
  <c r="L30" i="5"/>
  <c r="L29" i="5"/>
  <c r="L27" i="5"/>
  <c r="L26" i="5"/>
  <c r="L25" i="5"/>
  <c r="L24" i="5"/>
  <c r="L23" i="5"/>
  <c r="L22" i="5"/>
  <c r="L21" i="5"/>
  <c r="L19" i="5"/>
  <c r="L18" i="5"/>
  <c r="L17" i="5"/>
  <c r="L16" i="5"/>
  <c r="L15" i="5"/>
  <c r="L14" i="5"/>
  <c r="L13" i="5"/>
  <c r="L12" i="5"/>
  <c r="L10" i="5"/>
  <c r="L9" i="5"/>
  <c r="L8" i="5"/>
  <c r="L7" i="5"/>
  <c r="L6" i="5"/>
  <c r="L5" i="5"/>
  <c r="L4" i="5"/>
  <c r="L3" i="5"/>
  <c r="L2" i="5"/>
  <c r="J164" i="5"/>
  <c r="J162" i="5"/>
  <c r="J161" i="5"/>
  <c r="J159" i="5"/>
  <c r="J158" i="5"/>
  <c r="J157" i="5"/>
  <c r="J155" i="5"/>
  <c r="J154" i="5"/>
  <c r="J153" i="5"/>
  <c r="J152" i="5"/>
  <c r="J150" i="5"/>
  <c r="J149" i="5"/>
  <c r="J148" i="5"/>
  <c r="J147" i="5"/>
  <c r="J146" i="5"/>
  <c r="J144" i="5"/>
  <c r="J143" i="5"/>
  <c r="J142" i="5"/>
  <c r="J141" i="5"/>
  <c r="J140" i="5"/>
  <c r="J139" i="5"/>
  <c r="J137" i="5"/>
  <c r="J136" i="5"/>
  <c r="J135" i="5"/>
  <c r="J134" i="5"/>
  <c r="J133" i="5"/>
  <c r="J132" i="5"/>
  <c r="J131" i="5"/>
  <c r="J129" i="5"/>
  <c r="J128" i="5"/>
  <c r="J127" i="5"/>
  <c r="J126" i="5"/>
  <c r="J125" i="5"/>
  <c r="J124" i="5"/>
  <c r="J123" i="5"/>
  <c r="J122" i="5"/>
  <c r="J120" i="5"/>
  <c r="J119" i="5"/>
  <c r="J118" i="5"/>
  <c r="J117" i="5"/>
  <c r="J116" i="5"/>
  <c r="J115" i="5"/>
  <c r="J114" i="5"/>
  <c r="J113" i="5"/>
  <c r="J112" i="5"/>
  <c r="J109" i="5"/>
  <c r="J107" i="5"/>
  <c r="J106" i="5"/>
  <c r="J104" i="5"/>
  <c r="J103" i="5"/>
  <c r="J102" i="5"/>
  <c r="J100" i="5"/>
  <c r="J99" i="5"/>
  <c r="J98" i="5"/>
  <c r="J97" i="5"/>
  <c r="J95" i="5"/>
  <c r="J94" i="5"/>
  <c r="J93" i="5"/>
  <c r="J92" i="5"/>
  <c r="J91" i="5"/>
  <c r="J89" i="5"/>
  <c r="J88" i="5"/>
  <c r="J87" i="5"/>
  <c r="J86" i="5"/>
  <c r="J85" i="5"/>
  <c r="J84" i="5"/>
  <c r="J82" i="5"/>
  <c r="J81" i="5"/>
  <c r="J80" i="5"/>
  <c r="J79" i="5"/>
  <c r="J78" i="5"/>
  <c r="J77" i="5"/>
  <c r="J76" i="5"/>
  <c r="J74" i="5"/>
  <c r="J73" i="5"/>
  <c r="J72" i="5"/>
  <c r="J71" i="5"/>
  <c r="J70" i="5"/>
  <c r="J69" i="5"/>
  <c r="J68" i="5"/>
  <c r="J67" i="5"/>
  <c r="J65" i="5"/>
  <c r="J64" i="5"/>
  <c r="J63" i="5"/>
  <c r="J62" i="5"/>
  <c r="J61" i="5"/>
  <c r="J60" i="5"/>
  <c r="J59" i="5"/>
  <c r="J58" i="5"/>
  <c r="J57" i="5"/>
  <c r="J54" i="5"/>
  <c r="J52" i="5"/>
  <c r="J51" i="5"/>
  <c r="J49" i="5"/>
  <c r="J48" i="5"/>
  <c r="J47" i="5"/>
  <c r="J45" i="5"/>
  <c r="J44" i="5"/>
  <c r="J43" i="5"/>
  <c r="J42" i="5"/>
  <c r="J40" i="5"/>
  <c r="J39" i="5"/>
  <c r="J38" i="5"/>
  <c r="J37" i="5"/>
  <c r="J36" i="5"/>
  <c r="J34" i="5"/>
  <c r="J33" i="5"/>
  <c r="J32" i="5"/>
  <c r="J31" i="5"/>
  <c r="J30" i="5"/>
  <c r="J29" i="5"/>
  <c r="J27" i="5"/>
  <c r="J26" i="5"/>
  <c r="J25" i="5"/>
  <c r="J24" i="5"/>
  <c r="J23" i="5"/>
  <c r="J22" i="5"/>
  <c r="J21" i="5"/>
  <c r="J19" i="5"/>
  <c r="J18" i="5"/>
  <c r="J17" i="5"/>
  <c r="J16" i="5"/>
  <c r="J15" i="5"/>
  <c r="J14" i="5"/>
  <c r="J13" i="5"/>
  <c r="J12" i="5"/>
  <c r="J10" i="5"/>
  <c r="J9" i="5"/>
  <c r="J8" i="5"/>
  <c r="J7" i="5"/>
  <c r="J6" i="5"/>
  <c r="J5" i="5"/>
  <c r="J4" i="5"/>
  <c r="J3" i="5"/>
  <c r="J2" i="5"/>
  <c r="H164" i="5"/>
  <c r="H162" i="5"/>
  <c r="H161" i="5"/>
  <c r="H159" i="5"/>
  <c r="H158" i="5"/>
  <c r="H157" i="5"/>
  <c r="H155" i="5"/>
  <c r="H154" i="5"/>
  <c r="H153" i="5"/>
  <c r="H152" i="5"/>
  <c r="H150" i="5"/>
  <c r="H149" i="5"/>
  <c r="H148" i="5"/>
  <c r="H147" i="5"/>
  <c r="H146" i="5"/>
  <c r="H144" i="5"/>
  <c r="H143" i="5"/>
  <c r="H142" i="5"/>
  <c r="H141" i="5"/>
  <c r="H140" i="5"/>
  <c r="H139" i="5"/>
  <c r="H137" i="5"/>
  <c r="H136" i="5"/>
  <c r="H135" i="5"/>
  <c r="H134" i="5"/>
  <c r="H133" i="5"/>
  <c r="H132" i="5"/>
  <c r="H131" i="5"/>
  <c r="H129" i="5"/>
  <c r="H128" i="5"/>
  <c r="H127" i="5"/>
  <c r="H126" i="5"/>
  <c r="H125" i="5"/>
  <c r="H124" i="5"/>
  <c r="H123" i="5"/>
  <c r="H122" i="5"/>
  <c r="H120" i="5"/>
  <c r="H119" i="5"/>
  <c r="H118" i="5"/>
  <c r="H117" i="5"/>
  <c r="H116" i="5"/>
  <c r="H115" i="5"/>
  <c r="H114" i="5"/>
  <c r="H113" i="5"/>
  <c r="H112" i="5"/>
  <c r="H109" i="5"/>
  <c r="H107" i="5"/>
  <c r="H106" i="5"/>
  <c r="H104" i="5"/>
  <c r="H103" i="5"/>
  <c r="H102" i="5"/>
  <c r="H100" i="5"/>
  <c r="H99" i="5"/>
  <c r="H98" i="5"/>
  <c r="H97" i="5"/>
  <c r="H95" i="5"/>
  <c r="H94" i="5"/>
  <c r="H93" i="5"/>
  <c r="H92" i="5"/>
  <c r="H91" i="5"/>
  <c r="H89" i="5"/>
  <c r="H88" i="5"/>
  <c r="H87" i="5"/>
  <c r="H86" i="5"/>
  <c r="H85" i="5"/>
  <c r="H84" i="5"/>
  <c r="H82" i="5"/>
  <c r="H81" i="5"/>
  <c r="H80" i="5"/>
  <c r="H79" i="5"/>
  <c r="H78" i="5"/>
  <c r="H77" i="5"/>
  <c r="H76" i="5"/>
  <c r="H74" i="5"/>
  <c r="H73" i="5"/>
  <c r="H72" i="5"/>
  <c r="H71" i="5"/>
  <c r="H70" i="5"/>
  <c r="H69" i="5"/>
  <c r="H68" i="5"/>
  <c r="H67" i="5"/>
  <c r="H65" i="5"/>
  <c r="H64" i="5"/>
  <c r="H63" i="5"/>
  <c r="H62" i="5"/>
  <c r="H61" i="5"/>
  <c r="H60" i="5"/>
  <c r="H59" i="5"/>
  <c r="H58" i="5"/>
  <c r="H57" i="5"/>
  <c r="H54" i="5"/>
  <c r="H52" i="5"/>
  <c r="H51" i="5"/>
  <c r="H49" i="5"/>
  <c r="H48" i="5"/>
  <c r="H47" i="5"/>
  <c r="H45" i="5"/>
  <c r="H44" i="5"/>
  <c r="H43" i="5"/>
  <c r="H42" i="5"/>
  <c r="H40" i="5"/>
  <c r="H39" i="5"/>
  <c r="H38" i="5"/>
  <c r="H37" i="5"/>
  <c r="H36" i="5"/>
  <c r="H34" i="5"/>
  <c r="H33" i="5"/>
  <c r="H32" i="5"/>
  <c r="H31" i="5"/>
  <c r="H30" i="5"/>
  <c r="H29" i="5"/>
  <c r="H27" i="5"/>
  <c r="H26" i="5"/>
  <c r="H25" i="5"/>
  <c r="H24" i="5"/>
  <c r="H23" i="5"/>
  <c r="H22" i="5"/>
  <c r="H21" i="5"/>
  <c r="H19" i="5"/>
  <c r="H18" i="5"/>
  <c r="H17" i="5"/>
  <c r="H16" i="5"/>
  <c r="H15" i="5"/>
  <c r="H14" i="5"/>
  <c r="H13" i="5"/>
  <c r="H12" i="5"/>
  <c r="H10" i="5"/>
  <c r="H9" i="5"/>
  <c r="H8" i="5"/>
  <c r="H7" i="5"/>
  <c r="H6" i="5"/>
  <c r="H5" i="5"/>
  <c r="H4" i="5"/>
  <c r="H3" i="5"/>
  <c r="H2" i="5"/>
  <c r="F164" i="5"/>
  <c r="F162" i="5"/>
  <c r="F161" i="5"/>
  <c r="F159" i="5"/>
  <c r="F158" i="5"/>
  <c r="F157" i="5"/>
  <c r="F155" i="5"/>
  <c r="F154" i="5"/>
  <c r="F153" i="5"/>
  <c r="F152" i="5"/>
  <c r="F150" i="5"/>
  <c r="F149" i="5"/>
  <c r="F148" i="5"/>
  <c r="F147" i="5"/>
  <c r="F146" i="5"/>
  <c r="F144" i="5"/>
  <c r="F143" i="5"/>
  <c r="F142" i="5"/>
  <c r="F141" i="5"/>
  <c r="F140" i="5"/>
  <c r="F139" i="5"/>
  <c r="F137" i="5"/>
  <c r="F136" i="5"/>
  <c r="F135" i="5"/>
  <c r="F134" i="5"/>
  <c r="F133" i="5"/>
  <c r="F132" i="5"/>
  <c r="F131" i="5"/>
  <c r="F129" i="5"/>
  <c r="F128" i="5"/>
  <c r="F127" i="5"/>
  <c r="F126" i="5"/>
  <c r="F125" i="5"/>
  <c r="F124" i="5"/>
  <c r="F123" i="5"/>
  <c r="F122" i="5"/>
  <c r="F120" i="5"/>
  <c r="F119" i="5"/>
  <c r="F118" i="5"/>
  <c r="F117" i="5"/>
  <c r="F116" i="5"/>
  <c r="F115" i="5"/>
  <c r="F114" i="5"/>
  <c r="F113" i="5"/>
  <c r="F112" i="5"/>
  <c r="F109" i="5"/>
  <c r="F107" i="5"/>
  <c r="F106" i="5"/>
  <c r="F104" i="5"/>
  <c r="F103" i="5"/>
  <c r="F102" i="5"/>
  <c r="F100" i="5"/>
  <c r="F99" i="5"/>
  <c r="F98" i="5"/>
  <c r="F97" i="5"/>
  <c r="F95" i="5"/>
  <c r="F94" i="5"/>
  <c r="F93" i="5"/>
  <c r="F92" i="5"/>
  <c r="F91" i="5"/>
  <c r="F89" i="5"/>
  <c r="F88" i="5"/>
  <c r="F87" i="5"/>
  <c r="F86" i="5"/>
  <c r="F85" i="5"/>
  <c r="F84" i="5"/>
  <c r="F82" i="5"/>
  <c r="F81" i="5"/>
  <c r="F80" i="5"/>
  <c r="F79" i="5"/>
  <c r="F78" i="5"/>
  <c r="F77" i="5"/>
  <c r="F76" i="5"/>
  <c r="F74" i="5"/>
  <c r="F73" i="5"/>
  <c r="F72" i="5"/>
  <c r="F71" i="5"/>
  <c r="F70" i="5"/>
  <c r="F69" i="5"/>
  <c r="F68" i="5"/>
  <c r="F67" i="5"/>
  <c r="F65" i="5"/>
  <c r="F64" i="5"/>
  <c r="F63" i="5"/>
  <c r="F62" i="5"/>
  <c r="F61" i="5"/>
  <c r="F60" i="5"/>
  <c r="F59" i="5"/>
  <c r="F58" i="5"/>
  <c r="F57" i="5"/>
  <c r="F54" i="5"/>
  <c r="F52" i="5"/>
  <c r="F51" i="5"/>
  <c r="F49" i="5"/>
  <c r="F48" i="5"/>
  <c r="F47" i="5"/>
  <c r="F45" i="5"/>
  <c r="F44" i="5"/>
  <c r="F43" i="5"/>
  <c r="F42" i="5"/>
  <c r="F40" i="5"/>
  <c r="F39" i="5"/>
  <c r="F38" i="5"/>
  <c r="F37" i="5"/>
  <c r="F36" i="5"/>
  <c r="F34" i="5"/>
  <c r="F33" i="5"/>
  <c r="F32" i="5"/>
  <c r="F31" i="5"/>
  <c r="F30" i="5"/>
  <c r="F29" i="5"/>
  <c r="F27" i="5"/>
  <c r="F26" i="5"/>
  <c r="F25" i="5"/>
  <c r="F24" i="5"/>
  <c r="F23" i="5"/>
  <c r="F22" i="5"/>
  <c r="F21" i="5"/>
  <c r="F19" i="5"/>
  <c r="F18" i="5"/>
  <c r="F17" i="5"/>
  <c r="F16" i="5"/>
  <c r="F15" i="5"/>
  <c r="F14" i="5"/>
  <c r="F13" i="5"/>
  <c r="F12" i="5"/>
  <c r="F10" i="5"/>
  <c r="F9" i="5"/>
  <c r="F8" i="5"/>
  <c r="F7" i="5"/>
  <c r="F6" i="5"/>
  <c r="F5" i="5"/>
  <c r="F4" i="5"/>
  <c r="F3" i="5"/>
  <c r="F2" i="5"/>
  <c r="E2" i="5" l="1"/>
  <c r="B112" i="5"/>
  <c r="C112" i="5"/>
  <c r="E112" i="5"/>
  <c r="G112" i="5"/>
  <c r="I112" i="5"/>
  <c r="K112" i="5"/>
  <c r="M112" i="5"/>
  <c r="O112" i="5"/>
  <c r="Q112" i="5"/>
  <c r="S112" i="5"/>
  <c r="U112" i="5"/>
  <c r="W112" i="5"/>
  <c r="Y112" i="5"/>
  <c r="AA112" i="5"/>
  <c r="AC112" i="5"/>
  <c r="AE112" i="5"/>
  <c r="AG112" i="5"/>
  <c r="AI112" i="5"/>
  <c r="AK112" i="5"/>
  <c r="AM112" i="5"/>
  <c r="AO112" i="5"/>
  <c r="AQ112" i="5"/>
  <c r="B113" i="5"/>
  <c r="C113" i="5"/>
  <c r="E113" i="5"/>
  <c r="G113" i="5"/>
  <c r="I113" i="5"/>
  <c r="K113" i="5"/>
  <c r="M113" i="5"/>
  <c r="O113" i="5"/>
  <c r="Q113" i="5"/>
  <c r="S113" i="5"/>
  <c r="U113" i="5"/>
  <c r="W113" i="5"/>
  <c r="Y113" i="5"/>
  <c r="AA113" i="5"/>
  <c r="AC113" i="5"/>
  <c r="AE113" i="5"/>
  <c r="AG113" i="5"/>
  <c r="AI113" i="5"/>
  <c r="AK113" i="5"/>
  <c r="AM113" i="5"/>
  <c r="AO113" i="5"/>
  <c r="AQ113" i="5"/>
  <c r="B114" i="5"/>
  <c r="C114" i="5"/>
  <c r="E114" i="5"/>
  <c r="G114" i="5"/>
  <c r="I114" i="5"/>
  <c r="K114" i="5"/>
  <c r="M114" i="5"/>
  <c r="O114" i="5"/>
  <c r="Q114" i="5"/>
  <c r="S114" i="5"/>
  <c r="U114" i="5"/>
  <c r="W114" i="5"/>
  <c r="Y114" i="5"/>
  <c r="AA114" i="5"/>
  <c r="AC114" i="5"/>
  <c r="AE114" i="5"/>
  <c r="AG114" i="5"/>
  <c r="AI114" i="5"/>
  <c r="AK114" i="5"/>
  <c r="AM114" i="5"/>
  <c r="AO114" i="5"/>
  <c r="AQ114" i="5"/>
  <c r="B115" i="5"/>
  <c r="C115" i="5"/>
  <c r="E115" i="5"/>
  <c r="G115" i="5"/>
  <c r="I115" i="5"/>
  <c r="K115" i="5"/>
  <c r="M115" i="5"/>
  <c r="O115" i="5"/>
  <c r="Q115" i="5"/>
  <c r="S115" i="5"/>
  <c r="U115" i="5"/>
  <c r="W115" i="5"/>
  <c r="Y115" i="5"/>
  <c r="AA115" i="5"/>
  <c r="AC115" i="5"/>
  <c r="AE115" i="5"/>
  <c r="AG115" i="5"/>
  <c r="AI115" i="5"/>
  <c r="AK115" i="5"/>
  <c r="AM115" i="5"/>
  <c r="AO115" i="5"/>
  <c r="AQ115" i="5"/>
  <c r="B116" i="5"/>
  <c r="C116" i="5"/>
  <c r="E116" i="5"/>
  <c r="G116" i="5"/>
  <c r="I116" i="5"/>
  <c r="K116" i="5"/>
  <c r="M116" i="5"/>
  <c r="O116" i="5"/>
  <c r="Q116" i="5"/>
  <c r="S116" i="5"/>
  <c r="U116" i="5"/>
  <c r="W116" i="5"/>
  <c r="Y116" i="5"/>
  <c r="AA116" i="5"/>
  <c r="AC116" i="5"/>
  <c r="AE116" i="5"/>
  <c r="AG116" i="5"/>
  <c r="AI116" i="5"/>
  <c r="AK116" i="5"/>
  <c r="AM116" i="5"/>
  <c r="AO116" i="5"/>
  <c r="AQ116" i="5"/>
  <c r="B117" i="5"/>
  <c r="C117" i="5"/>
  <c r="E117" i="5"/>
  <c r="G117" i="5"/>
  <c r="I117" i="5"/>
  <c r="K117" i="5"/>
  <c r="M117" i="5"/>
  <c r="O117" i="5"/>
  <c r="Q117" i="5"/>
  <c r="S117" i="5"/>
  <c r="U117" i="5"/>
  <c r="W117" i="5"/>
  <c r="Y117" i="5"/>
  <c r="AA117" i="5"/>
  <c r="AC117" i="5"/>
  <c r="AE117" i="5"/>
  <c r="AG117" i="5"/>
  <c r="AI117" i="5"/>
  <c r="AK117" i="5"/>
  <c r="AM117" i="5"/>
  <c r="AO117" i="5"/>
  <c r="AQ117" i="5"/>
  <c r="B118" i="5"/>
  <c r="C118" i="5"/>
  <c r="E118" i="5"/>
  <c r="G118" i="5"/>
  <c r="I118" i="5"/>
  <c r="K118" i="5"/>
  <c r="M118" i="5"/>
  <c r="O118" i="5"/>
  <c r="Q118" i="5"/>
  <c r="S118" i="5"/>
  <c r="U118" i="5"/>
  <c r="W118" i="5"/>
  <c r="Y118" i="5"/>
  <c r="AA118" i="5"/>
  <c r="AC118" i="5"/>
  <c r="AE118" i="5"/>
  <c r="AG118" i="5"/>
  <c r="AI118" i="5"/>
  <c r="AK118" i="5"/>
  <c r="AM118" i="5"/>
  <c r="AO118" i="5"/>
  <c r="AQ118" i="5"/>
  <c r="B119" i="5"/>
  <c r="C119" i="5"/>
  <c r="E119" i="5"/>
  <c r="G119" i="5"/>
  <c r="I119" i="5"/>
  <c r="K119" i="5"/>
  <c r="M119" i="5"/>
  <c r="O119" i="5"/>
  <c r="Q119" i="5"/>
  <c r="S119" i="5"/>
  <c r="U119" i="5"/>
  <c r="W119" i="5"/>
  <c r="Y119" i="5"/>
  <c r="AA119" i="5"/>
  <c r="AC119" i="5"/>
  <c r="AE119" i="5"/>
  <c r="AG119" i="5"/>
  <c r="AI119" i="5"/>
  <c r="AK119" i="5"/>
  <c r="AM119" i="5"/>
  <c r="AO119" i="5"/>
  <c r="AQ119" i="5"/>
  <c r="B120" i="5"/>
  <c r="C120" i="5"/>
  <c r="E120" i="5"/>
  <c r="G120" i="5"/>
  <c r="I120" i="5"/>
  <c r="K120" i="5"/>
  <c r="M120" i="5"/>
  <c r="O120" i="5"/>
  <c r="Q120" i="5"/>
  <c r="S120" i="5"/>
  <c r="U120" i="5"/>
  <c r="W120" i="5"/>
  <c r="Y120" i="5"/>
  <c r="AA120" i="5"/>
  <c r="AC120" i="5"/>
  <c r="AE120" i="5"/>
  <c r="AG120" i="5"/>
  <c r="AI120" i="5"/>
  <c r="AK120" i="5"/>
  <c r="AM120" i="5"/>
  <c r="AO120" i="5"/>
  <c r="AQ120" i="5"/>
  <c r="B122" i="5"/>
  <c r="C122" i="5"/>
  <c r="E122" i="5"/>
  <c r="G122" i="5"/>
  <c r="I122" i="5"/>
  <c r="K122" i="5"/>
  <c r="M122" i="5"/>
  <c r="O122" i="5"/>
  <c r="Q122" i="5"/>
  <c r="S122" i="5"/>
  <c r="U122" i="5"/>
  <c r="W122" i="5"/>
  <c r="Y122" i="5"/>
  <c r="AA122" i="5"/>
  <c r="AC122" i="5"/>
  <c r="AE122" i="5"/>
  <c r="AG122" i="5"/>
  <c r="B123" i="5"/>
  <c r="C123" i="5"/>
  <c r="E123" i="5"/>
  <c r="G123" i="5"/>
  <c r="I123" i="5"/>
  <c r="K123" i="5"/>
  <c r="M123" i="5"/>
  <c r="O123" i="5"/>
  <c r="Q123" i="5"/>
  <c r="S123" i="5"/>
  <c r="U123" i="5"/>
  <c r="W123" i="5"/>
  <c r="Y123" i="5"/>
  <c r="AA123" i="5"/>
  <c r="AC123" i="5"/>
  <c r="AE123" i="5"/>
  <c r="AG123" i="5"/>
  <c r="B124" i="5"/>
  <c r="C124" i="5"/>
  <c r="E124" i="5"/>
  <c r="G124" i="5"/>
  <c r="I124" i="5"/>
  <c r="K124" i="5"/>
  <c r="M124" i="5"/>
  <c r="O124" i="5"/>
  <c r="Q124" i="5"/>
  <c r="S124" i="5"/>
  <c r="U124" i="5"/>
  <c r="W124" i="5"/>
  <c r="Y124" i="5"/>
  <c r="AA124" i="5"/>
  <c r="AC124" i="5"/>
  <c r="AE124" i="5"/>
  <c r="AG124" i="5"/>
  <c r="B125" i="5"/>
  <c r="C125" i="5"/>
  <c r="E125" i="5"/>
  <c r="G125" i="5"/>
  <c r="I125" i="5"/>
  <c r="K125" i="5"/>
  <c r="M125" i="5"/>
  <c r="O125" i="5"/>
  <c r="Q125" i="5"/>
  <c r="S125" i="5"/>
  <c r="U125" i="5"/>
  <c r="W125" i="5"/>
  <c r="Y125" i="5"/>
  <c r="AA125" i="5"/>
  <c r="AC125" i="5"/>
  <c r="AE125" i="5"/>
  <c r="AG125" i="5"/>
  <c r="B126" i="5"/>
  <c r="C126" i="5"/>
  <c r="E126" i="5"/>
  <c r="G126" i="5"/>
  <c r="I126" i="5"/>
  <c r="K126" i="5"/>
  <c r="M126" i="5"/>
  <c r="O126" i="5"/>
  <c r="Q126" i="5"/>
  <c r="S126" i="5"/>
  <c r="U126" i="5"/>
  <c r="W126" i="5"/>
  <c r="Y126" i="5"/>
  <c r="AA126" i="5"/>
  <c r="AC126" i="5"/>
  <c r="AE126" i="5"/>
  <c r="AG126" i="5"/>
  <c r="B127" i="5"/>
  <c r="C127" i="5"/>
  <c r="E127" i="5"/>
  <c r="G127" i="5"/>
  <c r="I127" i="5"/>
  <c r="K127" i="5"/>
  <c r="M127" i="5"/>
  <c r="O127" i="5"/>
  <c r="Q127" i="5"/>
  <c r="S127" i="5"/>
  <c r="U127" i="5"/>
  <c r="W127" i="5"/>
  <c r="Y127" i="5"/>
  <c r="AA127" i="5"/>
  <c r="AC127" i="5"/>
  <c r="AE127" i="5"/>
  <c r="AG127" i="5"/>
  <c r="B128" i="5"/>
  <c r="C128" i="5"/>
  <c r="E128" i="5"/>
  <c r="G128" i="5"/>
  <c r="I128" i="5"/>
  <c r="K128" i="5"/>
  <c r="M128" i="5"/>
  <c r="O128" i="5"/>
  <c r="Q128" i="5"/>
  <c r="S128" i="5"/>
  <c r="U128" i="5"/>
  <c r="W128" i="5"/>
  <c r="Y128" i="5"/>
  <c r="AA128" i="5"/>
  <c r="AC128" i="5"/>
  <c r="AE128" i="5"/>
  <c r="AG128" i="5"/>
  <c r="B129" i="5"/>
  <c r="C129" i="5"/>
  <c r="E129" i="5"/>
  <c r="G129" i="5"/>
  <c r="I129" i="5"/>
  <c r="K129" i="5"/>
  <c r="M129" i="5"/>
  <c r="O129" i="5"/>
  <c r="Q129" i="5"/>
  <c r="S129" i="5"/>
  <c r="U129" i="5"/>
  <c r="W129" i="5"/>
  <c r="Y129" i="5"/>
  <c r="AA129" i="5"/>
  <c r="AC129" i="5"/>
  <c r="AE129" i="5"/>
  <c r="AG129" i="5"/>
  <c r="B131" i="5"/>
  <c r="C131" i="5"/>
  <c r="E131" i="5"/>
  <c r="G131" i="5"/>
  <c r="I131" i="5"/>
  <c r="K131" i="5"/>
  <c r="M131" i="5"/>
  <c r="O131" i="5"/>
  <c r="Q131" i="5"/>
  <c r="S131" i="5"/>
  <c r="U131" i="5"/>
  <c r="W131" i="5"/>
  <c r="Y131" i="5"/>
  <c r="AA131" i="5"/>
  <c r="AC131" i="5"/>
  <c r="AE131" i="5"/>
  <c r="AG131" i="5"/>
  <c r="B132" i="5"/>
  <c r="C132" i="5"/>
  <c r="E132" i="5"/>
  <c r="I132" i="5"/>
  <c r="K132" i="5"/>
  <c r="M132" i="5"/>
  <c r="O132" i="5"/>
  <c r="Q132" i="5"/>
  <c r="S132" i="5"/>
  <c r="U132" i="5"/>
  <c r="W132" i="5"/>
  <c r="Y132" i="5"/>
  <c r="AA132" i="5"/>
  <c r="AC132" i="5"/>
  <c r="AE132" i="5"/>
  <c r="AG132" i="5"/>
  <c r="B133" i="5"/>
  <c r="C133" i="5"/>
  <c r="E133" i="5"/>
  <c r="I133" i="5"/>
  <c r="K133" i="5"/>
  <c r="M133" i="5"/>
  <c r="O133" i="5"/>
  <c r="Q133" i="5"/>
  <c r="S133" i="5"/>
  <c r="U133" i="5"/>
  <c r="W133" i="5"/>
  <c r="Y133" i="5"/>
  <c r="AA133" i="5"/>
  <c r="AC133" i="5"/>
  <c r="AE133" i="5"/>
  <c r="AG133" i="5"/>
  <c r="B134" i="5"/>
  <c r="C134" i="5"/>
  <c r="E134" i="5"/>
  <c r="G134" i="5"/>
  <c r="I134" i="5"/>
  <c r="K134" i="5"/>
  <c r="M134" i="5"/>
  <c r="O134" i="5"/>
  <c r="Q134" i="5"/>
  <c r="S134" i="5"/>
  <c r="U134" i="5"/>
  <c r="W134" i="5"/>
  <c r="Y134" i="5"/>
  <c r="AA134" i="5"/>
  <c r="AC134" i="5"/>
  <c r="AE134" i="5"/>
  <c r="AG134" i="5"/>
  <c r="B135" i="5"/>
  <c r="C135" i="5"/>
  <c r="E135" i="5"/>
  <c r="G135" i="5"/>
  <c r="I135" i="5"/>
  <c r="K135" i="5"/>
  <c r="M135" i="5"/>
  <c r="O135" i="5"/>
  <c r="Q135" i="5"/>
  <c r="S135" i="5"/>
  <c r="U135" i="5"/>
  <c r="W135" i="5"/>
  <c r="Y135" i="5"/>
  <c r="AA135" i="5"/>
  <c r="AC135" i="5"/>
  <c r="AE135" i="5"/>
  <c r="AG135" i="5"/>
  <c r="B136" i="5"/>
  <c r="C136" i="5"/>
  <c r="E136" i="5"/>
  <c r="G136" i="5"/>
  <c r="I136" i="5"/>
  <c r="K136" i="5"/>
  <c r="M136" i="5"/>
  <c r="O136" i="5"/>
  <c r="Q136" i="5"/>
  <c r="S136" i="5"/>
  <c r="U136" i="5"/>
  <c r="W136" i="5"/>
  <c r="Y136" i="5"/>
  <c r="AA136" i="5"/>
  <c r="AC136" i="5"/>
  <c r="AE136" i="5"/>
  <c r="AG136" i="5"/>
  <c r="B137" i="5"/>
  <c r="C137" i="5"/>
  <c r="E137" i="5"/>
  <c r="G137" i="5"/>
  <c r="I137" i="5"/>
  <c r="K137" i="5"/>
  <c r="M137" i="5"/>
  <c r="O137" i="5"/>
  <c r="Q137" i="5"/>
  <c r="S137" i="5"/>
  <c r="U137" i="5"/>
  <c r="W137" i="5"/>
  <c r="Y137" i="5"/>
  <c r="AA137" i="5"/>
  <c r="AC137" i="5"/>
  <c r="AE137" i="5"/>
  <c r="AG137" i="5"/>
  <c r="B139" i="5"/>
  <c r="C139" i="5"/>
  <c r="E139" i="5"/>
  <c r="G139" i="5"/>
  <c r="I139" i="5"/>
  <c r="K139" i="5"/>
  <c r="M139" i="5"/>
  <c r="O139" i="5"/>
  <c r="Q139" i="5"/>
  <c r="S139" i="5"/>
  <c r="U139" i="5"/>
  <c r="W139" i="5"/>
  <c r="Y139" i="5"/>
  <c r="AA139" i="5"/>
  <c r="AC139" i="5"/>
  <c r="AE139" i="5"/>
  <c r="AG139" i="5"/>
  <c r="B140" i="5"/>
  <c r="C140" i="5"/>
  <c r="E140" i="5"/>
  <c r="G140" i="5"/>
  <c r="I140" i="5"/>
  <c r="K140" i="5"/>
  <c r="M140" i="5"/>
  <c r="O140" i="5"/>
  <c r="Q140" i="5"/>
  <c r="S140" i="5"/>
  <c r="U140" i="5"/>
  <c r="W140" i="5"/>
  <c r="Y140" i="5"/>
  <c r="AA140" i="5"/>
  <c r="AC140" i="5"/>
  <c r="AE140" i="5"/>
  <c r="AG140" i="5"/>
  <c r="B141" i="5"/>
  <c r="C141" i="5"/>
  <c r="E141" i="5"/>
  <c r="G141" i="5"/>
  <c r="I141" i="5"/>
  <c r="K141" i="5"/>
  <c r="M141" i="5"/>
  <c r="O141" i="5"/>
  <c r="Q141" i="5"/>
  <c r="S141" i="5"/>
  <c r="U141" i="5"/>
  <c r="W141" i="5"/>
  <c r="Y141" i="5"/>
  <c r="AA141" i="5"/>
  <c r="AC141" i="5"/>
  <c r="AE141" i="5"/>
  <c r="AG141" i="5"/>
  <c r="B142" i="5"/>
  <c r="C142" i="5"/>
  <c r="E142" i="5"/>
  <c r="G142" i="5"/>
  <c r="I142" i="5"/>
  <c r="K142" i="5"/>
  <c r="M142" i="5"/>
  <c r="O142" i="5"/>
  <c r="Q142" i="5"/>
  <c r="S142" i="5"/>
  <c r="U142" i="5"/>
  <c r="W142" i="5"/>
  <c r="Y142" i="5"/>
  <c r="AA142" i="5"/>
  <c r="AC142" i="5"/>
  <c r="AE142" i="5"/>
  <c r="AG142" i="5"/>
  <c r="B143" i="5"/>
  <c r="C143" i="5"/>
  <c r="E143" i="5"/>
  <c r="G143" i="5"/>
  <c r="I143" i="5"/>
  <c r="K143" i="5"/>
  <c r="M143" i="5"/>
  <c r="O143" i="5"/>
  <c r="Q143" i="5"/>
  <c r="S143" i="5"/>
  <c r="U143" i="5"/>
  <c r="W143" i="5"/>
  <c r="Y143" i="5"/>
  <c r="AA143" i="5"/>
  <c r="AC143" i="5"/>
  <c r="AE143" i="5"/>
  <c r="AG143" i="5"/>
  <c r="B144" i="5"/>
  <c r="C144" i="5"/>
  <c r="E144" i="5"/>
  <c r="G144" i="5"/>
  <c r="I144" i="5"/>
  <c r="K144" i="5"/>
  <c r="M144" i="5"/>
  <c r="O144" i="5"/>
  <c r="Q144" i="5"/>
  <c r="S144" i="5"/>
  <c r="U144" i="5"/>
  <c r="W144" i="5"/>
  <c r="Y144" i="5"/>
  <c r="AA144" i="5"/>
  <c r="AC144" i="5"/>
  <c r="AE144" i="5"/>
  <c r="AG144" i="5"/>
  <c r="B146" i="5"/>
  <c r="C146" i="5"/>
  <c r="E146" i="5"/>
  <c r="G146" i="5"/>
  <c r="I146" i="5"/>
  <c r="K146" i="5"/>
  <c r="M146" i="5"/>
  <c r="O146" i="5"/>
  <c r="Q146" i="5"/>
  <c r="S146" i="5"/>
  <c r="U146" i="5"/>
  <c r="W146" i="5"/>
  <c r="Y146" i="5"/>
  <c r="AA146" i="5"/>
  <c r="AC146" i="5"/>
  <c r="AE146" i="5"/>
  <c r="AG146" i="5"/>
  <c r="B147" i="5"/>
  <c r="C147" i="5"/>
  <c r="E147" i="5"/>
  <c r="G147" i="5"/>
  <c r="I147" i="5"/>
  <c r="K147" i="5"/>
  <c r="M147" i="5"/>
  <c r="O147" i="5"/>
  <c r="Q147" i="5"/>
  <c r="S147" i="5"/>
  <c r="U147" i="5"/>
  <c r="W147" i="5"/>
  <c r="Y147" i="5"/>
  <c r="AA147" i="5"/>
  <c r="AC147" i="5"/>
  <c r="AE147" i="5"/>
  <c r="AG147" i="5"/>
  <c r="B148" i="5"/>
  <c r="C148" i="5"/>
  <c r="E148" i="5"/>
  <c r="G148" i="5"/>
  <c r="I148" i="5"/>
  <c r="K148" i="5"/>
  <c r="M148" i="5"/>
  <c r="O148" i="5"/>
  <c r="Q148" i="5"/>
  <c r="S148" i="5"/>
  <c r="U148" i="5"/>
  <c r="W148" i="5"/>
  <c r="Y148" i="5"/>
  <c r="AA148" i="5"/>
  <c r="AC148" i="5"/>
  <c r="AE148" i="5"/>
  <c r="AG148" i="5"/>
  <c r="B149" i="5"/>
  <c r="C149" i="5"/>
  <c r="E149" i="5"/>
  <c r="G149" i="5"/>
  <c r="I149" i="5"/>
  <c r="K149" i="5"/>
  <c r="M149" i="5"/>
  <c r="O149" i="5"/>
  <c r="Q149" i="5"/>
  <c r="S149" i="5"/>
  <c r="U149" i="5"/>
  <c r="W149" i="5"/>
  <c r="Y149" i="5"/>
  <c r="AA149" i="5"/>
  <c r="AC149" i="5"/>
  <c r="AE149" i="5"/>
  <c r="AG149" i="5"/>
  <c r="B150" i="5"/>
  <c r="C150" i="5"/>
  <c r="E150" i="5"/>
  <c r="G150" i="5"/>
  <c r="I150" i="5"/>
  <c r="K150" i="5"/>
  <c r="M150" i="5"/>
  <c r="O150" i="5"/>
  <c r="Q150" i="5"/>
  <c r="S150" i="5"/>
  <c r="U150" i="5"/>
  <c r="W150" i="5"/>
  <c r="Y150" i="5"/>
  <c r="AA150" i="5"/>
  <c r="AC150" i="5"/>
  <c r="AE150" i="5"/>
  <c r="AG150" i="5"/>
  <c r="B152" i="5"/>
  <c r="C152" i="5"/>
  <c r="E152" i="5"/>
  <c r="G152" i="5"/>
  <c r="I152" i="5"/>
  <c r="K152" i="5"/>
  <c r="M152" i="5"/>
  <c r="O152" i="5"/>
  <c r="Q152" i="5"/>
  <c r="S152" i="5"/>
  <c r="U152" i="5"/>
  <c r="W152" i="5"/>
  <c r="Y152" i="5"/>
  <c r="AA152" i="5"/>
  <c r="AC152" i="5"/>
  <c r="AE152" i="5"/>
  <c r="AG152" i="5"/>
  <c r="AI152" i="5"/>
  <c r="AK152" i="5"/>
  <c r="AM152" i="5"/>
  <c r="AO152" i="5"/>
  <c r="AQ152" i="5"/>
  <c r="B153" i="5"/>
  <c r="C153" i="5"/>
  <c r="E153" i="5"/>
  <c r="G153" i="5"/>
  <c r="I153" i="5"/>
  <c r="K153" i="5"/>
  <c r="M153" i="5"/>
  <c r="O153" i="5"/>
  <c r="Q153" i="5"/>
  <c r="S153" i="5"/>
  <c r="U153" i="5"/>
  <c r="W153" i="5"/>
  <c r="Y153" i="5"/>
  <c r="AA153" i="5"/>
  <c r="AC153" i="5"/>
  <c r="AE153" i="5"/>
  <c r="AG153" i="5"/>
  <c r="AI153" i="5"/>
  <c r="AK153" i="5"/>
  <c r="AM153" i="5"/>
  <c r="AO153" i="5"/>
  <c r="AQ153" i="5"/>
  <c r="B154" i="5"/>
  <c r="C154" i="5"/>
  <c r="E154" i="5"/>
  <c r="G154" i="5"/>
  <c r="I154" i="5"/>
  <c r="K154" i="5"/>
  <c r="M154" i="5"/>
  <c r="O154" i="5"/>
  <c r="Q154" i="5"/>
  <c r="S154" i="5"/>
  <c r="U154" i="5"/>
  <c r="W154" i="5"/>
  <c r="Y154" i="5"/>
  <c r="AA154" i="5"/>
  <c r="AC154" i="5"/>
  <c r="AE154" i="5"/>
  <c r="AG154" i="5"/>
  <c r="AI154" i="5"/>
  <c r="AK154" i="5"/>
  <c r="AM154" i="5"/>
  <c r="AO154" i="5"/>
  <c r="AQ154" i="5"/>
  <c r="B155" i="5"/>
  <c r="C155" i="5"/>
  <c r="E155" i="5"/>
  <c r="G155" i="5"/>
  <c r="I155" i="5"/>
  <c r="K155" i="5"/>
  <c r="M155" i="5"/>
  <c r="O155" i="5"/>
  <c r="Q155" i="5"/>
  <c r="S155" i="5"/>
  <c r="U155" i="5"/>
  <c r="W155" i="5"/>
  <c r="Y155" i="5"/>
  <c r="AA155" i="5"/>
  <c r="AC155" i="5"/>
  <c r="AE155" i="5"/>
  <c r="AG155" i="5"/>
  <c r="AI155" i="5"/>
  <c r="AK155" i="5"/>
  <c r="AM155" i="5"/>
  <c r="AO155" i="5"/>
  <c r="AQ155" i="5"/>
  <c r="B157" i="5"/>
  <c r="C157" i="5"/>
  <c r="E157" i="5"/>
  <c r="G157" i="5"/>
  <c r="I157" i="5"/>
  <c r="K157" i="5"/>
  <c r="M157" i="5"/>
  <c r="O157" i="5"/>
  <c r="Q157" i="5"/>
  <c r="S157" i="5"/>
  <c r="U157" i="5"/>
  <c r="W157" i="5"/>
  <c r="Y157" i="5"/>
  <c r="AA157" i="5"/>
  <c r="AC157" i="5"/>
  <c r="AE157" i="5"/>
  <c r="AG157" i="5"/>
  <c r="B158" i="5"/>
  <c r="C158" i="5"/>
  <c r="E158" i="5"/>
  <c r="G158" i="5"/>
  <c r="I158" i="5"/>
  <c r="K158" i="5"/>
  <c r="M158" i="5"/>
  <c r="O158" i="5"/>
  <c r="Q158" i="5"/>
  <c r="S158" i="5"/>
  <c r="U158" i="5"/>
  <c r="W158" i="5"/>
  <c r="Y158" i="5"/>
  <c r="AA158" i="5"/>
  <c r="AC158" i="5"/>
  <c r="AE158" i="5"/>
  <c r="AG158" i="5"/>
  <c r="B159" i="5"/>
  <c r="C159" i="5"/>
  <c r="E159" i="5"/>
  <c r="G159" i="5"/>
  <c r="I159" i="5"/>
  <c r="K159" i="5"/>
  <c r="M159" i="5"/>
  <c r="O159" i="5"/>
  <c r="Q159" i="5"/>
  <c r="S159" i="5"/>
  <c r="U159" i="5"/>
  <c r="W159" i="5"/>
  <c r="Y159" i="5"/>
  <c r="AA159" i="5"/>
  <c r="AC159" i="5"/>
  <c r="AE159" i="5"/>
  <c r="AG159" i="5"/>
  <c r="B161" i="5"/>
  <c r="C161" i="5"/>
  <c r="E161" i="5"/>
  <c r="G161" i="5"/>
  <c r="I161" i="5"/>
  <c r="K161" i="5"/>
  <c r="M161" i="5"/>
  <c r="O161" i="5"/>
  <c r="Q161" i="5"/>
  <c r="S161" i="5"/>
  <c r="U161" i="5"/>
  <c r="W161" i="5"/>
  <c r="Y161" i="5"/>
  <c r="AA161" i="5"/>
  <c r="AC161" i="5"/>
  <c r="AE161" i="5"/>
  <c r="AG161" i="5"/>
  <c r="AI161" i="5"/>
  <c r="AK161" i="5"/>
  <c r="AM161" i="5"/>
  <c r="AO161" i="5"/>
  <c r="AQ161" i="5"/>
  <c r="B162" i="5"/>
  <c r="C162" i="5"/>
  <c r="E162" i="5"/>
  <c r="G162" i="5"/>
  <c r="I162" i="5"/>
  <c r="K162" i="5"/>
  <c r="M162" i="5"/>
  <c r="O162" i="5"/>
  <c r="Q162" i="5"/>
  <c r="S162" i="5"/>
  <c r="U162" i="5"/>
  <c r="W162" i="5"/>
  <c r="Y162" i="5"/>
  <c r="AA162" i="5"/>
  <c r="AC162" i="5"/>
  <c r="AE162" i="5"/>
  <c r="AG162" i="5"/>
  <c r="AI162" i="5"/>
  <c r="AK162" i="5"/>
  <c r="AM162" i="5"/>
  <c r="AO162" i="5"/>
  <c r="AQ162" i="5"/>
  <c r="B164" i="5"/>
  <c r="C164" i="5"/>
  <c r="G164" i="5"/>
  <c r="I164" i="5"/>
  <c r="K164" i="5"/>
  <c r="M164" i="5"/>
  <c r="O164" i="5"/>
  <c r="Q164" i="5"/>
  <c r="S164" i="5"/>
  <c r="U164" i="5"/>
  <c r="W164" i="5"/>
  <c r="Y164" i="5"/>
  <c r="AA164" i="5"/>
  <c r="AC164" i="5"/>
  <c r="AE164" i="5"/>
  <c r="AG164" i="5"/>
  <c r="B57" i="5"/>
  <c r="C57" i="5"/>
  <c r="E57" i="5"/>
  <c r="G57" i="5"/>
  <c r="I57" i="5"/>
  <c r="K57" i="5"/>
  <c r="M57" i="5"/>
  <c r="O57" i="5"/>
  <c r="Q57" i="5"/>
  <c r="S57" i="5"/>
  <c r="U57" i="5"/>
  <c r="W57" i="5"/>
  <c r="Y57" i="5"/>
  <c r="AA57" i="5"/>
  <c r="AC57" i="5"/>
  <c r="AE57" i="5"/>
  <c r="AG57" i="5"/>
  <c r="AI57" i="5"/>
  <c r="AK57" i="5"/>
  <c r="AM57" i="5"/>
  <c r="AO57" i="5"/>
  <c r="AQ57" i="5"/>
  <c r="B58" i="5"/>
  <c r="C58" i="5"/>
  <c r="E58" i="5"/>
  <c r="G58" i="5"/>
  <c r="I58" i="5"/>
  <c r="K58" i="5"/>
  <c r="M58" i="5"/>
  <c r="O58" i="5"/>
  <c r="Q58" i="5"/>
  <c r="S58" i="5"/>
  <c r="U58" i="5"/>
  <c r="W58" i="5"/>
  <c r="Y58" i="5"/>
  <c r="AA58" i="5"/>
  <c r="AC58" i="5"/>
  <c r="AE58" i="5"/>
  <c r="AG58" i="5"/>
  <c r="AI58" i="5"/>
  <c r="AK58" i="5"/>
  <c r="AM58" i="5"/>
  <c r="AO58" i="5"/>
  <c r="AQ58" i="5"/>
  <c r="B59" i="5"/>
  <c r="C59" i="5"/>
  <c r="E59" i="5"/>
  <c r="G59" i="5"/>
  <c r="I59" i="5"/>
  <c r="K59" i="5"/>
  <c r="M59" i="5"/>
  <c r="O59" i="5"/>
  <c r="Q59" i="5"/>
  <c r="S59" i="5"/>
  <c r="U59" i="5"/>
  <c r="W59" i="5"/>
  <c r="Y59" i="5"/>
  <c r="AA59" i="5"/>
  <c r="AC59" i="5"/>
  <c r="AE59" i="5"/>
  <c r="AG59" i="5"/>
  <c r="AI59" i="5"/>
  <c r="AK59" i="5"/>
  <c r="AM59" i="5"/>
  <c r="AO59" i="5"/>
  <c r="AQ59" i="5"/>
  <c r="B60" i="5"/>
  <c r="C60" i="5"/>
  <c r="E60" i="5"/>
  <c r="G60" i="5"/>
  <c r="I60" i="5"/>
  <c r="K60" i="5"/>
  <c r="M60" i="5"/>
  <c r="O60" i="5"/>
  <c r="Q60" i="5"/>
  <c r="S60" i="5"/>
  <c r="U60" i="5"/>
  <c r="W60" i="5"/>
  <c r="Y60" i="5"/>
  <c r="AA60" i="5"/>
  <c r="AC60" i="5"/>
  <c r="AE60" i="5"/>
  <c r="AG60" i="5"/>
  <c r="AI60" i="5"/>
  <c r="AK60" i="5"/>
  <c r="AM60" i="5"/>
  <c r="AO60" i="5"/>
  <c r="AQ60" i="5"/>
  <c r="B61" i="5"/>
  <c r="C61" i="5"/>
  <c r="E61" i="5"/>
  <c r="G61" i="5"/>
  <c r="I61" i="5"/>
  <c r="K61" i="5"/>
  <c r="M61" i="5"/>
  <c r="O61" i="5"/>
  <c r="Q61" i="5"/>
  <c r="S61" i="5"/>
  <c r="U61" i="5"/>
  <c r="W61" i="5"/>
  <c r="Y61" i="5"/>
  <c r="AA61" i="5"/>
  <c r="AC61" i="5"/>
  <c r="AE61" i="5"/>
  <c r="AG61" i="5"/>
  <c r="AI61" i="5"/>
  <c r="AK61" i="5"/>
  <c r="AM61" i="5"/>
  <c r="AO61" i="5"/>
  <c r="AQ61" i="5"/>
  <c r="B62" i="5"/>
  <c r="C62" i="5"/>
  <c r="E62" i="5"/>
  <c r="G62" i="5"/>
  <c r="I62" i="5"/>
  <c r="K62" i="5"/>
  <c r="M62" i="5"/>
  <c r="O62" i="5"/>
  <c r="Q62" i="5"/>
  <c r="S62" i="5"/>
  <c r="U62" i="5"/>
  <c r="W62" i="5"/>
  <c r="Y62" i="5"/>
  <c r="AA62" i="5"/>
  <c r="AC62" i="5"/>
  <c r="AE62" i="5"/>
  <c r="AG62" i="5"/>
  <c r="AI62" i="5"/>
  <c r="AK62" i="5"/>
  <c r="AM62" i="5"/>
  <c r="AO62" i="5"/>
  <c r="AQ62" i="5"/>
  <c r="B63" i="5"/>
  <c r="C63" i="5"/>
  <c r="E63" i="5"/>
  <c r="G63" i="5"/>
  <c r="I63" i="5"/>
  <c r="K63" i="5"/>
  <c r="M63" i="5"/>
  <c r="O63" i="5"/>
  <c r="Q63" i="5"/>
  <c r="S63" i="5"/>
  <c r="U63" i="5"/>
  <c r="W63" i="5"/>
  <c r="Y63" i="5"/>
  <c r="AA63" i="5"/>
  <c r="AC63" i="5"/>
  <c r="AE63" i="5"/>
  <c r="AG63" i="5"/>
  <c r="AI63" i="5"/>
  <c r="AK63" i="5"/>
  <c r="AM63" i="5"/>
  <c r="AO63" i="5"/>
  <c r="AQ63" i="5"/>
  <c r="B64" i="5"/>
  <c r="C64" i="5"/>
  <c r="E64" i="5"/>
  <c r="G64" i="5"/>
  <c r="I64" i="5"/>
  <c r="K64" i="5"/>
  <c r="M64" i="5"/>
  <c r="O64" i="5"/>
  <c r="Q64" i="5"/>
  <c r="S64" i="5"/>
  <c r="U64" i="5"/>
  <c r="W64" i="5"/>
  <c r="Y64" i="5"/>
  <c r="AA64" i="5"/>
  <c r="AC64" i="5"/>
  <c r="AE64" i="5"/>
  <c r="AG64" i="5"/>
  <c r="AI64" i="5"/>
  <c r="AK64" i="5"/>
  <c r="AM64" i="5"/>
  <c r="AO64" i="5"/>
  <c r="AQ64" i="5"/>
  <c r="B65" i="5"/>
  <c r="C65" i="5"/>
  <c r="E65" i="5"/>
  <c r="G65" i="5"/>
  <c r="I65" i="5"/>
  <c r="K65" i="5"/>
  <c r="M65" i="5"/>
  <c r="O65" i="5"/>
  <c r="Q65" i="5"/>
  <c r="S65" i="5"/>
  <c r="U65" i="5"/>
  <c r="W65" i="5"/>
  <c r="Y65" i="5"/>
  <c r="AA65" i="5"/>
  <c r="AC65" i="5"/>
  <c r="AE65" i="5"/>
  <c r="AG65" i="5"/>
  <c r="AI65" i="5"/>
  <c r="AK65" i="5"/>
  <c r="AM65" i="5"/>
  <c r="AO65" i="5"/>
  <c r="AQ65" i="5"/>
  <c r="B67" i="5"/>
  <c r="C67" i="5"/>
  <c r="E67" i="5"/>
  <c r="G67" i="5"/>
  <c r="I67" i="5"/>
  <c r="K67" i="5"/>
  <c r="M67" i="5"/>
  <c r="O67" i="5"/>
  <c r="Q67" i="5"/>
  <c r="S67" i="5"/>
  <c r="U67" i="5"/>
  <c r="W67" i="5"/>
  <c r="Y67" i="5"/>
  <c r="AA67" i="5"/>
  <c r="AC67" i="5"/>
  <c r="AE67" i="5"/>
  <c r="AG67" i="5"/>
  <c r="B68" i="5"/>
  <c r="C68" i="5"/>
  <c r="E68" i="5"/>
  <c r="G68" i="5"/>
  <c r="I68" i="5"/>
  <c r="K68" i="5"/>
  <c r="M68" i="5"/>
  <c r="O68" i="5"/>
  <c r="Q68" i="5"/>
  <c r="S68" i="5"/>
  <c r="U68" i="5"/>
  <c r="W68" i="5"/>
  <c r="Y68" i="5"/>
  <c r="AA68" i="5"/>
  <c r="AC68" i="5"/>
  <c r="AE68" i="5"/>
  <c r="AG68" i="5"/>
  <c r="B69" i="5"/>
  <c r="C69" i="5"/>
  <c r="E69" i="5"/>
  <c r="G69" i="5"/>
  <c r="I69" i="5"/>
  <c r="K69" i="5"/>
  <c r="M69" i="5"/>
  <c r="O69" i="5"/>
  <c r="Q69" i="5"/>
  <c r="S69" i="5"/>
  <c r="U69" i="5"/>
  <c r="W69" i="5"/>
  <c r="Y69" i="5"/>
  <c r="AA69" i="5"/>
  <c r="AC69" i="5"/>
  <c r="AE69" i="5"/>
  <c r="AG69" i="5"/>
  <c r="B70" i="5"/>
  <c r="C70" i="5"/>
  <c r="E70" i="5"/>
  <c r="G70" i="5"/>
  <c r="I70" i="5"/>
  <c r="K70" i="5"/>
  <c r="M70" i="5"/>
  <c r="O70" i="5"/>
  <c r="Q70" i="5"/>
  <c r="S70" i="5"/>
  <c r="U70" i="5"/>
  <c r="W70" i="5"/>
  <c r="Y70" i="5"/>
  <c r="AA70" i="5"/>
  <c r="AC70" i="5"/>
  <c r="AE70" i="5"/>
  <c r="AG70" i="5"/>
  <c r="B71" i="5"/>
  <c r="C71" i="5"/>
  <c r="E71" i="5"/>
  <c r="G71" i="5"/>
  <c r="I71" i="5"/>
  <c r="K71" i="5"/>
  <c r="M71" i="5"/>
  <c r="O71" i="5"/>
  <c r="Q71" i="5"/>
  <c r="S71" i="5"/>
  <c r="U71" i="5"/>
  <c r="W71" i="5"/>
  <c r="Y71" i="5"/>
  <c r="AA71" i="5"/>
  <c r="AC71" i="5"/>
  <c r="AE71" i="5"/>
  <c r="AG71" i="5"/>
  <c r="B72" i="5"/>
  <c r="C72" i="5"/>
  <c r="E72" i="5"/>
  <c r="G72" i="5"/>
  <c r="I72" i="5"/>
  <c r="K72" i="5"/>
  <c r="M72" i="5"/>
  <c r="O72" i="5"/>
  <c r="Q72" i="5"/>
  <c r="S72" i="5"/>
  <c r="U72" i="5"/>
  <c r="W72" i="5"/>
  <c r="Y72" i="5"/>
  <c r="AA72" i="5"/>
  <c r="AC72" i="5"/>
  <c r="AE72" i="5"/>
  <c r="AG72" i="5"/>
  <c r="B73" i="5"/>
  <c r="C73" i="5"/>
  <c r="E73" i="5"/>
  <c r="G73" i="5"/>
  <c r="I73" i="5"/>
  <c r="K73" i="5"/>
  <c r="M73" i="5"/>
  <c r="O73" i="5"/>
  <c r="Q73" i="5"/>
  <c r="S73" i="5"/>
  <c r="U73" i="5"/>
  <c r="W73" i="5"/>
  <c r="Y73" i="5"/>
  <c r="AA73" i="5"/>
  <c r="AC73" i="5"/>
  <c r="AE73" i="5"/>
  <c r="AG73" i="5"/>
  <c r="B74" i="5"/>
  <c r="C74" i="5"/>
  <c r="E74" i="5"/>
  <c r="G74" i="5"/>
  <c r="I74" i="5"/>
  <c r="K74" i="5"/>
  <c r="M74" i="5"/>
  <c r="O74" i="5"/>
  <c r="Q74" i="5"/>
  <c r="S74" i="5"/>
  <c r="U74" i="5"/>
  <c r="W74" i="5"/>
  <c r="Y74" i="5"/>
  <c r="AA74" i="5"/>
  <c r="AC74" i="5"/>
  <c r="AE74" i="5"/>
  <c r="AG74" i="5"/>
  <c r="B76" i="5"/>
  <c r="C76" i="5"/>
  <c r="E76" i="5"/>
  <c r="G76" i="5"/>
  <c r="I76" i="5"/>
  <c r="K76" i="5"/>
  <c r="M76" i="5"/>
  <c r="O76" i="5"/>
  <c r="Q76" i="5"/>
  <c r="S76" i="5"/>
  <c r="U76" i="5"/>
  <c r="W76" i="5"/>
  <c r="Y76" i="5"/>
  <c r="AA76" i="5"/>
  <c r="AC76" i="5"/>
  <c r="AE76" i="5"/>
  <c r="AG76" i="5"/>
  <c r="B77" i="5"/>
  <c r="C77" i="5"/>
  <c r="E77" i="5"/>
  <c r="I77" i="5"/>
  <c r="K77" i="5"/>
  <c r="M77" i="5"/>
  <c r="O77" i="5"/>
  <c r="Q77" i="5"/>
  <c r="S77" i="5"/>
  <c r="U77" i="5"/>
  <c r="W77" i="5"/>
  <c r="Y77" i="5"/>
  <c r="AA77" i="5"/>
  <c r="AC77" i="5"/>
  <c r="AE77" i="5"/>
  <c r="AG77" i="5"/>
  <c r="B78" i="5"/>
  <c r="C78" i="5"/>
  <c r="E78" i="5"/>
  <c r="I78" i="5"/>
  <c r="K78" i="5"/>
  <c r="M78" i="5"/>
  <c r="O78" i="5"/>
  <c r="Q78" i="5"/>
  <c r="S78" i="5"/>
  <c r="U78" i="5"/>
  <c r="W78" i="5"/>
  <c r="Y78" i="5"/>
  <c r="AA78" i="5"/>
  <c r="AC78" i="5"/>
  <c r="AE78" i="5"/>
  <c r="AG78" i="5"/>
  <c r="B79" i="5"/>
  <c r="C79" i="5"/>
  <c r="E79" i="5"/>
  <c r="G79" i="5"/>
  <c r="I79" i="5"/>
  <c r="K79" i="5"/>
  <c r="M79" i="5"/>
  <c r="O79" i="5"/>
  <c r="Q79" i="5"/>
  <c r="S79" i="5"/>
  <c r="U79" i="5"/>
  <c r="W79" i="5"/>
  <c r="Y79" i="5"/>
  <c r="AA79" i="5"/>
  <c r="AC79" i="5"/>
  <c r="AE79" i="5"/>
  <c r="AG79" i="5"/>
  <c r="B80" i="5"/>
  <c r="C80" i="5"/>
  <c r="E80" i="5"/>
  <c r="G80" i="5"/>
  <c r="I80" i="5"/>
  <c r="K80" i="5"/>
  <c r="M80" i="5"/>
  <c r="O80" i="5"/>
  <c r="Q80" i="5"/>
  <c r="S80" i="5"/>
  <c r="U80" i="5"/>
  <c r="W80" i="5"/>
  <c r="Y80" i="5"/>
  <c r="AA80" i="5"/>
  <c r="AC80" i="5"/>
  <c r="AE80" i="5"/>
  <c r="AG80" i="5"/>
  <c r="B81" i="5"/>
  <c r="C81" i="5"/>
  <c r="E81" i="5"/>
  <c r="G81" i="5"/>
  <c r="I81" i="5"/>
  <c r="K81" i="5"/>
  <c r="M81" i="5"/>
  <c r="O81" i="5"/>
  <c r="Q81" i="5"/>
  <c r="S81" i="5"/>
  <c r="U81" i="5"/>
  <c r="W81" i="5"/>
  <c r="Y81" i="5"/>
  <c r="AA81" i="5"/>
  <c r="AC81" i="5"/>
  <c r="AE81" i="5"/>
  <c r="AG81" i="5"/>
  <c r="B82" i="5"/>
  <c r="C82" i="5"/>
  <c r="E82" i="5"/>
  <c r="G82" i="5"/>
  <c r="I82" i="5"/>
  <c r="K82" i="5"/>
  <c r="M82" i="5"/>
  <c r="O82" i="5"/>
  <c r="Q82" i="5"/>
  <c r="S82" i="5"/>
  <c r="U82" i="5"/>
  <c r="W82" i="5"/>
  <c r="Y82" i="5"/>
  <c r="AA82" i="5"/>
  <c r="AC82" i="5"/>
  <c r="AE82" i="5"/>
  <c r="AG82" i="5"/>
  <c r="C84" i="5"/>
  <c r="E84" i="5"/>
  <c r="G84" i="5"/>
  <c r="I84" i="5"/>
  <c r="K84" i="5"/>
  <c r="M84" i="5"/>
  <c r="O84" i="5"/>
  <c r="Q84" i="5"/>
  <c r="S84" i="5"/>
  <c r="U84" i="5"/>
  <c r="W84" i="5"/>
  <c r="Y84" i="5"/>
  <c r="AA84" i="5"/>
  <c r="AC84" i="5"/>
  <c r="AE84" i="5"/>
  <c r="AG84" i="5"/>
  <c r="C85" i="5"/>
  <c r="E85" i="5"/>
  <c r="G85" i="5"/>
  <c r="I85" i="5"/>
  <c r="K85" i="5"/>
  <c r="M85" i="5"/>
  <c r="O85" i="5"/>
  <c r="Q85" i="5"/>
  <c r="S85" i="5"/>
  <c r="U85" i="5"/>
  <c r="W85" i="5"/>
  <c r="Y85" i="5"/>
  <c r="AA85" i="5"/>
  <c r="AC85" i="5"/>
  <c r="AE85" i="5"/>
  <c r="AG85" i="5"/>
  <c r="C86" i="5"/>
  <c r="E86" i="5"/>
  <c r="G86" i="5"/>
  <c r="I86" i="5"/>
  <c r="K86" i="5"/>
  <c r="M86" i="5"/>
  <c r="O86" i="5"/>
  <c r="Q86" i="5"/>
  <c r="S86" i="5"/>
  <c r="U86" i="5"/>
  <c r="W86" i="5"/>
  <c r="Y86" i="5"/>
  <c r="AA86" i="5"/>
  <c r="AC86" i="5"/>
  <c r="AE86" i="5"/>
  <c r="AG86" i="5"/>
  <c r="C87" i="5"/>
  <c r="E87" i="5"/>
  <c r="G87" i="5"/>
  <c r="I87" i="5"/>
  <c r="K87" i="5"/>
  <c r="M87" i="5"/>
  <c r="O87" i="5"/>
  <c r="Q87" i="5"/>
  <c r="S87" i="5"/>
  <c r="U87" i="5"/>
  <c r="W87" i="5"/>
  <c r="Y87" i="5"/>
  <c r="AA87" i="5"/>
  <c r="AC87" i="5"/>
  <c r="AE87" i="5"/>
  <c r="AG87" i="5"/>
  <c r="C88" i="5"/>
  <c r="E88" i="5"/>
  <c r="G88" i="5"/>
  <c r="I88" i="5"/>
  <c r="K88" i="5"/>
  <c r="M88" i="5"/>
  <c r="O88" i="5"/>
  <c r="Q88" i="5"/>
  <c r="S88" i="5"/>
  <c r="U88" i="5"/>
  <c r="W88" i="5"/>
  <c r="Y88" i="5"/>
  <c r="AA88" i="5"/>
  <c r="AC88" i="5"/>
  <c r="AE88" i="5"/>
  <c r="AG88" i="5"/>
  <c r="C89" i="5"/>
  <c r="E89" i="5"/>
  <c r="G89" i="5"/>
  <c r="I89" i="5"/>
  <c r="K89" i="5"/>
  <c r="M89" i="5"/>
  <c r="O89" i="5"/>
  <c r="Q89" i="5"/>
  <c r="S89" i="5"/>
  <c r="U89" i="5"/>
  <c r="W89" i="5"/>
  <c r="Y89" i="5"/>
  <c r="AA89" i="5"/>
  <c r="AC89" i="5"/>
  <c r="AE89" i="5"/>
  <c r="AG89" i="5"/>
  <c r="C91" i="5"/>
  <c r="E91" i="5"/>
  <c r="G91" i="5"/>
  <c r="I91" i="5"/>
  <c r="K91" i="5"/>
  <c r="M91" i="5"/>
  <c r="O91" i="5"/>
  <c r="Q91" i="5"/>
  <c r="S91" i="5"/>
  <c r="U91" i="5"/>
  <c r="W91" i="5"/>
  <c r="Y91" i="5"/>
  <c r="AA91" i="5"/>
  <c r="AC91" i="5"/>
  <c r="AE91" i="5"/>
  <c r="AG91" i="5"/>
  <c r="C92" i="5"/>
  <c r="E92" i="5"/>
  <c r="G92" i="5"/>
  <c r="I92" i="5"/>
  <c r="K92" i="5"/>
  <c r="M92" i="5"/>
  <c r="O92" i="5"/>
  <c r="Q92" i="5"/>
  <c r="S92" i="5"/>
  <c r="U92" i="5"/>
  <c r="W92" i="5"/>
  <c r="Y92" i="5"/>
  <c r="AA92" i="5"/>
  <c r="AC92" i="5"/>
  <c r="AE92" i="5"/>
  <c r="AG92" i="5"/>
  <c r="C93" i="5"/>
  <c r="E93" i="5"/>
  <c r="G93" i="5"/>
  <c r="I93" i="5"/>
  <c r="K93" i="5"/>
  <c r="M93" i="5"/>
  <c r="O93" i="5"/>
  <c r="Q93" i="5"/>
  <c r="S93" i="5"/>
  <c r="U93" i="5"/>
  <c r="W93" i="5"/>
  <c r="Y93" i="5"/>
  <c r="AA93" i="5"/>
  <c r="AC93" i="5"/>
  <c r="AE93" i="5"/>
  <c r="AG93" i="5"/>
  <c r="C94" i="5"/>
  <c r="E94" i="5"/>
  <c r="G94" i="5"/>
  <c r="I94" i="5"/>
  <c r="K94" i="5"/>
  <c r="M94" i="5"/>
  <c r="O94" i="5"/>
  <c r="Q94" i="5"/>
  <c r="S94" i="5"/>
  <c r="U94" i="5"/>
  <c r="W94" i="5"/>
  <c r="Y94" i="5"/>
  <c r="AA94" i="5"/>
  <c r="AC94" i="5"/>
  <c r="AE94" i="5"/>
  <c r="AG94" i="5"/>
  <c r="C95" i="5"/>
  <c r="E95" i="5"/>
  <c r="G95" i="5"/>
  <c r="I95" i="5"/>
  <c r="K95" i="5"/>
  <c r="M95" i="5"/>
  <c r="O95" i="5"/>
  <c r="Q95" i="5"/>
  <c r="S95" i="5"/>
  <c r="U95" i="5"/>
  <c r="W95" i="5"/>
  <c r="Y95" i="5"/>
  <c r="AA95" i="5"/>
  <c r="AC95" i="5"/>
  <c r="AE95" i="5"/>
  <c r="AG95" i="5"/>
  <c r="C97" i="5"/>
  <c r="E97" i="5"/>
  <c r="G97" i="5"/>
  <c r="I97" i="5"/>
  <c r="K97" i="5"/>
  <c r="M97" i="5"/>
  <c r="O97" i="5"/>
  <c r="Q97" i="5"/>
  <c r="S97" i="5"/>
  <c r="U97" i="5"/>
  <c r="W97" i="5"/>
  <c r="Y97" i="5"/>
  <c r="AA97" i="5"/>
  <c r="AC97" i="5"/>
  <c r="AE97" i="5"/>
  <c r="AG97" i="5"/>
  <c r="AI97" i="5"/>
  <c r="AK97" i="5"/>
  <c r="AM97" i="5"/>
  <c r="AO97" i="5"/>
  <c r="AQ97" i="5"/>
  <c r="C98" i="5"/>
  <c r="E98" i="5"/>
  <c r="G98" i="5"/>
  <c r="I98" i="5"/>
  <c r="K98" i="5"/>
  <c r="M98" i="5"/>
  <c r="O98" i="5"/>
  <c r="Q98" i="5"/>
  <c r="S98" i="5"/>
  <c r="U98" i="5"/>
  <c r="W98" i="5"/>
  <c r="Y98" i="5"/>
  <c r="AA98" i="5"/>
  <c r="AC98" i="5"/>
  <c r="AE98" i="5"/>
  <c r="AG98" i="5"/>
  <c r="AI98" i="5"/>
  <c r="AK98" i="5"/>
  <c r="AM98" i="5"/>
  <c r="AO98" i="5"/>
  <c r="AQ98" i="5"/>
  <c r="C99" i="5"/>
  <c r="E99" i="5"/>
  <c r="G99" i="5"/>
  <c r="I99" i="5"/>
  <c r="K99" i="5"/>
  <c r="M99" i="5"/>
  <c r="O99" i="5"/>
  <c r="Q99" i="5"/>
  <c r="S99" i="5"/>
  <c r="U99" i="5"/>
  <c r="W99" i="5"/>
  <c r="Y99" i="5"/>
  <c r="AA99" i="5"/>
  <c r="AC99" i="5"/>
  <c r="AE99" i="5"/>
  <c r="AG99" i="5"/>
  <c r="AI99" i="5"/>
  <c r="AK99" i="5"/>
  <c r="AM99" i="5"/>
  <c r="AO99" i="5"/>
  <c r="AQ99" i="5"/>
  <c r="C100" i="5"/>
  <c r="E100" i="5"/>
  <c r="G100" i="5"/>
  <c r="I100" i="5"/>
  <c r="K100" i="5"/>
  <c r="M100" i="5"/>
  <c r="O100" i="5"/>
  <c r="Q100" i="5"/>
  <c r="S100" i="5"/>
  <c r="U100" i="5"/>
  <c r="W100" i="5"/>
  <c r="Y100" i="5"/>
  <c r="AA100" i="5"/>
  <c r="AC100" i="5"/>
  <c r="AE100" i="5"/>
  <c r="AG100" i="5"/>
  <c r="AI100" i="5"/>
  <c r="AK100" i="5"/>
  <c r="AM100" i="5"/>
  <c r="AO100" i="5"/>
  <c r="AQ100" i="5"/>
  <c r="C102" i="5"/>
  <c r="E102" i="5"/>
  <c r="G102" i="5"/>
  <c r="I102" i="5"/>
  <c r="K102" i="5"/>
  <c r="M102" i="5"/>
  <c r="O102" i="5"/>
  <c r="Q102" i="5"/>
  <c r="S102" i="5"/>
  <c r="U102" i="5"/>
  <c r="W102" i="5"/>
  <c r="Y102" i="5"/>
  <c r="AA102" i="5"/>
  <c r="AC102" i="5"/>
  <c r="AE102" i="5"/>
  <c r="AG102" i="5"/>
  <c r="C103" i="5"/>
  <c r="E103" i="5"/>
  <c r="G103" i="5"/>
  <c r="I103" i="5"/>
  <c r="K103" i="5"/>
  <c r="M103" i="5"/>
  <c r="O103" i="5"/>
  <c r="Q103" i="5"/>
  <c r="S103" i="5"/>
  <c r="U103" i="5"/>
  <c r="W103" i="5"/>
  <c r="Y103" i="5"/>
  <c r="AA103" i="5"/>
  <c r="AC103" i="5"/>
  <c r="AE103" i="5"/>
  <c r="AG103" i="5"/>
  <c r="C104" i="5"/>
  <c r="E104" i="5"/>
  <c r="G104" i="5"/>
  <c r="I104" i="5"/>
  <c r="K104" i="5"/>
  <c r="M104" i="5"/>
  <c r="O104" i="5"/>
  <c r="Q104" i="5"/>
  <c r="S104" i="5"/>
  <c r="U104" i="5"/>
  <c r="W104" i="5"/>
  <c r="Y104" i="5"/>
  <c r="AA104" i="5"/>
  <c r="AC104" i="5"/>
  <c r="AE104" i="5"/>
  <c r="AG104" i="5"/>
  <c r="C106" i="5"/>
  <c r="E106" i="5"/>
  <c r="G106" i="5"/>
  <c r="I106" i="5"/>
  <c r="K106" i="5"/>
  <c r="M106" i="5"/>
  <c r="O106" i="5"/>
  <c r="Q106" i="5"/>
  <c r="S106" i="5"/>
  <c r="U106" i="5"/>
  <c r="W106" i="5"/>
  <c r="Y106" i="5"/>
  <c r="AA106" i="5"/>
  <c r="AC106" i="5"/>
  <c r="AE106" i="5"/>
  <c r="AG106" i="5"/>
  <c r="AI106" i="5"/>
  <c r="AK106" i="5"/>
  <c r="AM106" i="5"/>
  <c r="AO106" i="5"/>
  <c r="AQ106" i="5"/>
  <c r="C107" i="5"/>
  <c r="E107" i="5"/>
  <c r="G107" i="5"/>
  <c r="I107" i="5"/>
  <c r="K107" i="5"/>
  <c r="M107" i="5"/>
  <c r="O107" i="5"/>
  <c r="Q107" i="5"/>
  <c r="S107" i="5"/>
  <c r="U107" i="5"/>
  <c r="W107" i="5"/>
  <c r="Y107" i="5"/>
  <c r="AA107" i="5"/>
  <c r="AC107" i="5"/>
  <c r="AE107" i="5"/>
  <c r="AG107" i="5"/>
  <c r="AI107" i="5"/>
  <c r="AK107" i="5"/>
  <c r="AM107" i="5"/>
  <c r="AO107" i="5"/>
  <c r="AQ107" i="5"/>
  <c r="C109" i="5"/>
  <c r="E109" i="5"/>
  <c r="G109" i="5"/>
  <c r="I109" i="5"/>
  <c r="K109" i="5"/>
  <c r="M109" i="5"/>
  <c r="O109" i="5"/>
  <c r="Q109" i="5"/>
  <c r="S109" i="5"/>
  <c r="U109" i="5"/>
  <c r="W109" i="5"/>
  <c r="Y109" i="5"/>
  <c r="AA109" i="5"/>
  <c r="AC109" i="5"/>
  <c r="AE109" i="5"/>
  <c r="AG109" i="5"/>
  <c r="Q54" i="5"/>
  <c r="Q51" i="5"/>
  <c r="Q52" i="5"/>
  <c r="Q47" i="5"/>
  <c r="Q49" i="5"/>
  <c r="Q48" i="5"/>
  <c r="Q42" i="5"/>
  <c r="Q45" i="5"/>
  <c r="Q44" i="5"/>
  <c r="Q43" i="5"/>
  <c r="Q40" i="5"/>
  <c r="Q39" i="5"/>
  <c r="Q38" i="5"/>
  <c r="Q37" i="5"/>
  <c r="Q36" i="5"/>
  <c r="Q29" i="5"/>
  <c r="Q34" i="5"/>
  <c r="Q33" i="5"/>
  <c r="Q32" i="5"/>
  <c r="Q31" i="5"/>
  <c r="Q30" i="5"/>
  <c r="Q21" i="5"/>
  <c r="Q27" i="5"/>
  <c r="Q26" i="5"/>
  <c r="Q25" i="5"/>
  <c r="Q24" i="5"/>
  <c r="Q23" i="5"/>
  <c r="Q22" i="5"/>
  <c r="Q12" i="5"/>
  <c r="Q19" i="5"/>
  <c r="Q18" i="5"/>
  <c r="Q17" i="5"/>
  <c r="Q16" i="5"/>
  <c r="Q15" i="5"/>
  <c r="Q14" i="5"/>
  <c r="Q13" i="5"/>
  <c r="Q10" i="5"/>
  <c r="Q9" i="5"/>
  <c r="Q8" i="5"/>
  <c r="Q7" i="5"/>
  <c r="Q6" i="5"/>
  <c r="Q5" i="5"/>
  <c r="Q4" i="5"/>
  <c r="Q3" i="5"/>
  <c r="Q2" i="5"/>
  <c r="O54" i="5"/>
  <c r="O51" i="5"/>
  <c r="O52" i="5"/>
  <c r="O49" i="5"/>
  <c r="O48" i="5"/>
  <c r="O47" i="5"/>
  <c r="O42" i="5"/>
  <c r="O45" i="5"/>
  <c r="O44" i="5"/>
  <c r="O43" i="5"/>
  <c r="O36" i="5"/>
  <c r="O40" i="5"/>
  <c r="O39" i="5"/>
  <c r="O38" i="5"/>
  <c r="O37" i="5"/>
  <c r="O29" i="5"/>
  <c r="O34" i="5"/>
  <c r="O33" i="5"/>
  <c r="O32" i="5"/>
  <c r="O31" i="5"/>
  <c r="O30" i="5"/>
  <c r="O21" i="5"/>
  <c r="O27" i="5"/>
  <c r="O26" i="5"/>
  <c r="O25" i="5"/>
  <c r="O24" i="5"/>
  <c r="O23" i="5"/>
  <c r="O22" i="5"/>
  <c r="O12" i="5"/>
  <c r="O19" i="5"/>
  <c r="O18" i="5"/>
  <c r="O17" i="5"/>
  <c r="O16" i="5"/>
  <c r="O15" i="5"/>
  <c r="O14" i="5"/>
  <c r="O13" i="5"/>
  <c r="O2" i="5"/>
  <c r="O10" i="5"/>
  <c r="O9" i="5"/>
  <c r="O8" i="5"/>
  <c r="O7" i="5"/>
  <c r="O6" i="5"/>
  <c r="O5" i="5"/>
  <c r="O4" i="5"/>
  <c r="O3" i="5"/>
  <c r="M54" i="5"/>
  <c r="M51" i="5"/>
  <c r="M52" i="5"/>
  <c r="M47" i="5"/>
  <c r="M49" i="5"/>
  <c r="M48" i="5"/>
  <c r="M42" i="5"/>
  <c r="M45" i="5"/>
  <c r="M44" i="5"/>
  <c r="M43" i="5"/>
  <c r="M36" i="5"/>
  <c r="M40" i="5"/>
  <c r="M39" i="5"/>
  <c r="M38" i="5"/>
  <c r="M37" i="5"/>
  <c r="M29" i="5"/>
  <c r="M34" i="5"/>
  <c r="M33" i="5"/>
  <c r="M32" i="5"/>
  <c r="M31" i="5"/>
  <c r="M30" i="5"/>
  <c r="M27" i="5"/>
  <c r="M26" i="5"/>
  <c r="M25" i="5"/>
  <c r="M24" i="5"/>
  <c r="M23" i="5"/>
  <c r="M22" i="5"/>
  <c r="M21" i="5"/>
  <c r="M12" i="5"/>
  <c r="M19" i="5"/>
  <c r="M18" i="5"/>
  <c r="M17" i="5"/>
  <c r="M16" i="5"/>
  <c r="M15" i="5"/>
  <c r="M14" i="5"/>
  <c r="M13" i="5"/>
  <c r="M10" i="5"/>
  <c r="M9" i="5"/>
  <c r="M8" i="5"/>
  <c r="M7" i="5"/>
  <c r="M6" i="5"/>
  <c r="M5" i="5"/>
  <c r="M4" i="5"/>
  <c r="M3" i="5"/>
  <c r="M2" i="5"/>
  <c r="K54" i="5"/>
  <c r="K52" i="5"/>
  <c r="K51" i="5"/>
  <c r="K47" i="5"/>
  <c r="K49" i="5"/>
  <c r="K48" i="5"/>
  <c r="K42" i="5"/>
  <c r="K45" i="5"/>
  <c r="K44" i="5"/>
  <c r="K43" i="5"/>
  <c r="K36" i="5"/>
  <c r="K40" i="5"/>
  <c r="K39" i="5"/>
  <c r="K38" i="5"/>
  <c r="K37" i="5"/>
  <c r="K29" i="5"/>
  <c r="K34" i="5"/>
  <c r="K33" i="5"/>
  <c r="K32" i="5"/>
  <c r="K31" i="5"/>
  <c r="K30" i="5"/>
  <c r="K21" i="5"/>
  <c r="K27" i="5"/>
  <c r="K26" i="5"/>
  <c r="K25" i="5"/>
  <c r="K24" i="5"/>
  <c r="K23" i="5"/>
  <c r="K22" i="5"/>
  <c r="K12" i="5"/>
  <c r="K19" i="5"/>
  <c r="K18" i="5"/>
  <c r="K17" i="5"/>
  <c r="K16" i="5"/>
  <c r="K15" i="5"/>
  <c r="K14" i="5"/>
  <c r="K13" i="5"/>
  <c r="K10" i="5"/>
  <c r="K9" i="5"/>
  <c r="K8" i="5"/>
  <c r="K7" i="5"/>
  <c r="K6" i="5"/>
  <c r="K5" i="5"/>
  <c r="K4" i="5"/>
  <c r="K3" i="5"/>
  <c r="K2" i="5"/>
  <c r="AQ51" i="5"/>
  <c r="AQ52" i="5"/>
  <c r="AQ42" i="5"/>
  <c r="AQ45" i="5"/>
  <c r="AQ44" i="5"/>
  <c r="AQ43" i="5"/>
  <c r="AQ10" i="5"/>
  <c r="AQ9" i="5"/>
  <c r="AQ8" i="5"/>
  <c r="AQ7" i="5"/>
  <c r="AQ6" i="5"/>
  <c r="AQ5" i="5"/>
  <c r="AQ4" i="5"/>
  <c r="AQ3" i="5"/>
  <c r="AQ2" i="5"/>
  <c r="AO51" i="5"/>
  <c r="AO52" i="5"/>
  <c r="AO42" i="5"/>
  <c r="AO45" i="5"/>
  <c r="AO44" i="5"/>
  <c r="AO43" i="5"/>
  <c r="AO2" i="5"/>
  <c r="AO10" i="5"/>
  <c r="AO9" i="5"/>
  <c r="AO8" i="5"/>
  <c r="AO7" i="5"/>
  <c r="AO6" i="5"/>
  <c r="AO5" i="5"/>
  <c r="AO4" i="5"/>
  <c r="AO3" i="5"/>
  <c r="AM51" i="5"/>
  <c r="AM52" i="5"/>
  <c r="AM42" i="5"/>
  <c r="AM45" i="5"/>
  <c r="AM44" i="5"/>
  <c r="AM43" i="5"/>
  <c r="AM2" i="5"/>
  <c r="AM10" i="5"/>
  <c r="AM9" i="5"/>
  <c r="AM8" i="5"/>
  <c r="AM7" i="5"/>
  <c r="AM6" i="5"/>
  <c r="AM5" i="5"/>
  <c r="AM4" i="5"/>
  <c r="AM3" i="5"/>
  <c r="AK51" i="5"/>
  <c r="AK52" i="5"/>
  <c r="AK45" i="5"/>
  <c r="AK44" i="5"/>
  <c r="AK43" i="5"/>
  <c r="AK42" i="5"/>
  <c r="AK2" i="5"/>
  <c r="AK10" i="5"/>
  <c r="AK9" i="5"/>
  <c r="AK8" i="5"/>
  <c r="AK7" i="5"/>
  <c r="AK6" i="5"/>
  <c r="AK5" i="5"/>
  <c r="AK4" i="5"/>
  <c r="AK3" i="5"/>
  <c r="AI51" i="5"/>
  <c r="AI52" i="5"/>
  <c r="AI43" i="5"/>
  <c r="AI42" i="5"/>
  <c r="AI45" i="5"/>
  <c r="AI44" i="5"/>
  <c r="AI2" i="5"/>
  <c r="AI10" i="5"/>
  <c r="AI9" i="5"/>
  <c r="AI8" i="5"/>
  <c r="AI7" i="5"/>
  <c r="AI6" i="5"/>
  <c r="AI5" i="5"/>
  <c r="AI4" i="5"/>
  <c r="AI3" i="5"/>
  <c r="AG54" i="5"/>
  <c r="AG51" i="5"/>
  <c r="AG52" i="5"/>
  <c r="AG47" i="5"/>
  <c r="AG49" i="5"/>
  <c r="AG48" i="5"/>
  <c r="AG42" i="5"/>
  <c r="AG45" i="5"/>
  <c r="AG44" i="5"/>
  <c r="AG43" i="5"/>
  <c r="AG36" i="5"/>
  <c r="AG40" i="5"/>
  <c r="AG39" i="5"/>
  <c r="AG38" i="5"/>
  <c r="AG37" i="5"/>
  <c r="AG34" i="5"/>
  <c r="AG33" i="5"/>
  <c r="AG32" i="5"/>
  <c r="AG31" i="5"/>
  <c r="AG30" i="5"/>
  <c r="AG21" i="5"/>
  <c r="AG27" i="5"/>
  <c r="AG26" i="5"/>
  <c r="AG25" i="5"/>
  <c r="AG24" i="5"/>
  <c r="AG23" i="5"/>
  <c r="AG22" i="5"/>
  <c r="AG12" i="5"/>
  <c r="AG19" i="5"/>
  <c r="AG18" i="5"/>
  <c r="AG17" i="5"/>
  <c r="AG16" i="5"/>
  <c r="AG15" i="5"/>
  <c r="AG14" i="5"/>
  <c r="AG13" i="5"/>
  <c r="AG2" i="5"/>
  <c r="AG10" i="5"/>
  <c r="AG9" i="5"/>
  <c r="AG8" i="5"/>
  <c r="AG7" i="5"/>
  <c r="AG6" i="5"/>
  <c r="AG5" i="5"/>
  <c r="AG4" i="5"/>
  <c r="AG3" i="5"/>
  <c r="AE54" i="5"/>
  <c r="AE51" i="5"/>
  <c r="AE52" i="5"/>
  <c r="AE47" i="5"/>
  <c r="AE49" i="5"/>
  <c r="AE48" i="5"/>
  <c r="AE42" i="5"/>
  <c r="AE45" i="5"/>
  <c r="AE44" i="5"/>
  <c r="AE43" i="5"/>
  <c r="AE37" i="5"/>
  <c r="AE36" i="5"/>
  <c r="AE40" i="5"/>
  <c r="AE39" i="5"/>
  <c r="AE38" i="5"/>
  <c r="AE29" i="5"/>
  <c r="AE34" i="5"/>
  <c r="AE33" i="5"/>
  <c r="AE32" i="5"/>
  <c r="AE31" i="5"/>
  <c r="AE30" i="5"/>
  <c r="AE21" i="5"/>
  <c r="AE27" i="5"/>
  <c r="AE26" i="5"/>
  <c r="AE25" i="5"/>
  <c r="AE24" i="5"/>
  <c r="AE23" i="5"/>
  <c r="AE22" i="5"/>
  <c r="AE12" i="5"/>
  <c r="AE19" i="5"/>
  <c r="AE18" i="5"/>
  <c r="AE17" i="5"/>
  <c r="AE16" i="5"/>
  <c r="AE15" i="5"/>
  <c r="AE14" i="5"/>
  <c r="AE13" i="5"/>
  <c r="AE2" i="5"/>
  <c r="AE10" i="5"/>
  <c r="AE9" i="5"/>
  <c r="AE8" i="5"/>
  <c r="AE7" i="5"/>
  <c r="AE6" i="5"/>
  <c r="AE5" i="5"/>
  <c r="AE4" i="5"/>
  <c r="AE3" i="5"/>
  <c r="AC54" i="5"/>
  <c r="AC51" i="5"/>
  <c r="AC52" i="5"/>
  <c r="AC47" i="5"/>
  <c r="AC49" i="5"/>
  <c r="AC48" i="5"/>
  <c r="AC42" i="5"/>
  <c r="AC45" i="5"/>
  <c r="AC44" i="5"/>
  <c r="AC43" i="5"/>
  <c r="AC36" i="5"/>
  <c r="AC40" i="5"/>
  <c r="AC39" i="5"/>
  <c r="AC38" i="5"/>
  <c r="AC37" i="5"/>
  <c r="AC29" i="5"/>
  <c r="AC34" i="5"/>
  <c r="AC33" i="5"/>
  <c r="AC32" i="5"/>
  <c r="AC31" i="5"/>
  <c r="AC30" i="5"/>
  <c r="AC21" i="5"/>
  <c r="AC27" i="5"/>
  <c r="AC26" i="5"/>
  <c r="AC25" i="5"/>
  <c r="AC24" i="5"/>
  <c r="AC23" i="5"/>
  <c r="AC22" i="5"/>
  <c r="AC12" i="5"/>
  <c r="AC19" i="5"/>
  <c r="AC18" i="5"/>
  <c r="AC17" i="5"/>
  <c r="AC16" i="5"/>
  <c r="AC15" i="5"/>
  <c r="AC14" i="5"/>
  <c r="AC13" i="5"/>
  <c r="AC2" i="5"/>
  <c r="AC10" i="5"/>
  <c r="AC9" i="5"/>
  <c r="AC8" i="5"/>
  <c r="AC7" i="5"/>
  <c r="AC6" i="5"/>
  <c r="AC5" i="5"/>
  <c r="AC4" i="5"/>
  <c r="AC3" i="5"/>
  <c r="AA54" i="5"/>
  <c r="AA51" i="5"/>
  <c r="AA52" i="5"/>
  <c r="AA47" i="5"/>
  <c r="AA49" i="5"/>
  <c r="AA48" i="5"/>
  <c r="AA42" i="5"/>
  <c r="AA45" i="5"/>
  <c r="AA44" i="5"/>
  <c r="AA43" i="5"/>
  <c r="AA36" i="5"/>
  <c r="AA40" i="5"/>
  <c r="AA39" i="5"/>
  <c r="AA38" i="5"/>
  <c r="AA37" i="5"/>
  <c r="AA32" i="5"/>
  <c r="AA31" i="5"/>
  <c r="AA30" i="5"/>
  <c r="AA29" i="5"/>
  <c r="AA34" i="5"/>
  <c r="AA33" i="5"/>
  <c r="AA21" i="5"/>
  <c r="AA27" i="5"/>
  <c r="AA26" i="5"/>
  <c r="AA25" i="5"/>
  <c r="AA24" i="5"/>
  <c r="AA23" i="5"/>
  <c r="AA22" i="5"/>
  <c r="AA19" i="5"/>
  <c r="AA12" i="5"/>
  <c r="AA18" i="5"/>
  <c r="AA17" i="5"/>
  <c r="AA16" i="5"/>
  <c r="AA15" i="5"/>
  <c r="AA14" i="5"/>
  <c r="AA13" i="5"/>
  <c r="AA2" i="5"/>
  <c r="AA10" i="5"/>
  <c r="AA9" i="5"/>
  <c r="AA8" i="5"/>
  <c r="AA7" i="5"/>
  <c r="AA6" i="5"/>
  <c r="AA5" i="5"/>
  <c r="AA4" i="5"/>
  <c r="AA3" i="5"/>
  <c r="Y54" i="5"/>
  <c r="Y52" i="5"/>
  <c r="Y51" i="5"/>
  <c r="Y47" i="5"/>
  <c r="Y49" i="5"/>
  <c r="Y48" i="5"/>
  <c r="Y42" i="5"/>
  <c r="Y45" i="5"/>
  <c r="Y44" i="5"/>
  <c r="Y43" i="5"/>
  <c r="Y36" i="5"/>
  <c r="Y40" i="5"/>
  <c r="Y39" i="5"/>
  <c r="Y38" i="5"/>
  <c r="Y37" i="5"/>
  <c r="Y29" i="5"/>
  <c r="Y34" i="5"/>
  <c r="Y33" i="5"/>
  <c r="Y32" i="5"/>
  <c r="Y31" i="5"/>
  <c r="Y30" i="5"/>
  <c r="Y21" i="5"/>
  <c r="Y27" i="5"/>
  <c r="Y26" i="5"/>
  <c r="Y25" i="5"/>
  <c r="Y24" i="5"/>
  <c r="Y23" i="5"/>
  <c r="Y22" i="5"/>
  <c r="Y12" i="5"/>
  <c r="Y19" i="5"/>
  <c r="Y18" i="5"/>
  <c r="Y17" i="5"/>
  <c r="Y16" i="5"/>
  <c r="Y15" i="5"/>
  <c r="Y14" i="5"/>
  <c r="Y13" i="5"/>
  <c r="Y10" i="5"/>
  <c r="Y9" i="5"/>
  <c r="Y8" i="5"/>
  <c r="Y7" i="5"/>
  <c r="Y6" i="5"/>
  <c r="Y5" i="5"/>
  <c r="Y4" i="5"/>
  <c r="Y3" i="5"/>
  <c r="Y2" i="5"/>
  <c r="W54" i="5"/>
  <c r="W52" i="5"/>
  <c r="W51" i="5"/>
  <c r="W47" i="5"/>
  <c r="W49" i="5"/>
  <c r="W48" i="5"/>
  <c r="W42" i="5"/>
  <c r="W45" i="5"/>
  <c r="W44" i="5"/>
  <c r="W43" i="5"/>
  <c r="W36" i="5"/>
  <c r="W40" i="5"/>
  <c r="W39" i="5"/>
  <c r="W38" i="5"/>
  <c r="W37" i="5"/>
  <c r="W29" i="5"/>
  <c r="W34" i="5"/>
  <c r="W33" i="5"/>
  <c r="W32" i="5"/>
  <c r="W31" i="5"/>
  <c r="W30" i="5"/>
  <c r="W21" i="5"/>
  <c r="W27" i="5"/>
  <c r="W26" i="5"/>
  <c r="W25" i="5"/>
  <c r="W24" i="5"/>
  <c r="W23" i="5"/>
  <c r="W22" i="5"/>
  <c r="W12" i="5"/>
  <c r="W19" i="5"/>
  <c r="W18" i="5"/>
  <c r="W17" i="5"/>
  <c r="W16" i="5"/>
  <c r="W15" i="5"/>
  <c r="W14" i="5"/>
  <c r="W13" i="5"/>
  <c r="W10" i="5"/>
  <c r="W9" i="5"/>
  <c r="W8" i="5"/>
  <c r="W7" i="5"/>
  <c r="W6" i="5"/>
  <c r="W5" i="5"/>
  <c r="W4" i="5"/>
  <c r="W3" i="5"/>
  <c r="W2" i="5"/>
  <c r="U54" i="5"/>
  <c r="U51" i="5"/>
  <c r="U52" i="5"/>
  <c r="U47" i="5"/>
  <c r="U49" i="5"/>
  <c r="U48" i="5"/>
  <c r="U42" i="5"/>
  <c r="U45" i="5"/>
  <c r="U44" i="5"/>
  <c r="U43" i="5"/>
  <c r="U36" i="5"/>
  <c r="U40" i="5"/>
  <c r="U39" i="5"/>
  <c r="U38" i="5"/>
  <c r="U37" i="5"/>
  <c r="U29" i="5"/>
  <c r="U34" i="5"/>
  <c r="U33" i="5"/>
  <c r="U32" i="5"/>
  <c r="U31" i="5"/>
  <c r="U30" i="5"/>
  <c r="U21" i="5"/>
  <c r="U27" i="5"/>
  <c r="U26" i="5"/>
  <c r="U25" i="5"/>
  <c r="U24" i="5"/>
  <c r="U23" i="5"/>
  <c r="U22" i="5"/>
  <c r="U12" i="5"/>
  <c r="U19" i="5"/>
  <c r="U18" i="5"/>
  <c r="U17" i="5"/>
  <c r="U16" i="5"/>
  <c r="U15" i="5"/>
  <c r="U14" i="5"/>
  <c r="U13" i="5"/>
  <c r="U10" i="5"/>
  <c r="U9" i="5"/>
  <c r="U8" i="5"/>
  <c r="U7" i="5"/>
  <c r="U6" i="5"/>
  <c r="U5" i="5"/>
  <c r="U4" i="5"/>
  <c r="U3" i="5"/>
  <c r="U2" i="5"/>
  <c r="S54" i="5"/>
  <c r="S51" i="5"/>
  <c r="S52" i="5"/>
  <c r="S47" i="5"/>
  <c r="S49" i="5"/>
  <c r="S48" i="5"/>
  <c r="S42" i="5"/>
  <c r="S45" i="5"/>
  <c r="S44" i="5"/>
  <c r="S43" i="5"/>
  <c r="S36" i="5"/>
  <c r="S40" i="5"/>
  <c r="S39" i="5"/>
  <c r="S38" i="5"/>
  <c r="S37" i="5"/>
  <c r="S30" i="5"/>
  <c r="S29" i="5"/>
  <c r="S34" i="5"/>
  <c r="S33" i="5"/>
  <c r="S32" i="5"/>
  <c r="S31" i="5"/>
  <c r="S21" i="5"/>
  <c r="S27" i="5"/>
  <c r="S26" i="5"/>
  <c r="S25" i="5"/>
  <c r="S24" i="5"/>
  <c r="S23" i="5"/>
  <c r="S22" i="5"/>
  <c r="S12" i="5"/>
  <c r="S19" i="5"/>
  <c r="S18" i="5"/>
  <c r="S17" i="5"/>
  <c r="S16" i="5"/>
  <c r="S15" i="5"/>
  <c r="S14" i="5"/>
  <c r="S13" i="5"/>
  <c r="S2" i="5"/>
  <c r="S10" i="5"/>
  <c r="S9" i="5"/>
  <c r="S8" i="5"/>
  <c r="S7" i="5"/>
  <c r="S6" i="5"/>
  <c r="S5" i="5"/>
  <c r="S4" i="5"/>
  <c r="S3" i="5"/>
  <c r="I54" i="5"/>
  <c r="I52" i="5"/>
  <c r="I51" i="5"/>
  <c r="I47" i="5"/>
  <c r="I49" i="5"/>
  <c r="I48" i="5"/>
  <c r="I42" i="5"/>
  <c r="I45" i="5"/>
  <c r="I44" i="5"/>
  <c r="I43" i="5"/>
  <c r="I36" i="5"/>
  <c r="I40" i="5"/>
  <c r="I39" i="5"/>
  <c r="I38" i="5"/>
  <c r="I37" i="5"/>
  <c r="I29" i="5"/>
  <c r="I34" i="5"/>
  <c r="I33" i="5"/>
  <c r="I32" i="5"/>
  <c r="I31" i="5"/>
  <c r="I30" i="5"/>
  <c r="I21" i="5"/>
  <c r="I27" i="5"/>
  <c r="I26" i="5"/>
  <c r="I25" i="5"/>
  <c r="I24" i="5"/>
  <c r="I23" i="5"/>
  <c r="I22" i="5"/>
  <c r="I18" i="5"/>
  <c r="I19" i="5"/>
  <c r="I17" i="5"/>
  <c r="I16" i="5"/>
  <c r="I15" i="5"/>
  <c r="I14" i="5"/>
  <c r="I13" i="5"/>
  <c r="I12" i="5"/>
  <c r="I10" i="5"/>
  <c r="I9" i="5"/>
  <c r="I8" i="5"/>
  <c r="I7" i="5"/>
  <c r="I6" i="5"/>
  <c r="I5" i="5"/>
  <c r="I4" i="5"/>
  <c r="I3" i="5"/>
  <c r="I2" i="5"/>
  <c r="G54" i="5"/>
  <c r="G51" i="5"/>
  <c r="G52" i="5"/>
  <c r="G47" i="5"/>
  <c r="G49" i="5"/>
  <c r="G48" i="5"/>
  <c r="G43" i="5"/>
  <c r="G45" i="5"/>
  <c r="G44" i="5"/>
  <c r="G42" i="5"/>
  <c r="G36" i="5"/>
  <c r="G40" i="5"/>
  <c r="G39" i="5"/>
  <c r="G38" i="5"/>
  <c r="G37" i="5"/>
  <c r="G29" i="5"/>
  <c r="G34" i="5"/>
  <c r="G33" i="5"/>
  <c r="G32" i="5"/>
  <c r="G31" i="5"/>
  <c r="G30" i="5"/>
  <c r="G25" i="5"/>
  <c r="G26" i="5"/>
  <c r="G27" i="5"/>
  <c r="G24" i="5"/>
  <c r="G21" i="5"/>
  <c r="G19" i="5"/>
  <c r="G18" i="5"/>
  <c r="G17" i="5"/>
  <c r="G16" i="5"/>
  <c r="G15" i="5"/>
  <c r="G14" i="5"/>
  <c r="G13" i="5"/>
  <c r="G12" i="5"/>
  <c r="G10" i="5"/>
  <c r="G9" i="5"/>
  <c r="G8" i="5"/>
  <c r="G7" i="5"/>
  <c r="G6" i="5"/>
  <c r="G5" i="5"/>
  <c r="G4" i="5"/>
  <c r="G3" i="5"/>
  <c r="G2" i="5"/>
  <c r="E54" i="5"/>
  <c r="E52" i="5"/>
  <c r="E51" i="5"/>
  <c r="E49" i="5"/>
  <c r="E48" i="5"/>
  <c r="E47" i="5"/>
  <c r="E45" i="5"/>
  <c r="E44" i="5"/>
  <c r="E43" i="5"/>
  <c r="E42" i="5"/>
  <c r="E40" i="5"/>
  <c r="E39" i="5"/>
  <c r="E38" i="5"/>
  <c r="E37" i="5"/>
  <c r="E36" i="5"/>
  <c r="E29" i="5"/>
  <c r="E34" i="5"/>
  <c r="E33" i="5"/>
  <c r="E32" i="5"/>
  <c r="E31" i="5"/>
  <c r="E30" i="5"/>
  <c r="E21" i="5"/>
  <c r="E27" i="5"/>
  <c r="E26" i="5"/>
  <c r="E25" i="5"/>
  <c r="E24" i="5"/>
  <c r="E23" i="5"/>
  <c r="E22" i="5"/>
  <c r="E19" i="5"/>
  <c r="E18" i="5"/>
  <c r="E17" i="5"/>
  <c r="E16" i="5"/>
  <c r="E15" i="5"/>
  <c r="E14" i="5"/>
  <c r="E13" i="5"/>
  <c r="E12" i="5"/>
  <c r="E9" i="5"/>
  <c r="E8" i="5"/>
  <c r="E7" i="5"/>
  <c r="E6" i="5"/>
  <c r="E5" i="5"/>
  <c r="E4" i="5"/>
  <c r="E3" i="5"/>
  <c r="C3" i="5"/>
  <c r="B4" i="5"/>
  <c r="C4" i="5"/>
  <c r="B5" i="5"/>
  <c r="C5" i="5"/>
  <c r="B6" i="5"/>
  <c r="C6" i="5"/>
  <c r="B7" i="5"/>
  <c r="C7" i="5"/>
  <c r="B8" i="5"/>
  <c r="C8" i="5"/>
  <c r="B9" i="5"/>
  <c r="C9" i="5"/>
  <c r="B10" i="5"/>
  <c r="C10" i="5"/>
  <c r="B12" i="5"/>
  <c r="C12" i="5"/>
  <c r="B13" i="5"/>
  <c r="C13" i="5"/>
  <c r="B14" i="5"/>
  <c r="C14" i="5"/>
  <c r="B15" i="5"/>
  <c r="C15" i="5"/>
  <c r="B16" i="5"/>
  <c r="C16" i="5"/>
  <c r="B17" i="5"/>
  <c r="C17" i="5"/>
  <c r="B18" i="5"/>
  <c r="C18" i="5"/>
  <c r="B19" i="5"/>
  <c r="C19" i="5"/>
  <c r="B21" i="5"/>
  <c r="C21" i="5"/>
  <c r="B22" i="5"/>
  <c r="C22" i="5"/>
  <c r="B23" i="5"/>
  <c r="C23" i="5"/>
  <c r="B24" i="5"/>
  <c r="C24" i="5"/>
  <c r="B25" i="5"/>
  <c r="C25" i="5"/>
  <c r="B26" i="5"/>
  <c r="C26" i="5"/>
  <c r="B27" i="5"/>
  <c r="C27" i="5"/>
  <c r="B29" i="5"/>
  <c r="C29" i="5"/>
  <c r="B30" i="5"/>
  <c r="C30" i="5"/>
  <c r="B31" i="5"/>
  <c r="C31" i="5"/>
  <c r="B32" i="5"/>
  <c r="C32" i="5"/>
  <c r="B33" i="5"/>
  <c r="C33" i="5"/>
  <c r="B34" i="5"/>
  <c r="C34" i="5"/>
  <c r="B36" i="5"/>
  <c r="C36" i="5"/>
  <c r="B37" i="5"/>
  <c r="C37" i="5"/>
  <c r="B38" i="5"/>
  <c r="C38" i="5"/>
  <c r="B39" i="5"/>
  <c r="C39" i="5"/>
  <c r="B40" i="5"/>
  <c r="C40" i="5"/>
  <c r="B42" i="5"/>
  <c r="C42" i="5"/>
  <c r="B43" i="5"/>
  <c r="C43" i="5"/>
  <c r="B44" i="5"/>
  <c r="C44" i="5"/>
  <c r="B45" i="5"/>
  <c r="C45" i="5"/>
  <c r="B47" i="5"/>
  <c r="C47" i="5"/>
  <c r="B48" i="5"/>
  <c r="C48" i="5"/>
  <c r="B49" i="5"/>
  <c r="C49" i="5"/>
  <c r="B51" i="5"/>
  <c r="C51" i="5"/>
  <c r="B52" i="5"/>
  <c r="C52" i="5"/>
  <c r="B54" i="5"/>
  <c r="C54" i="5"/>
  <c r="C2" i="5"/>
  <c r="B2" i="5"/>
  <c r="AO65" i="7" l="1"/>
  <c r="AK65" i="7"/>
  <c r="AG65" i="7"/>
  <c r="AC65" i="7"/>
  <c r="Y65" i="7"/>
  <c r="U65" i="7"/>
  <c r="Q65" i="7"/>
  <c r="M65" i="7"/>
  <c r="I65" i="7"/>
  <c r="E65" i="7"/>
  <c r="C65" i="7"/>
  <c r="AM65" i="7"/>
  <c r="AI65" i="7"/>
  <c r="AE65" i="7"/>
  <c r="AA65" i="7"/>
  <c r="W65" i="7"/>
  <c r="S65" i="7"/>
  <c r="O65" i="7"/>
  <c r="K65" i="7"/>
  <c r="G65" i="7"/>
  <c r="AG23" i="7"/>
  <c r="AI41" i="7"/>
  <c r="C29" i="7"/>
  <c r="E35" i="7"/>
  <c r="O17" i="7"/>
  <c r="AC35" i="7"/>
  <c r="AE41" i="7"/>
  <c r="AM41" i="7"/>
  <c r="AI29" i="7"/>
  <c r="AG47" i="7"/>
  <c r="AA53" i="7"/>
  <c r="Y59" i="7"/>
  <c r="W29" i="7"/>
  <c r="Q47" i="7"/>
  <c r="O53" i="7"/>
  <c r="K41" i="7"/>
  <c r="I47" i="7"/>
  <c r="AO35" i="7"/>
  <c r="AM29" i="7"/>
  <c r="AK59" i="7"/>
  <c r="AK47" i="7"/>
  <c r="AG59" i="7"/>
  <c r="AE53" i="7"/>
  <c r="AC47" i="7"/>
  <c r="AA17" i="7"/>
  <c r="Y23" i="7"/>
  <c r="W41" i="7"/>
  <c r="U47" i="7"/>
  <c r="U59" i="7"/>
  <c r="S53" i="7"/>
  <c r="S41" i="7"/>
  <c r="Q59" i="7"/>
  <c r="M35" i="7"/>
  <c r="M47" i="7"/>
  <c r="K29" i="7"/>
  <c r="G17" i="7"/>
  <c r="M5" i="7"/>
  <c r="U5" i="7"/>
  <c r="AC5" i="7"/>
  <c r="AK5" i="7"/>
  <c r="C11" i="7"/>
  <c r="C35" i="7"/>
  <c r="E17" i="7"/>
  <c r="G23" i="7"/>
  <c r="I29" i="7"/>
  <c r="K11" i="7"/>
  <c r="K35" i="7"/>
  <c r="M17" i="7"/>
  <c r="O23" i="7"/>
  <c r="Q29" i="7"/>
  <c r="S11" i="7"/>
  <c r="S35" i="7"/>
  <c r="U17" i="7"/>
  <c r="W23" i="7"/>
  <c r="Y29" i="7"/>
  <c r="AA11" i="7"/>
  <c r="AA35" i="7"/>
  <c r="AC17" i="7"/>
  <c r="AE23" i="7"/>
  <c r="AG29" i="7"/>
  <c r="AI23" i="7"/>
  <c r="AK17" i="7"/>
  <c r="AM11" i="7"/>
  <c r="AM35" i="7"/>
  <c r="AO29" i="7"/>
  <c r="E5" i="7"/>
  <c r="C17" i="7"/>
  <c r="E23" i="7"/>
  <c r="G29" i="7"/>
  <c r="I11" i="7"/>
  <c r="I35" i="7"/>
  <c r="Q11" i="7"/>
  <c r="Y11" i="7"/>
  <c r="AG11" i="7"/>
  <c r="AO11" i="7"/>
  <c r="C23" i="7"/>
  <c r="E29" i="7"/>
  <c r="G11" i="7"/>
  <c r="G35" i="7"/>
  <c r="I17" i="7"/>
  <c r="K23" i="7"/>
  <c r="M29" i="7"/>
  <c r="O11" i="7"/>
  <c r="O35" i="7"/>
  <c r="Q17" i="7"/>
  <c r="AI17" i="7"/>
  <c r="AO23" i="7"/>
  <c r="C53" i="7"/>
  <c r="E59" i="7"/>
  <c r="Q23" i="7"/>
  <c r="AE17" i="7"/>
  <c r="AM17" i="7"/>
  <c r="AK35" i="7"/>
  <c r="AI53" i="7"/>
  <c r="AA29" i="7"/>
  <c r="Y35" i="7"/>
  <c r="W17" i="7"/>
  <c r="W53" i="7"/>
  <c r="O29" i="7"/>
  <c r="K17" i="7"/>
  <c r="I23" i="7"/>
  <c r="AO47" i="7"/>
  <c r="AO59" i="7"/>
  <c r="AM53" i="7"/>
  <c r="AK23" i="7"/>
  <c r="AG35" i="7"/>
  <c r="AE29" i="7"/>
  <c r="AC59" i="7"/>
  <c r="AC23" i="7"/>
  <c r="AA41" i="7"/>
  <c r="Y47" i="7"/>
  <c r="U23" i="7"/>
  <c r="U35" i="7"/>
  <c r="S29" i="7"/>
  <c r="S17" i="7"/>
  <c r="Q35" i="7"/>
  <c r="O41" i="7"/>
  <c r="B83" i="2" s="1"/>
  <c r="M59" i="7"/>
  <c r="M23" i="7"/>
  <c r="K53" i="7"/>
  <c r="G41" i="7"/>
  <c r="M11" i="7"/>
  <c r="U11" i="7"/>
  <c r="AC11" i="7"/>
  <c r="AK11" i="7"/>
  <c r="C5" i="7"/>
  <c r="C59" i="7"/>
  <c r="E41" i="7"/>
  <c r="G47" i="7"/>
  <c r="I53" i="7"/>
  <c r="K5" i="7"/>
  <c r="K59" i="7"/>
  <c r="M41" i="7"/>
  <c r="O47" i="7"/>
  <c r="Q53" i="7"/>
  <c r="S5" i="7"/>
  <c r="S59" i="7"/>
  <c r="U41" i="7"/>
  <c r="W47" i="7"/>
  <c r="Y53" i="7"/>
  <c r="AA5" i="7"/>
  <c r="AA59" i="7"/>
  <c r="AC41" i="7"/>
  <c r="AE47" i="7"/>
  <c r="AO41" i="7"/>
  <c r="AM47" i="7"/>
  <c r="AK53" i="7"/>
  <c r="AI59" i="7"/>
  <c r="AI5" i="7"/>
  <c r="AG41" i="7"/>
  <c r="AE59" i="7"/>
  <c r="AE5" i="7"/>
  <c r="AC53" i="7"/>
  <c r="AA47" i="7"/>
  <c r="Y41" i="7"/>
  <c r="W59" i="7"/>
  <c r="W5" i="7"/>
  <c r="U53" i="7"/>
  <c r="S47" i="7"/>
  <c r="Q41" i="7"/>
  <c r="O5" i="7"/>
  <c r="K47" i="7"/>
  <c r="G59" i="7"/>
  <c r="E53" i="7"/>
  <c r="AO5" i="7"/>
  <c r="Y5" i="7"/>
  <c r="I59" i="7"/>
  <c r="G53" i="7"/>
  <c r="C41" i="7"/>
  <c r="AO53" i="7"/>
  <c r="AM5" i="7"/>
  <c r="AI47" i="7"/>
  <c r="AO17" i="7"/>
  <c r="AM23" i="7"/>
  <c r="AK29" i="7"/>
  <c r="AI35" i="7"/>
  <c r="AI11" i="7"/>
  <c r="AG17" i="7"/>
  <c r="AE35" i="7"/>
  <c r="AE11" i="7"/>
  <c r="AC29" i="7"/>
  <c r="AA23" i="7"/>
  <c r="Y17" i="7"/>
  <c r="W35" i="7"/>
  <c r="W11" i="7"/>
  <c r="U29" i="7"/>
  <c r="S23" i="7"/>
  <c r="O59" i="7"/>
  <c r="M53" i="7"/>
  <c r="I41" i="7"/>
  <c r="G5" i="7"/>
  <c r="C47" i="7"/>
  <c r="AG5" i="7"/>
  <c r="Q5" i="7"/>
  <c r="I5" i="7"/>
  <c r="E47" i="7"/>
  <c r="E11" i="7"/>
  <c r="AM59" i="7"/>
  <c r="AK41" i="7"/>
  <c r="AG53" i="7"/>
  <c r="B5" i="2"/>
  <c r="B23" i="2"/>
  <c r="B82" i="2"/>
  <c r="B62" i="2" l="1"/>
  <c r="B109" i="2"/>
  <c r="B13" i="2"/>
  <c r="B60" i="2"/>
  <c r="B107" i="2"/>
  <c r="B11" i="2"/>
  <c r="B58" i="2"/>
  <c r="B105" i="2"/>
  <c r="B9" i="2"/>
  <c r="B56" i="2"/>
  <c r="B103" i="2"/>
  <c r="B7" i="2"/>
  <c r="B54" i="2"/>
  <c r="B89" i="2"/>
  <c r="B98" i="2"/>
  <c r="B49" i="2"/>
  <c r="B96" i="2"/>
  <c r="B47" i="2"/>
  <c r="B94" i="2"/>
  <c r="B45" i="2"/>
  <c r="B44" i="2"/>
  <c r="B91" i="2"/>
  <c r="B42" i="2"/>
  <c r="B77" i="2"/>
  <c r="B134" i="2"/>
  <c r="B38" i="2"/>
  <c r="B85" i="2"/>
  <c r="B132" i="2"/>
  <c r="B36" i="2"/>
  <c r="B130" i="2"/>
  <c r="B34" i="2"/>
  <c r="B81" i="2"/>
  <c r="B128" i="2"/>
  <c r="B32" i="2"/>
  <c r="B79" i="2"/>
  <c r="B126" i="2"/>
  <c r="B30" i="2"/>
  <c r="B65" i="2"/>
  <c r="B122" i="2"/>
  <c r="B26" i="2"/>
  <c r="B73" i="2"/>
  <c r="B120" i="2"/>
  <c r="B24" i="2"/>
  <c r="B118" i="2"/>
  <c r="B22" i="2"/>
  <c r="B117" i="2"/>
  <c r="B21" i="2"/>
  <c r="B68" i="2"/>
  <c r="B67" i="2"/>
  <c r="B114" i="2"/>
  <c r="B18" i="2"/>
  <c r="B53" i="2"/>
  <c r="B6" i="2"/>
  <c r="B110" i="2"/>
  <c r="B14" i="2"/>
  <c r="B61" i="2"/>
  <c r="B108" i="2"/>
  <c r="B12" i="2"/>
  <c r="B59" i="2"/>
  <c r="B106" i="2"/>
  <c r="B10" i="2"/>
  <c r="B57" i="2"/>
  <c r="B104" i="2"/>
  <c r="B8" i="2"/>
  <c r="B55" i="2"/>
  <c r="B102" i="2"/>
  <c r="B41" i="2"/>
  <c r="B50" i="2"/>
  <c r="B97" i="2"/>
  <c r="B48" i="2"/>
  <c r="B95" i="2"/>
  <c r="B46" i="2"/>
  <c r="B93" i="2"/>
  <c r="B92" i="2"/>
  <c r="B43" i="2"/>
  <c r="B90" i="2"/>
  <c r="B125" i="2"/>
  <c r="B29" i="2"/>
  <c r="B86" i="2"/>
  <c r="B133" i="2"/>
  <c r="B37" i="2"/>
  <c r="B84" i="2"/>
  <c r="B131" i="2"/>
  <c r="B35" i="2"/>
  <c r="B129" i="2"/>
  <c r="B33" i="2"/>
  <c r="B80" i="2"/>
  <c r="B127" i="2"/>
  <c r="B31" i="2"/>
  <c r="B78" i="2"/>
  <c r="B113" i="2"/>
  <c r="B17" i="2"/>
  <c r="B74" i="2"/>
  <c r="B121" i="2"/>
  <c r="B25" i="2"/>
  <c r="B72" i="2"/>
  <c r="B119" i="2"/>
  <c r="B70" i="2"/>
  <c r="B69" i="2"/>
  <c r="B116" i="2"/>
  <c r="B20" i="2"/>
  <c r="B115" i="2"/>
  <c r="B19" i="2"/>
  <c r="B66" i="2"/>
  <c r="B101" i="2"/>
  <c r="B71" i="2"/>
  <c r="E5" i="2" l="1"/>
  <c r="E89" i="2"/>
  <c r="E101" i="2"/>
  <c r="E113" i="2"/>
  <c r="E41" i="2"/>
  <c r="E65" i="2"/>
  <c r="E29" i="2"/>
  <c r="E125" i="2"/>
  <c r="E17" i="2"/>
  <c r="E53" i="2"/>
  <c r="E77" i="2"/>
  <c r="C9" i="2"/>
  <c r="C13" i="2"/>
  <c r="C128" i="2"/>
  <c r="C134" i="2"/>
  <c r="C130" i="2"/>
  <c r="C125" i="2"/>
  <c r="C131" i="2"/>
  <c r="C126" i="2"/>
  <c r="C132" i="2"/>
  <c r="C127" i="2"/>
  <c r="C133" i="2"/>
  <c r="C129" i="2"/>
  <c r="C7" i="2"/>
  <c r="C11" i="2"/>
  <c r="C18" i="2"/>
  <c r="C17" i="2"/>
  <c r="C19" i="2"/>
  <c r="C21" i="2"/>
  <c r="C26" i="2"/>
  <c r="C25" i="2"/>
  <c r="C22" i="2"/>
  <c r="C23" i="2"/>
  <c r="C24" i="2"/>
  <c r="C20" i="2"/>
  <c r="C54" i="2"/>
  <c r="C53" i="2"/>
  <c r="C59" i="2"/>
  <c r="C61" i="2"/>
  <c r="C56" i="2"/>
  <c r="C62" i="2"/>
  <c r="C57" i="2"/>
  <c r="C58" i="2"/>
  <c r="C60" i="2"/>
  <c r="C55" i="2"/>
  <c r="C77" i="2"/>
  <c r="C83" i="2"/>
  <c r="C84" i="2"/>
  <c r="C79" i="2"/>
  <c r="C85" i="2"/>
  <c r="C80" i="2"/>
  <c r="C86" i="2"/>
  <c r="C81" i="2"/>
  <c r="C82" i="2"/>
  <c r="C78" i="2"/>
  <c r="C6" i="2"/>
  <c r="C12" i="2"/>
  <c r="C8" i="2"/>
  <c r="C104" i="2"/>
  <c r="C110" i="2"/>
  <c r="C106" i="2"/>
  <c r="C101" i="2"/>
  <c r="C107" i="2"/>
  <c r="C102" i="2"/>
  <c r="C108" i="2"/>
  <c r="C103" i="2"/>
  <c r="C109" i="2"/>
  <c r="C105" i="2"/>
  <c r="C122" i="2"/>
  <c r="C117" i="2"/>
  <c r="C118" i="2"/>
  <c r="C113" i="2"/>
  <c r="C119" i="2"/>
  <c r="C114" i="2"/>
  <c r="C120" i="2"/>
  <c r="C121" i="2"/>
  <c r="C116" i="2"/>
  <c r="C115" i="2"/>
  <c r="C41" i="2"/>
  <c r="C47" i="2"/>
  <c r="C42" i="2"/>
  <c r="C44" i="2"/>
  <c r="C50" i="2"/>
  <c r="C46" i="2"/>
  <c r="C48" i="2"/>
  <c r="C49" i="2"/>
  <c r="C43" i="2"/>
  <c r="C45" i="2"/>
  <c r="C70" i="2"/>
  <c r="C65" i="2"/>
  <c r="C71" i="2"/>
  <c r="C66" i="2"/>
  <c r="C67" i="2"/>
  <c r="C73" i="2"/>
  <c r="C74" i="2"/>
  <c r="C69" i="2"/>
  <c r="C72" i="2"/>
  <c r="C68" i="2"/>
  <c r="C14" i="2"/>
  <c r="C5" i="2"/>
  <c r="C29" i="2"/>
  <c r="C35" i="2"/>
  <c r="C37" i="2"/>
  <c r="C32" i="2"/>
  <c r="C38" i="2"/>
  <c r="C31" i="2"/>
  <c r="C33" i="2"/>
  <c r="C34" i="2"/>
  <c r="C36" i="2"/>
  <c r="C30" i="2"/>
  <c r="C98" i="2"/>
  <c r="C93" i="2"/>
  <c r="C94" i="2"/>
  <c r="C89" i="2"/>
  <c r="C95" i="2"/>
  <c r="C90" i="2"/>
  <c r="C96" i="2"/>
  <c r="C97" i="2"/>
  <c r="C92" i="2"/>
  <c r="C91" i="2"/>
  <c r="C10" i="2"/>
  <c r="F120" i="2" l="1"/>
  <c r="F92" i="2"/>
  <c r="G92" i="2" s="1"/>
  <c r="F17" i="2"/>
  <c r="E50" i="2"/>
  <c r="E96" i="2"/>
  <c r="E49" i="2"/>
  <c r="E47" i="2"/>
  <c r="E93" i="2"/>
  <c r="F93" i="2" s="1"/>
  <c r="G93" i="2" s="1"/>
  <c r="E42" i="2"/>
  <c r="E127" i="2"/>
  <c r="E90" i="2"/>
  <c r="E36" i="2"/>
  <c r="E98" i="2"/>
  <c r="F95" i="2" s="1"/>
  <c r="E86" i="2"/>
  <c r="E95" i="2"/>
  <c r="F94" i="2" s="1"/>
  <c r="E79" i="2"/>
  <c r="E23" i="2"/>
  <c r="E34" i="2"/>
  <c r="E48" i="2"/>
  <c r="E60" i="2"/>
  <c r="E59" i="2"/>
  <c r="E134" i="2"/>
  <c r="F131" i="2" s="1"/>
  <c r="E128" i="2"/>
  <c r="F130" i="2" s="1"/>
  <c r="E94" i="2"/>
  <c r="F90" i="2" s="1"/>
  <c r="E24" i="2"/>
  <c r="F25" i="2" s="1"/>
  <c r="E22" i="2"/>
  <c r="F24" i="2" s="1"/>
  <c r="E57" i="2"/>
  <c r="E62" i="2"/>
  <c r="F55" i="2" s="1"/>
  <c r="G55" i="2" s="1"/>
  <c r="E72" i="2"/>
  <c r="E67" i="2"/>
  <c r="E66" i="2"/>
  <c r="E10" i="2"/>
  <c r="E25" i="2"/>
  <c r="E32" i="2"/>
  <c r="E45" i="2"/>
  <c r="E46" i="2"/>
  <c r="E43" i="2"/>
  <c r="E56" i="2"/>
  <c r="E55" i="2"/>
  <c r="E54" i="2"/>
  <c r="F56" i="2" s="1"/>
  <c r="G56" i="2" s="1"/>
  <c r="E92" i="2"/>
  <c r="E91" i="2"/>
  <c r="E97" i="2"/>
  <c r="F97" i="2" s="1"/>
  <c r="E107" i="2"/>
  <c r="F106" i="2" s="1"/>
  <c r="E121" i="2"/>
  <c r="E133" i="2"/>
  <c r="F134" i="2" s="1"/>
  <c r="E130" i="2"/>
  <c r="F132" i="2" s="1"/>
  <c r="E33" i="2"/>
  <c r="E35" i="2"/>
  <c r="E104" i="2"/>
  <c r="E7" i="2"/>
  <c r="E84" i="2"/>
  <c r="E83" i="2"/>
  <c r="E114" i="2"/>
  <c r="E118" i="2"/>
  <c r="E78" i="2"/>
  <c r="F81" i="2" s="1"/>
  <c r="E80" i="2"/>
  <c r="E81" i="2"/>
  <c r="E85" i="2"/>
  <c r="E71" i="2"/>
  <c r="E31" i="2"/>
  <c r="E37" i="2"/>
  <c r="E6" i="2"/>
  <c r="E8" i="2"/>
  <c r="E106" i="2"/>
  <c r="E73" i="2"/>
  <c r="F71" i="2" s="1"/>
  <c r="E11" i="2"/>
  <c r="E14" i="2"/>
  <c r="E69" i="2"/>
  <c r="E13" i="2"/>
  <c r="E58" i="2"/>
  <c r="E61" i="2"/>
  <c r="E109" i="2"/>
  <c r="E82" i="2"/>
  <c r="F84" i="2" s="1"/>
  <c r="E115" i="2"/>
  <c r="E30" i="2"/>
  <c r="E38" i="2"/>
  <c r="E74" i="2"/>
  <c r="F67" i="2" s="1"/>
  <c r="G67" i="2" s="1"/>
  <c r="E12" i="2"/>
  <c r="E68" i="2"/>
  <c r="E70" i="2"/>
  <c r="E108" i="2"/>
  <c r="F110" i="2" s="1"/>
  <c r="E132" i="2"/>
  <c r="F127" i="2" s="1"/>
  <c r="E9" i="2"/>
  <c r="E19" i="2"/>
  <c r="E20" i="2"/>
  <c r="E44" i="2"/>
  <c r="E120" i="2"/>
  <c r="F122" i="2" s="1"/>
  <c r="E110" i="2"/>
  <c r="E131" i="2"/>
  <c r="E129" i="2"/>
  <c r="F128" i="2" s="1"/>
  <c r="E126" i="2"/>
  <c r="F129" i="2" s="1"/>
  <c r="E119" i="2"/>
  <c r="E117" i="2"/>
  <c r="E116" i="2"/>
  <c r="F116" i="2" s="1"/>
  <c r="E122" i="2"/>
  <c r="F115" i="2" s="1"/>
  <c r="E103" i="2"/>
  <c r="E105" i="2"/>
  <c r="E102" i="2"/>
  <c r="F108" i="2" s="1"/>
  <c r="E21" i="2"/>
  <c r="E18" i="2"/>
  <c r="F21" i="2" s="1"/>
  <c r="E26" i="2"/>
  <c r="F19" i="2" s="1"/>
  <c r="F118" i="2" l="1"/>
  <c r="F83" i="2"/>
  <c r="F18" i="2"/>
  <c r="G18" i="2" s="1"/>
  <c r="D7" i="4" s="1"/>
  <c r="F22" i="2"/>
  <c r="F114" i="2"/>
  <c r="G114" i="2" s="1"/>
  <c r="D15" i="4" s="1"/>
  <c r="F103" i="2"/>
  <c r="G103" i="2" s="1"/>
  <c r="F107" i="2"/>
  <c r="G107" i="2" s="1"/>
  <c r="I14" i="4" s="1"/>
  <c r="F20" i="2"/>
  <c r="F109" i="2"/>
  <c r="G109" i="2" s="1"/>
  <c r="K14" i="4" s="1"/>
  <c r="F80" i="2"/>
  <c r="F119" i="2"/>
  <c r="G119" i="2" s="1"/>
  <c r="I15" i="4" s="1"/>
  <c r="F98" i="2"/>
  <c r="F26" i="2"/>
  <c r="F23" i="2"/>
  <c r="F91" i="2"/>
  <c r="G91" i="2" s="1"/>
  <c r="F104" i="2"/>
  <c r="F53" i="2"/>
  <c r="F117" i="2"/>
  <c r="G117" i="2" s="1"/>
  <c r="G15" i="4" s="1"/>
  <c r="F126" i="2"/>
  <c r="G126" i="2" s="1"/>
  <c r="D16" i="4" s="1"/>
  <c r="F101" i="2"/>
  <c r="G101" i="2" s="1"/>
  <c r="C14" i="4" s="1"/>
  <c r="F133" i="2"/>
  <c r="G133" i="2" s="1"/>
  <c r="K16" i="4" s="1"/>
  <c r="F121" i="2"/>
  <c r="G121" i="2" s="1"/>
  <c r="K15" i="4" s="1"/>
  <c r="F65" i="2"/>
  <c r="G65" i="2" s="1"/>
  <c r="C11" i="4" s="1"/>
  <c r="F96" i="2"/>
  <c r="G96" i="2" s="1"/>
  <c r="F89" i="2"/>
  <c r="G89" i="2" s="1"/>
  <c r="C13" i="4" s="1"/>
  <c r="F57" i="2"/>
  <c r="G57" i="2" s="1"/>
  <c r="F113" i="2"/>
  <c r="G113" i="2" s="1"/>
  <c r="C15" i="4" s="1"/>
  <c r="F41" i="2"/>
  <c r="G41" i="2" s="1"/>
  <c r="C9" i="4" s="1"/>
  <c r="F77" i="2"/>
  <c r="G77" i="2" s="1"/>
  <c r="C12" i="4" s="1"/>
  <c r="F82" i="2"/>
  <c r="G82" i="2" s="1"/>
  <c r="F78" i="2"/>
  <c r="G78" i="2" s="1"/>
  <c r="F61" i="2"/>
  <c r="G61" i="2" s="1"/>
  <c r="F70" i="2"/>
  <c r="G70" i="2" s="1"/>
  <c r="F86" i="2"/>
  <c r="G86" i="2" s="1"/>
  <c r="F54" i="2"/>
  <c r="G54" i="2" s="1"/>
  <c r="F79" i="2"/>
  <c r="G79" i="2" s="1"/>
  <c r="F60" i="2"/>
  <c r="G60" i="2" s="1"/>
  <c r="F85" i="2"/>
  <c r="G85" i="2" s="1"/>
  <c r="F72" i="2"/>
  <c r="G72" i="2" s="1"/>
  <c r="F66" i="2"/>
  <c r="G66" i="2" s="1"/>
  <c r="F59" i="2"/>
  <c r="G59" i="2" s="1"/>
  <c r="F58" i="2"/>
  <c r="G58" i="2" s="1"/>
  <c r="F73" i="2"/>
  <c r="G73" i="2" s="1"/>
  <c r="F68" i="2"/>
  <c r="G68" i="2" s="1"/>
  <c r="F69" i="2"/>
  <c r="G69" i="2" s="1"/>
  <c r="F74" i="2"/>
  <c r="G74" i="2" s="1"/>
  <c r="F62" i="2"/>
  <c r="G62" i="2" s="1"/>
  <c r="F102" i="2"/>
  <c r="G102" i="2" s="1"/>
  <c r="D14" i="4" s="1"/>
  <c r="F125" i="2"/>
  <c r="G125" i="2" s="1"/>
  <c r="C16" i="4" s="1"/>
  <c r="F105" i="2"/>
  <c r="G105" i="2" s="1"/>
  <c r="F29" i="2"/>
  <c r="G29" i="2" s="1"/>
  <c r="C8" i="4" s="1"/>
  <c r="F30" i="2"/>
  <c r="G30" i="2" s="1"/>
  <c r="F33" i="2"/>
  <c r="G33" i="2" s="1"/>
  <c r="F35" i="2"/>
  <c r="G35" i="2" s="1"/>
  <c r="F32" i="2"/>
  <c r="G32" i="2" s="1"/>
  <c r="F34" i="2"/>
  <c r="G34" i="2" s="1"/>
  <c r="F38" i="2"/>
  <c r="G38" i="2" s="1"/>
  <c r="F31" i="2"/>
  <c r="G31" i="2" s="1"/>
  <c r="E8" i="4" s="1"/>
  <c r="F37" i="2"/>
  <c r="G37" i="2" s="1"/>
  <c r="F36" i="2"/>
  <c r="G36" i="2" s="1"/>
  <c r="F44" i="2"/>
  <c r="G44" i="2" s="1"/>
  <c r="F42" i="2"/>
  <c r="G42" i="2" s="1"/>
  <c r="F46" i="2"/>
  <c r="G46" i="2" s="1"/>
  <c r="H9" i="4" s="1"/>
  <c r="F50" i="2"/>
  <c r="G50" i="2" s="1"/>
  <c r="L9" i="4" s="1"/>
  <c r="F48" i="2"/>
  <c r="G48" i="2" s="1"/>
  <c r="J9" i="4" s="1"/>
  <c r="F43" i="2"/>
  <c r="G43" i="2" s="1"/>
  <c r="F47" i="2"/>
  <c r="G47" i="2" s="1"/>
  <c r="F49" i="2"/>
  <c r="G49" i="2" s="1"/>
  <c r="F45" i="2"/>
  <c r="G45" i="2" s="1"/>
  <c r="F13" i="4"/>
  <c r="E11" i="4"/>
  <c r="G13" i="4"/>
  <c r="E10" i="4"/>
  <c r="F10" i="4"/>
  <c r="G122" i="2"/>
  <c r="L15" i="4" s="1"/>
  <c r="F5" i="2"/>
  <c r="G5" i="2" s="1"/>
  <c r="C6" i="4" s="1"/>
  <c r="G53" i="2"/>
  <c r="C10" i="4" s="1"/>
  <c r="G118" i="2"/>
  <c r="H15" i="4" s="1"/>
  <c r="F6" i="2"/>
  <c r="G6" i="2" s="1"/>
  <c r="D6" i="4" s="1"/>
  <c r="F10" i="2"/>
  <c r="G10" i="2" s="1"/>
  <c r="H6" i="4" s="1"/>
  <c r="F9" i="2"/>
  <c r="G9" i="2" s="1"/>
  <c r="G6" i="4" s="1"/>
  <c r="F14" i="2"/>
  <c r="G14" i="2" s="1"/>
  <c r="L6" i="4" s="1"/>
  <c r="F8" i="2"/>
  <c r="G8" i="2" s="1"/>
  <c r="F6" i="4" s="1"/>
  <c r="F12" i="2"/>
  <c r="G12" i="2" s="1"/>
  <c r="J6" i="4" s="1"/>
  <c r="F11" i="2"/>
  <c r="G11" i="2" s="1"/>
  <c r="I6" i="4" s="1"/>
  <c r="F7" i="2"/>
  <c r="G7" i="2" s="1"/>
  <c r="E6" i="4" s="1"/>
  <c r="F13" i="2"/>
  <c r="G13" i="2" s="1"/>
  <c r="K6" i="4" s="1"/>
  <c r="G17" i="2"/>
  <c r="C7" i="4" s="1"/>
  <c r="G20" i="2"/>
  <c r="F7" i="4" s="1"/>
  <c r="G25" i="2"/>
  <c r="K7" i="4" s="1"/>
  <c r="G131" i="2"/>
  <c r="I16" i="4" s="1"/>
  <c r="G132" i="2"/>
  <c r="J16" i="4" s="1"/>
  <c r="G127" i="2"/>
  <c r="E16" i="4" s="1"/>
  <c r="G115" i="2"/>
  <c r="E15" i="4" s="1"/>
  <c r="G110" i="2"/>
  <c r="L14" i="4" s="1"/>
  <c r="G95" i="2"/>
  <c r="G98" i="2"/>
  <c r="G90" i="2"/>
  <c r="G84" i="2"/>
  <c r="G24" i="2"/>
  <c r="J7" i="4" s="1"/>
  <c r="G116" i="2"/>
  <c r="F15" i="4" s="1"/>
  <c r="G94" i="2"/>
  <c r="G129" i="2"/>
  <c r="G16" i="4" s="1"/>
  <c r="G134" i="2"/>
  <c r="L16" i="4" s="1"/>
  <c r="G97" i="2"/>
  <c r="G80" i="2"/>
  <c r="G83" i="2"/>
  <c r="G19" i="2"/>
  <c r="E7" i="4" s="1"/>
  <c r="G26" i="2"/>
  <c r="G23" i="2"/>
  <c r="I7" i="4" s="1"/>
  <c r="G130" i="2"/>
  <c r="H16" i="4" s="1"/>
  <c r="G128" i="2"/>
  <c r="F16" i="4" s="1"/>
  <c r="G120" i="2"/>
  <c r="J15" i="4" s="1"/>
  <c r="G108" i="2"/>
  <c r="J14" i="4" s="1"/>
  <c r="G106" i="2"/>
  <c r="H14" i="4" s="1"/>
  <c r="G71" i="2"/>
  <c r="G104" i="2"/>
  <c r="G81" i="2"/>
  <c r="G21" i="2"/>
  <c r="G7" i="4" s="1"/>
  <c r="G22" i="2"/>
  <c r="H7" i="4" s="1"/>
  <c r="C5" i="4" l="1"/>
  <c r="C28" i="4" s="1"/>
  <c r="I11" i="4"/>
  <c r="K13" i="4"/>
  <c r="H13" i="4"/>
  <c r="D10" i="4"/>
  <c r="L8" i="4"/>
  <c r="J11" i="4"/>
  <c r="I13" i="4"/>
  <c r="F11" i="4"/>
  <c r="E13" i="4"/>
  <c r="D8" i="4"/>
  <c r="I10" i="4"/>
  <c r="I9" i="4"/>
  <c r="I12" i="4"/>
  <c r="G8" i="4"/>
  <c r="G11" i="4"/>
  <c r="H8" i="4"/>
  <c r="J8" i="4"/>
  <c r="J12" i="4"/>
  <c r="L11" i="4"/>
  <c r="E12" i="4"/>
  <c r="L12" i="4"/>
  <c r="H10" i="4"/>
  <c r="H12" i="4"/>
  <c r="K10" i="4"/>
  <c r="G12" i="4"/>
  <c r="K11" i="4"/>
  <c r="K9" i="4"/>
  <c r="F12" i="4"/>
  <c r="K12" i="4"/>
  <c r="J13" i="4"/>
  <c r="F9" i="4"/>
  <c r="D13" i="4"/>
  <c r="K8" i="4"/>
  <c r="G9" i="4"/>
  <c r="F8" i="4"/>
  <c r="J10" i="4"/>
  <c r="D12" i="4"/>
  <c r="I8" i="4"/>
  <c r="L10" i="4"/>
  <c r="L13" i="4"/>
  <c r="F14" i="4"/>
  <c r="E14" i="4"/>
  <c r="G14" i="4"/>
  <c r="D11" i="4"/>
  <c r="H11" i="4"/>
  <c r="G10" i="4"/>
  <c r="E9" i="4"/>
  <c r="D9" i="4"/>
  <c r="L7" i="4"/>
  <c r="F5" i="4" l="1"/>
  <c r="F28" i="4" s="1"/>
  <c r="L5" i="4"/>
  <c r="L28" i="4" s="1"/>
  <c r="J5" i="4"/>
  <c r="J28" i="4" s="1"/>
  <c r="H5" i="4"/>
  <c r="H28" i="4" s="1"/>
  <c r="I5" i="4"/>
  <c r="I28" i="4" s="1"/>
  <c r="E5" i="4"/>
  <c r="E28" i="4" s="1"/>
  <c r="K5" i="4"/>
  <c r="K28" i="4" s="1"/>
  <c r="G5" i="4"/>
  <c r="G28" i="4" s="1"/>
  <c r="D5" i="4"/>
  <c r="D28" i="4" s="1"/>
</calcChain>
</file>

<file path=xl/sharedStrings.xml><?xml version="1.0" encoding="utf-8"?>
<sst xmlns="http://schemas.openxmlformats.org/spreadsheetml/2006/main" count="4195" uniqueCount="237">
  <si>
    <t>D</t>
  </si>
  <si>
    <t>A</t>
  </si>
  <si>
    <t>B</t>
  </si>
  <si>
    <t>C</t>
  </si>
  <si>
    <t>E</t>
  </si>
  <si>
    <t>F</t>
  </si>
  <si>
    <t>G</t>
  </si>
  <si>
    <t>H</t>
  </si>
  <si>
    <t>I</t>
  </si>
  <si>
    <t>L</t>
  </si>
  <si>
    <t>AB</t>
  </si>
  <si>
    <t>AC</t>
  </si>
  <si>
    <t>AD</t>
  </si>
  <si>
    <t>AE</t>
  </si>
  <si>
    <t>AF</t>
  </si>
  <si>
    <t>AG</t>
  </si>
  <si>
    <t>AH</t>
  </si>
  <si>
    <t>AI</t>
  </si>
  <si>
    <t>AL</t>
  </si>
  <si>
    <t>HL</t>
  </si>
  <si>
    <t>BC</t>
  </si>
  <si>
    <t>BD</t>
  </si>
  <si>
    <t>BE</t>
  </si>
  <si>
    <t>BF</t>
  </si>
  <si>
    <t>BG</t>
  </si>
  <si>
    <t>BH</t>
  </si>
  <si>
    <t>BI</t>
  </si>
  <si>
    <t>BL</t>
  </si>
  <si>
    <t>CD</t>
  </si>
  <si>
    <t>CE</t>
  </si>
  <si>
    <t>CF</t>
  </si>
  <si>
    <t>CG</t>
  </si>
  <si>
    <t>CH</t>
  </si>
  <si>
    <t>CI</t>
  </si>
  <si>
    <t>CL</t>
  </si>
  <si>
    <t>DE</t>
  </si>
  <si>
    <t>DF</t>
  </si>
  <si>
    <t>DG</t>
  </si>
  <si>
    <t>DH</t>
  </si>
  <si>
    <t>DI</t>
  </si>
  <si>
    <t>DL</t>
  </si>
  <si>
    <t>EF</t>
  </si>
  <si>
    <t>EG</t>
  </si>
  <si>
    <t>EH</t>
  </si>
  <si>
    <t>EI</t>
  </si>
  <si>
    <t>EL</t>
  </si>
  <si>
    <t>FG</t>
  </si>
  <si>
    <t>FH</t>
  </si>
  <si>
    <t>FI</t>
  </si>
  <si>
    <t>FL</t>
  </si>
  <si>
    <t>GH</t>
  </si>
  <si>
    <t>GI</t>
  </si>
  <si>
    <t>GL</t>
  </si>
  <si>
    <t>HI</t>
  </si>
  <si>
    <t>IL</t>
  </si>
  <si>
    <t>LETT1</t>
  </si>
  <si>
    <t>LETT2</t>
  </si>
  <si>
    <t>1L</t>
  </si>
  <si>
    <t>1N</t>
  </si>
  <si>
    <t>2L</t>
  </si>
  <si>
    <t>2N</t>
  </si>
  <si>
    <t>5L</t>
  </si>
  <si>
    <t>5N</t>
  </si>
  <si>
    <t>6L</t>
  </si>
  <si>
    <t>6N</t>
  </si>
  <si>
    <t>8L</t>
  </si>
  <si>
    <t>8N</t>
  </si>
  <si>
    <t>11L</t>
  </si>
  <si>
    <t>11N</t>
  </si>
  <si>
    <t>12L</t>
  </si>
  <si>
    <t>12N</t>
  </si>
  <si>
    <t>13L</t>
  </si>
  <si>
    <t>13N</t>
  </si>
  <si>
    <t>14L</t>
  </si>
  <si>
    <t>14N</t>
  </si>
  <si>
    <t>15L</t>
  </si>
  <si>
    <t>15N</t>
  </si>
  <si>
    <t>16L</t>
  </si>
  <si>
    <t>16N</t>
  </si>
  <si>
    <t>17L</t>
  </si>
  <si>
    <t>17N</t>
  </si>
  <si>
    <t>18L</t>
  </si>
  <si>
    <t>18N</t>
  </si>
  <si>
    <t>19L</t>
  </si>
  <si>
    <t>19N</t>
  </si>
  <si>
    <t>20L</t>
  </si>
  <si>
    <t>20N</t>
  </si>
  <si>
    <t>A2</t>
  </si>
  <si>
    <t>B2</t>
  </si>
  <si>
    <t>C2</t>
  </si>
  <si>
    <t>D2</t>
  </si>
  <si>
    <t>E2</t>
  </si>
  <si>
    <t>F2</t>
  </si>
  <si>
    <t>G2</t>
  </si>
  <si>
    <t>H2</t>
  </si>
  <si>
    <t>I2</t>
  </si>
  <si>
    <t>A3</t>
  </si>
  <si>
    <t>B3</t>
  </si>
  <si>
    <t>C3</t>
  </si>
  <si>
    <t>D3</t>
  </si>
  <si>
    <t>E3</t>
  </si>
  <si>
    <t>F3</t>
  </si>
  <si>
    <t>G3</t>
  </si>
  <si>
    <t>H3</t>
  </si>
  <si>
    <t>I3</t>
  </si>
  <si>
    <t>A4</t>
  </si>
  <si>
    <t>B4</t>
  </si>
  <si>
    <t>C4</t>
  </si>
  <si>
    <t>D4</t>
  </si>
  <si>
    <t>E4</t>
  </si>
  <si>
    <t>F4</t>
  </si>
  <si>
    <t>G4</t>
  </si>
  <si>
    <t>H4</t>
  </si>
  <si>
    <t>I4</t>
  </si>
  <si>
    <t>A5</t>
  </si>
  <si>
    <t>B5</t>
  </si>
  <si>
    <t>C5</t>
  </si>
  <si>
    <t>D5</t>
  </si>
  <si>
    <t>E5</t>
  </si>
  <si>
    <t>F5</t>
  </si>
  <si>
    <t>G5</t>
  </si>
  <si>
    <t>H5</t>
  </si>
  <si>
    <t>I5</t>
  </si>
  <si>
    <t>A6</t>
  </si>
  <si>
    <t>B6</t>
  </si>
  <si>
    <t>C6</t>
  </si>
  <si>
    <t>D6</t>
  </si>
  <si>
    <t>E6</t>
  </si>
  <si>
    <t>F6</t>
  </si>
  <si>
    <t>G6</t>
  </si>
  <si>
    <t>H6</t>
  </si>
  <si>
    <t>I6</t>
  </si>
  <si>
    <t>L2</t>
  </si>
  <si>
    <t>L3</t>
  </si>
  <si>
    <t>L4</t>
  </si>
  <si>
    <t>L5</t>
  </si>
  <si>
    <t>L6</t>
  </si>
  <si>
    <t>LETT</t>
  </si>
  <si>
    <r>
      <rPr>
        <sz val="11"/>
        <color theme="4" tint="-0.249977111117893"/>
        <rFont val="Calibri"/>
        <family val="2"/>
      </rPr>
      <t>Σ</t>
    </r>
    <r>
      <rPr>
        <i/>
        <sz val="11"/>
        <color theme="4" tint="-0.249977111117893"/>
        <rFont val="Calibri"/>
        <family val="2"/>
      </rPr>
      <t xml:space="preserve"> </t>
    </r>
    <r>
      <rPr>
        <i/>
        <sz val="11"/>
        <color theme="4" tint="-0.249977111117893"/>
        <rFont val="Calibri"/>
        <family val="2"/>
        <scheme val="minor"/>
      </rPr>
      <t>Confronto</t>
    </r>
  </si>
  <si>
    <t>Partecipanti</t>
  </si>
  <si>
    <t>3.1L</t>
  </si>
  <si>
    <t>3.1N</t>
  </si>
  <si>
    <t>3.2L</t>
  </si>
  <si>
    <t>3.2N</t>
  </si>
  <si>
    <t>3.3L</t>
  </si>
  <si>
    <t>3.3N</t>
  </si>
  <si>
    <t>3.4L</t>
  </si>
  <si>
    <t>3.4N</t>
  </si>
  <si>
    <t>3.5L</t>
  </si>
  <si>
    <t>3.5N</t>
  </si>
  <si>
    <t>Valori di servizio - non modificare</t>
  </si>
  <si>
    <t>M3</t>
  </si>
  <si>
    <t>M4</t>
  </si>
  <si>
    <t>M2</t>
  </si>
  <si>
    <t>M5</t>
  </si>
  <si>
    <t>M6</t>
  </si>
  <si>
    <t>M</t>
  </si>
  <si>
    <t>AM</t>
  </si>
  <si>
    <t>BM</t>
  </si>
  <si>
    <t>CM</t>
  </si>
  <si>
    <t>DM</t>
  </si>
  <si>
    <t>EM</t>
  </si>
  <si>
    <t>FM</t>
  </si>
  <si>
    <t>GM</t>
  </si>
  <si>
    <t>HM</t>
  </si>
  <si>
    <t>IM</t>
  </si>
  <si>
    <t>LM</t>
  </si>
  <si>
    <t>Valutazione</t>
  </si>
  <si>
    <t xml:space="preserve"> </t>
  </si>
  <si>
    <t>Ai</t>
  </si>
  <si>
    <t>Ci</t>
  </si>
  <si>
    <t>Asoglia</t>
  </si>
  <si>
    <t>Amax</t>
  </si>
  <si>
    <t xml:space="preserve">EVALUATOR 1 </t>
  </si>
  <si>
    <t>EVALUATOR 3</t>
  </si>
  <si>
    <t xml:space="preserve">EVALUATOR 2 </t>
  </si>
  <si>
    <t>select</t>
  </si>
  <si>
    <t>MAX SCORE</t>
  </si>
  <si>
    <t>1. Quality aspect 1</t>
  </si>
  <si>
    <t>1. Quality aspect 2</t>
  </si>
  <si>
    <t>1. Quality aspect 3</t>
  </si>
  <si>
    <t>1. Quality aspect 4</t>
  </si>
  <si>
    <t>1. Quality aspect 5</t>
  </si>
  <si>
    <t>1. Quality aspect 6</t>
  </si>
  <si>
    <t>1. Quality aspect 7</t>
  </si>
  <si>
    <t>1. Quality aspect 8</t>
  </si>
  <si>
    <t>1. Quality aspect 9</t>
  </si>
  <si>
    <t>1. Quality aspect 10</t>
  </si>
  <si>
    <t>1. Quality aspect 11</t>
  </si>
  <si>
    <t>1. Quality aspect 12</t>
  </si>
  <si>
    <t>13. quality index additional  IQ1</t>
  </si>
  <si>
    <t>13. quality index additional  IQ2</t>
  </si>
  <si>
    <t>13. quality index additional  IQ3</t>
  </si>
  <si>
    <t>13. quality index additional  IQ4</t>
  </si>
  <si>
    <t>13. quality index additional  IQ5</t>
  </si>
  <si>
    <t>13. quality index additional  IQ6</t>
  </si>
  <si>
    <t xml:space="preserve">BONUS for additional voluntary add-on </t>
  </si>
  <si>
    <t>FIRST TYPE OF SERVICES - MANDATORY</t>
  </si>
  <si>
    <t>SECOND TYPE OF SERVICES -OPTIONAL</t>
  </si>
  <si>
    <t>GLOBAL SCORE</t>
  </si>
  <si>
    <t xml:space="preserve"> MONETARY BID</t>
  </si>
  <si>
    <t>total score</t>
  </si>
  <si>
    <t>SECOND TYPE OF SERVICES -ON DEMAND</t>
  </si>
  <si>
    <t>MANDATORY SERVICES SCORE</t>
  </si>
  <si>
    <t>BIDDER</t>
  </si>
  <si>
    <t>TOTAL COST</t>
  </si>
  <si>
    <t>MANDATORY SERVICES COST</t>
  </si>
  <si>
    <t>ON-DEMAND SERVICES COST</t>
  </si>
  <si>
    <t>MANDATORY SERVICES DISCOUNT</t>
  </si>
  <si>
    <t>ON-DEMAND SERVICES DISCOUNT</t>
  </si>
  <si>
    <t>COST of M.AD</t>
  </si>
  <si>
    <t>COST of M.AC</t>
  </si>
  <si>
    <t>cost of  SUP</t>
  </si>
  <si>
    <t>safety costs</t>
  </si>
  <si>
    <t>deviation for mandatory services</t>
  </si>
  <si>
    <t>deviation for on demand services</t>
  </si>
  <si>
    <t>total deviation</t>
  </si>
  <si>
    <t>score</t>
  </si>
  <si>
    <t>weight</t>
  </si>
  <si>
    <t>EVALUATOR 1</t>
  </si>
  <si>
    <t>EVALUATOR 2</t>
  </si>
  <si>
    <t xml:space="preserve">COST OF A SINGLE function point </t>
  </si>
  <si>
    <t>ON-DEMAND SERVICES SCORE</t>
  </si>
  <si>
    <t>bidders</t>
  </si>
  <si>
    <t>TenderLot n Participant 1</t>
  </si>
  <si>
    <t>TenderLot n Participant 2</t>
  </si>
  <si>
    <t>TenderLot n Participant 3</t>
  </si>
  <si>
    <t xml:space="preserve"> TenderLot n Participant 4</t>
  </si>
  <si>
    <t>TenderLot n Participant 5</t>
  </si>
  <si>
    <t>TenderLot n Participant 6</t>
  </si>
  <si>
    <t xml:space="preserve"> TenderLot n Participant 7</t>
  </si>
  <si>
    <t>TenderLot n Participant 8</t>
  </si>
  <si>
    <t>TenderLot n Participant 9</t>
  </si>
  <si>
    <t>TenderLot n Participant 10</t>
  </si>
  <si>
    <t>Quality Dimension for Lot n - Award Criterion and score per tender lot - TOTAL SCORE - SIMPLE</t>
  </si>
  <si>
    <t>Price Dimension - TOTAL SCORE - SIMPLE</t>
  </si>
  <si>
    <t xml:space="preserve">A dimension is a parent criterion grouping subcriteria of the same nature. In this solution, for the award criteria there are only two dimensions covered: the quality dimension and the price dimension.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</si>
</sst>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quot;€&quot;\ * #,##0.00_-;\-&quot;€&quot;\ * #,##0.00_-;_-&quot;€&quot;\ * &quot;-&quot;??_-;_-@_-"/>
    <numFmt numFmtId="165" formatCode="_-* #,##0_-;\-* #,##0_-;_-* &quot;-&quot;??_-;_-@_-"/>
    <numFmt numFmtId="166" formatCode="0.000%"/>
    <numFmt numFmtId="167" formatCode="0.000"/>
  </numFmts>
  <fonts count="28" x14ac:knownFonts="1">
    <font>
      <sz val="11"/>
      <color theme="1"/>
      <name val="Calibri"/>
      <family val="2"/>
      <scheme val="minor"/>
    </font>
    <font>
      <b/>
      <sz val="11"/>
      <color theme="0"/>
      <name val="Calibri"/>
      <family val="2"/>
      <scheme val="minor"/>
    </font>
    <font>
      <sz val="11"/>
      <color theme="0"/>
      <name val="Calibri"/>
      <family val="2"/>
      <scheme val="minor"/>
    </font>
    <font>
      <i/>
      <sz val="11"/>
      <color theme="4" tint="-0.249977111117893"/>
      <name val="Calibri"/>
      <family val="2"/>
      <scheme val="minor"/>
    </font>
    <font>
      <b/>
      <i/>
      <sz val="11"/>
      <color theme="4" tint="-0.249977111117893"/>
      <name val="Calibri"/>
      <family val="2"/>
      <scheme val="minor"/>
    </font>
    <font>
      <b/>
      <sz val="22"/>
      <color theme="4" tint="-0.249977111117893"/>
      <name val="Calibri"/>
      <family val="2"/>
      <scheme val="minor"/>
    </font>
    <font>
      <b/>
      <sz val="10"/>
      <color theme="0"/>
      <name val="Calibri"/>
      <family val="2"/>
      <scheme val="minor"/>
    </font>
    <font>
      <b/>
      <sz val="11"/>
      <color theme="4" tint="-0.249977111117893"/>
      <name val="Calibri"/>
      <family val="2"/>
      <scheme val="minor"/>
    </font>
    <font>
      <sz val="11"/>
      <color theme="4" tint="-0.249977111117893"/>
      <name val="Calibri"/>
      <family val="2"/>
      <scheme val="minor"/>
    </font>
    <font>
      <sz val="10"/>
      <color theme="9" tint="-0.249977111117893"/>
      <name val="Calibri"/>
      <family val="2"/>
      <scheme val="minor"/>
    </font>
    <font>
      <sz val="11"/>
      <name val="Calibri"/>
      <family val="2"/>
      <scheme val="minor"/>
    </font>
    <font>
      <b/>
      <sz val="11"/>
      <name val="Calibri"/>
      <family val="2"/>
      <scheme val="minor"/>
    </font>
    <font>
      <b/>
      <sz val="36"/>
      <color theme="1"/>
      <name val="Calibri"/>
      <family val="2"/>
      <scheme val="minor"/>
    </font>
    <font>
      <sz val="11"/>
      <color theme="4" tint="-0.249977111117893"/>
      <name val="Calibri"/>
      <family val="2"/>
    </font>
    <font>
      <i/>
      <sz val="11"/>
      <color theme="4" tint="-0.249977111117893"/>
      <name val="Calibri"/>
      <family val="2"/>
    </font>
    <font>
      <b/>
      <sz val="11"/>
      <color theme="9" tint="-0.249977111117893"/>
      <name val="Calibri"/>
      <family val="2"/>
      <scheme val="minor"/>
    </font>
    <font>
      <i/>
      <sz val="10"/>
      <color theme="4" tint="-0.249977111117893"/>
      <name val="Calibri"/>
      <family val="2"/>
      <scheme val="minor"/>
    </font>
    <font>
      <b/>
      <i/>
      <sz val="22"/>
      <color theme="4" tint="-0.249977111117893"/>
      <name val="Calibri"/>
      <family val="2"/>
      <scheme val="minor"/>
    </font>
    <font>
      <b/>
      <i/>
      <sz val="11"/>
      <color theme="4" tint="0.39997558519241921"/>
      <name val="Calibri"/>
      <family val="2"/>
      <scheme val="minor"/>
    </font>
    <font>
      <sz val="10"/>
      <color theme="4" tint="-0.249977111117893"/>
      <name val="Calibri"/>
      <family val="2"/>
      <scheme val="minor"/>
    </font>
    <font>
      <sz val="11"/>
      <color theme="1"/>
      <name val="Calibri"/>
      <family val="2"/>
      <scheme val="minor"/>
    </font>
    <font>
      <sz val="11"/>
      <color rgb="FFFF0000"/>
      <name val="Calibri"/>
      <family val="2"/>
      <scheme val="minor"/>
    </font>
    <font>
      <sz val="9"/>
      <color rgb="FF2E8B57"/>
      <name val="Courier New"/>
      <family val="3"/>
    </font>
    <font>
      <sz val="10"/>
      <name val="Calibri"/>
      <family val="2"/>
      <scheme val="minor"/>
    </font>
    <font>
      <b/>
      <sz val="11"/>
      <color theme="1"/>
      <name val="Calibri"/>
      <family val="2"/>
      <scheme val="minor"/>
    </font>
    <font>
      <b/>
      <sz val="12"/>
      <name val="Calibri"/>
      <family val="2"/>
      <scheme val="minor"/>
    </font>
    <font>
      <sz val="12"/>
      <color theme="1"/>
      <name val="Calibri"/>
      <family val="2"/>
      <scheme val="minor"/>
    </font>
    <font>
      <b/>
      <sz val="10"/>
      <name val="Calibri"/>
      <family val="2"/>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14999847407452621"/>
        <bgColor indexed="64"/>
      </patternFill>
    </fill>
  </fills>
  <borders count="38">
    <border>
      <left/>
      <right/>
      <top/>
      <bottom/>
      <diagonal/>
    </border>
    <border>
      <left style="medium">
        <color theme="4" tint="0.39994506668294322"/>
      </left>
      <right/>
      <top style="medium">
        <color theme="4" tint="0.39994506668294322"/>
      </top>
      <bottom/>
      <diagonal/>
    </border>
    <border>
      <left style="medium">
        <color theme="4" tint="0.39994506668294322"/>
      </left>
      <right/>
      <top/>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thin">
        <color auto="1"/>
      </bottom>
      <diagonal/>
    </border>
    <border>
      <left style="thin">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diagonal/>
    </border>
    <border>
      <left/>
      <right style="thin">
        <color theme="4" tint="0.39994506668294322"/>
      </right>
      <top/>
      <bottom/>
      <diagonal/>
    </border>
    <border>
      <left style="thin">
        <color theme="4" tint="0.39994506668294322"/>
      </left>
      <right/>
      <top/>
      <bottom style="thin">
        <color theme="4" tint="0.39994506668294322"/>
      </bottom>
      <diagonal/>
    </border>
    <border>
      <left/>
      <right/>
      <top style="thick">
        <color auto="1"/>
      </top>
      <bottom/>
      <diagonal/>
    </border>
    <border>
      <left style="thin">
        <color auto="1"/>
      </left>
      <right style="hair">
        <color auto="1"/>
      </right>
      <top style="thin">
        <color auto="1"/>
      </top>
      <bottom/>
      <diagonal/>
    </border>
    <border>
      <left style="hair">
        <color auto="1"/>
      </left>
      <right style="thin">
        <color auto="1"/>
      </right>
      <top style="thin">
        <color auto="1"/>
      </top>
      <bottom/>
      <diagonal/>
    </border>
    <border>
      <left style="thin">
        <color indexed="64"/>
      </left>
      <right/>
      <top style="thick">
        <color auto="1"/>
      </top>
      <bottom/>
      <diagonal/>
    </border>
    <border>
      <left style="thin">
        <color auto="1"/>
      </left>
      <right style="hair">
        <color auto="1"/>
      </right>
      <top style="thick">
        <color auto="1"/>
      </top>
      <bottom style="thin">
        <color auto="1"/>
      </bottom>
      <diagonal/>
    </border>
    <border>
      <left style="hair">
        <color auto="1"/>
      </left>
      <right style="thin">
        <color auto="1"/>
      </right>
      <top style="thick">
        <color auto="1"/>
      </top>
      <bottom style="thin">
        <color auto="1"/>
      </bottom>
      <diagonal/>
    </border>
    <border>
      <left style="thin">
        <color auto="1"/>
      </left>
      <right/>
      <top style="thin">
        <color auto="1"/>
      </top>
      <bottom style="thin">
        <color auto="1"/>
      </bottom>
      <diagonal/>
    </border>
    <border>
      <left style="thin">
        <color auto="1"/>
      </left>
      <right style="hair">
        <color auto="1"/>
      </right>
      <top/>
      <bottom/>
      <diagonal/>
    </border>
    <border>
      <left style="hair">
        <color auto="1"/>
      </left>
      <right style="thin">
        <color auto="1"/>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1454817346722"/>
      </left>
      <right style="thin">
        <color theme="4" tint="0.39988402966399123"/>
      </right>
      <top style="thin">
        <color theme="4" tint="0.39991454817346722"/>
      </top>
      <bottom style="thin">
        <color theme="4" tint="0.399914548173467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auto="1"/>
      </bottom>
      <diagonal/>
    </border>
    <border>
      <left style="thin">
        <color theme="4" tint="-0.24994659260841701"/>
      </left>
      <right style="thin">
        <color theme="4" tint="-0.24994659260841701"/>
      </right>
      <top style="thin">
        <color theme="4" tint="-0.24994659260841701"/>
      </top>
      <bottom/>
      <diagonal/>
    </border>
  </borders>
  <cellStyleXfs count="4">
    <xf numFmtId="0" fontId="0" fillId="0" borderId="0"/>
    <xf numFmtId="43" fontId="20" fillId="0" borderId="0" applyFont="0" applyFill="0" applyBorder="0" applyAlignment="0" applyProtection="0"/>
    <xf numFmtId="164" fontId="20" fillId="0" borderId="0" applyFont="0" applyFill="0" applyBorder="0" applyAlignment="0" applyProtection="0"/>
    <xf numFmtId="9" fontId="20" fillId="0" borderId="0" applyFont="0" applyFill="0" applyBorder="0" applyAlignment="0" applyProtection="0"/>
  </cellStyleXfs>
  <cellXfs count="223">
    <xf numFmtId="0" fontId="0" fillId="0" borderId="0" xfId="0"/>
    <xf numFmtId="0" fontId="1" fillId="3" borderId="0" xfId="0" applyFont="1" applyFill="1" applyAlignment="1">
      <alignment horizontal="center"/>
    </xf>
    <xf numFmtId="0" fontId="0" fillId="2" borderId="1" xfId="0" applyFill="1" applyBorder="1"/>
    <xf numFmtId="0" fontId="0" fillId="2" borderId="2" xfId="0" applyFill="1" applyBorder="1"/>
    <xf numFmtId="0" fontId="0" fillId="2" borderId="0" xfId="0" applyFill="1" applyBorder="1"/>
    <xf numFmtId="0" fontId="2" fillId="4" borderId="0" xfId="0" applyFont="1" applyFill="1"/>
    <xf numFmtId="0" fontId="0" fillId="0" borderId="0" xfId="0" applyBorder="1"/>
    <xf numFmtId="0" fontId="0" fillId="0" borderId="0" xfId="0" applyAlignment="1">
      <alignment horizontal="center"/>
    </xf>
    <xf numFmtId="0" fontId="6" fillId="4" borderId="0" xfId="0" applyFont="1" applyFill="1"/>
    <xf numFmtId="0" fontId="0" fillId="0" borderId="0" xfId="0" applyFill="1" applyBorder="1"/>
    <xf numFmtId="0" fontId="0" fillId="0" borderId="5" xfId="0" applyBorder="1" applyAlignment="1">
      <alignment horizontal="center"/>
    </xf>
    <xf numFmtId="0" fontId="0" fillId="2" borderId="6" xfId="0" applyFill="1" applyBorder="1"/>
    <xf numFmtId="0" fontId="10" fillId="0" borderId="0" xfId="0" applyFont="1" applyFill="1" applyAlignment="1">
      <alignment horizontal="center"/>
    </xf>
    <xf numFmtId="0" fontId="0" fillId="2" borderId="8" xfId="0" applyFill="1" applyBorder="1" applyAlignment="1">
      <alignment horizontal="center"/>
    </xf>
    <xf numFmtId="0" fontId="0" fillId="2" borderId="9" xfId="0" applyFill="1" applyBorder="1" applyAlignment="1">
      <alignment horizontal="center"/>
    </xf>
    <xf numFmtId="0" fontId="0" fillId="2" borderId="10" xfId="0" applyFill="1" applyBorder="1" applyAlignment="1">
      <alignment horizontal="center"/>
    </xf>
    <xf numFmtId="0" fontId="11" fillId="0" borderId="11" xfId="0" applyFont="1" applyFill="1" applyBorder="1"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8" fillId="0" borderId="0" xfId="0" applyFont="1"/>
    <xf numFmtId="0" fontId="0" fillId="4" borderId="0" xfId="0" applyFill="1" applyAlignment="1">
      <alignment horizontal="center"/>
    </xf>
    <xf numFmtId="0" fontId="15" fillId="6" borderId="0" xfId="0" applyFont="1" applyFill="1" applyAlignment="1">
      <alignment horizontal="center"/>
    </xf>
    <xf numFmtId="0" fontId="6" fillId="4" borderId="0" xfId="0" applyFont="1" applyFill="1" applyAlignment="1">
      <alignment horizontal="left"/>
    </xf>
    <xf numFmtId="0" fontId="16" fillId="0" borderId="0" xfId="0" applyFont="1"/>
    <xf numFmtId="0" fontId="0" fillId="2" borderId="6" xfId="0" applyNumberFormat="1" applyFill="1" applyBorder="1" applyAlignment="1">
      <alignment horizontal="center"/>
    </xf>
    <xf numFmtId="0" fontId="19" fillId="0" borderId="0" xfId="0" applyFont="1"/>
    <xf numFmtId="0" fontId="1" fillId="3" borderId="18" xfId="0" applyFont="1" applyFill="1" applyBorder="1" applyAlignment="1">
      <alignment horizontal="center"/>
    </xf>
    <xf numFmtId="0" fontId="1" fillId="3" borderId="20" xfId="0" applyFont="1" applyFill="1" applyBorder="1" applyAlignment="1">
      <alignment horizontal="center"/>
    </xf>
    <xf numFmtId="2" fontId="6" fillId="4" borderId="0" xfId="0" applyNumberFormat="1" applyFont="1" applyFill="1" applyAlignment="1">
      <alignment horizontal="center"/>
    </xf>
    <xf numFmtId="0" fontId="6" fillId="3" borderId="4" xfId="0" applyFont="1" applyFill="1" applyBorder="1" applyAlignment="1">
      <alignment horizontal="left"/>
    </xf>
    <xf numFmtId="0" fontId="9" fillId="7" borderId="4" xfId="0" applyFont="1" applyFill="1" applyBorder="1" applyAlignment="1">
      <alignment horizontal="center"/>
    </xf>
    <xf numFmtId="0" fontId="17" fillId="5" borderId="0" xfId="0" applyFont="1" applyFill="1"/>
    <xf numFmtId="0" fontId="0" fillId="5" borderId="0" xfId="0" applyFill="1" applyAlignment="1">
      <alignment horizontal="center"/>
    </xf>
    <xf numFmtId="0" fontId="0" fillId="5" borderId="0" xfId="0" applyFill="1"/>
    <xf numFmtId="0" fontId="5" fillId="5" borderId="0" xfId="0" applyFont="1" applyFill="1"/>
    <xf numFmtId="0" fontId="1" fillId="5" borderId="0" xfId="0" applyFont="1" applyFill="1" applyAlignment="1">
      <alignment horizontal="center"/>
    </xf>
    <xf numFmtId="0" fontId="3" fillId="5" borderId="0" xfId="0" applyFont="1" applyFill="1"/>
    <xf numFmtId="0" fontId="3" fillId="3" borderId="0" xfId="0" applyFont="1" applyFill="1"/>
    <xf numFmtId="0" fontId="3" fillId="5" borderId="15" xfId="0" applyFont="1" applyFill="1" applyBorder="1" applyAlignment="1">
      <alignment horizontal="center"/>
    </xf>
    <xf numFmtId="0" fontId="3" fillId="5" borderId="16" xfId="0" applyFont="1" applyFill="1" applyBorder="1" applyAlignment="1">
      <alignment horizontal="center"/>
    </xf>
    <xf numFmtId="0" fontId="4" fillId="5" borderId="17" xfId="0" applyFont="1" applyFill="1" applyBorder="1" applyAlignment="1">
      <alignment horizontal="center"/>
    </xf>
    <xf numFmtId="2" fontId="8" fillId="5" borderId="0" xfId="0" applyNumberFormat="1" applyFont="1" applyFill="1" applyBorder="1" applyAlignment="1">
      <alignment horizontal="center"/>
    </xf>
    <xf numFmtId="0" fontId="8" fillId="5" borderId="0" xfId="0" applyFont="1" applyFill="1" applyBorder="1" applyAlignment="1">
      <alignment horizontal="center"/>
    </xf>
    <xf numFmtId="2" fontId="7" fillId="5" borderId="19" xfId="0" applyNumberFormat="1" applyFont="1" applyFill="1" applyBorder="1" applyAlignment="1">
      <alignment horizontal="center"/>
    </xf>
    <xf numFmtId="1" fontId="6" fillId="4" borderId="0" xfId="0" applyNumberFormat="1" applyFont="1" applyFill="1" applyAlignment="1">
      <alignment horizontal="center"/>
    </xf>
    <xf numFmtId="164" fontId="0" fillId="0" borderId="0" xfId="2" applyFont="1" applyAlignment="1">
      <alignment horizontal="center"/>
    </xf>
    <xf numFmtId="164" fontId="0" fillId="0" borderId="0" xfId="2" applyFont="1" applyBorder="1" applyAlignment="1">
      <alignment horizontal="center"/>
    </xf>
    <xf numFmtId="164" fontId="0" fillId="0" borderId="0" xfId="2" applyFont="1" applyFill="1" applyBorder="1" applyAlignment="1">
      <alignment horizontal="center"/>
    </xf>
    <xf numFmtId="164" fontId="0" fillId="0" borderId="8" xfId="2" applyFont="1" applyBorder="1" applyAlignment="1">
      <alignment horizontal="center"/>
    </xf>
    <xf numFmtId="164" fontId="0" fillId="0" borderId="9" xfId="2" applyFont="1" applyBorder="1" applyAlignment="1">
      <alignment horizontal="center"/>
    </xf>
    <xf numFmtId="164" fontId="0" fillId="2" borderId="6" xfId="2" applyFont="1" applyFill="1" applyBorder="1" applyAlignment="1">
      <alignment horizontal="center"/>
    </xf>
    <xf numFmtId="164" fontId="0" fillId="2" borderId="6" xfId="2" applyFont="1" applyFill="1" applyBorder="1"/>
    <xf numFmtId="164" fontId="0" fillId="0" borderId="13" xfId="2" applyFont="1" applyBorder="1" applyAlignment="1">
      <alignment horizontal="center"/>
    </xf>
    <xf numFmtId="164" fontId="0" fillId="8" borderId="6" xfId="2" applyFont="1" applyFill="1" applyBorder="1" applyAlignment="1">
      <alignment horizontal="center"/>
    </xf>
    <xf numFmtId="164" fontId="0" fillId="8" borderId="6" xfId="2" applyFont="1" applyFill="1" applyBorder="1"/>
    <xf numFmtId="0" fontId="0" fillId="8" borderId="6" xfId="0" applyNumberFormat="1" applyFill="1" applyBorder="1" applyAlignment="1">
      <alignment horizontal="center"/>
    </xf>
    <xf numFmtId="0" fontId="0" fillId="8" borderId="6" xfId="0" applyFill="1" applyBorder="1"/>
    <xf numFmtId="0" fontId="0" fillId="8" borderId="22" xfId="0" applyNumberFormat="1" applyFill="1" applyBorder="1" applyAlignment="1">
      <alignment horizontal="center"/>
    </xf>
    <xf numFmtId="0" fontId="0" fillId="8" borderId="22" xfId="0" applyFill="1" applyBorder="1"/>
    <xf numFmtId="0" fontId="0" fillId="0" borderId="24" xfId="0" applyBorder="1" applyAlignment="1">
      <alignment horizontal="center"/>
    </xf>
    <xf numFmtId="0" fontId="0" fillId="0" borderId="21" xfId="0" applyBorder="1"/>
    <xf numFmtId="0" fontId="0" fillId="9" borderId="25" xfId="0" applyNumberFormat="1" applyFill="1" applyBorder="1" applyAlignment="1">
      <alignment horizontal="center"/>
    </xf>
    <xf numFmtId="0" fontId="0" fillId="9" borderId="25" xfId="0" applyFill="1" applyBorder="1"/>
    <xf numFmtId="0" fontId="0" fillId="9" borderId="6" xfId="0" applyNumberFormat="1" applyFill="1" applyBorder="1" applyAlignment="1">
      <alignment horizontal="center"/>
    </xf>
    <xf numFmtId="0" fontId="0" fillId="9" borderId="6" xfId="0" applyFill="1" applyBorder="1"/>
    <xf numFmtId="0" fontId="0" fillId="9" borderId="22" xfId="0" applyNumberFormat="1" applyFill="1" applyBorder="1" applyAlignment="1">
      <alignment horizontal="center"/>
    </xf>
    <xf numFmtId="0" fontId="0" fillId="9" borderId="22" xfId="0" applyFill="1" applyBorder="1"/>
    <xf numFmtId="0" fontId="0" fillId="0" borderId="21" xfId="0" applyBorder="1" applyAlignment="1">
      <alignment horizontal="center"/>
    </xf>
    <xf numFmtId="0" fontId="0" fillId="8" borderId="25" xfId="0" applyNumberFormat="1" applyFill="1" applyBorder="1" applyAlignment="1">
      <alignment horizontal="center"/>
    </xf>
    <xf numFmtId="0" fontId="0" fillId="8" borderId="25" xfId="0" applyFill="1" applyBorder="1"/>
    <xf numFmtId="165" fontId="0" fillId="0" borderId="0" xfId="1" applyNumberFormat="1" applyFont="1" applyBorder="1" applyAlignment="1">
      <alignment horizontal="center"/>
    </xf>
    <xf numFmtId="165" fontId="0" fillId="8" borderId="7" xfId="1" applyNumberFormat="1" applyFont="1" applyFill="1" applyBorder="1" applyAlignment="1">
      <alignment horizontal="center"/>
    </xf>
    <xf numFmtId="165" fontId="0" fillId="2" borderId="7" xfId="1" applyNumberFormat="1" applyFont="1" applyFill="1" applyBorder="1" applyAlignment="1">
      <alignment horizontal="center"/>
    </xf>
    <xf numFmtId="165" fontId="0" fillId="8" borderId="23" xfId="1" applyNumberFormat="1" applyFont="1" applyFill="1" applyBorder="1" applyAlignment="1">
      <alignment horizontal="center"/>
    </xf>
    <xf numFmtId="165" fontId="0" fillId="9" borderId="26" xfId="1" applyNumberFormat="1" applyFont="1" applyFill="1" applyBorder="1" applyAlignment="1">
      <alignment horizontal="center"/>
    </xf>
    <xf numFmtId="165" fontId="0" fillId="9" borderId="7" xfId="1" applyNumberFormat="1" applyFont="1" applyFill="1" applyBorder="1" applyAlignment="1">
      <alignment horizontal="center"/>
    </xf>
    <xf numFmtId="165" fontId="0" fillId="9" borderId="23" xfId="1" applyNumberFormat="1" applyFont="1" applyFill="1" applyBorder="1" applyAlignment="1">
      <alignment horizontal="center"/>
    </xf>
    <xf numFmtId="165" fontId="0" fillId="8" borderId="26" xfId="1" applyNumberFormat="1" applyFont="1" applyFill="1" applyBorder="1" applyAlignment="1">
      <alignment horizontal="center"/>
    </xf>
    <xf numFmtId="165" fontId="0" fillId="0" borderId="0" xfId="1" applyNumberFormat="1" applyFont="1" applyFill="1"/>
    <xf numFmtId="165" fontId="0" fillId="8" borderId="7" xfId="1" applyNumberFormat="1" applyFont="1" applyFill="1" applyBorder="1"/>
    <xf numFmtId="165" fontId="0" fillId="2" borderId="7" xfId="1" applyNumberFormat="1" applyFont="1" applyFill="1" applyBorder="1"/>
    <xf numFmtId="165" fontId="0" fillId="8" borderId="23" xfId="1" applyNumberFormat="1" applyFont="1" applyFill="1" applyBorder="1"/>
    <xf numFmtId="165" fontId="0" fillId="9" borderId="26" xfId="1" applyNumberFormat="1" applyFont="1" applyFill="1" applyBorder="1"/>
    <xf numFmtId="165" fontId="0" fillId="9" borderId="7" xfId="1" applyNumberFormat="1" applyFont="1" applyFill="1" applyBorder="1"/>
    <xf numFmtId="165" fontId="0" fillId="9" borderId="23" xfId="1" applyNumberFormat="1" applyFont="1" applyFill="1" applyBorder="1"/>
    <xf numFmtId="165" fontId="0" fillId="8" borderId="26" xfId="1" applyNumberFormat="1" applyFont="1" applyFill="1" applyBorder="1"/>
    <xf numFmtId="165" fontId="0" fillId="0" borderId="0" xfId="1" applyNumberFormat="1" applyFont="1" applyBorder="1"/>
    <xf numFmtId="165" fontId="0" fillId="0" borderId="0" xfId="1" applyNumberFormat="1" applyFont="1" applyFill="1" applyBorder="1" applyAlignment="1">
      <alignment horizontal="center"/>
    </xf>
    <xf numFmtId="165" fontId="0" fillId="0" borderId="0" xfId="2" applyNumberFormat="1" applyFont="1" applyFill="1" applyBorder="1" applyAlignment="1">
      <alignment horizontal="center"/>
    </xf>
    <xf numFmtId="165" fontId="0" fillId="8" borderId="7" xfId="2" applyNumberFormat="1" applyFont="1" applyFill="1" applyBorder="1"/>
    <xf numFmtId="165" fontId="0" fillId="2" borderId="7" xfId="2" applyNumberFormat="1" applyFont="1" applyFill="1" applyBorder="1"/>
    <xf numFmtId="165" fontId="0" fillId="2" borderId="7" xfId="0" applyNumberFormat="1" applyFill="1" applyBorder="1"/>
    <xf numFmtId="165" fontId="0" fillId="8" borderId="7" xfId="0" applyNumberFormat="1" applyFill="1" applyBorder="1"/>
    <xf numFmtId="165" fontId="0" fillId="8" borderId="23" xfId="0" applyNumberFormat="1" applyFill="1" applyBorder="1"/>
    <xf numFmtId="165" fontId="0" fillId="9" borderId="26" xfId="0" applyNumberFormat="1" applyFill="1" applyBorder="1"/>
    <xf numFmtId="165" fontId="0" fillId="9" borderId="7" xfId="0" applyNumberFormat="1" applyFill="1" applyBorder="1"/>
    <xf numFmtId="165" fontId="0" fillId="9" borderId="23" xfId="0" applyNumberFormat="1" applyFill="1" applyBorder="1"/>
    <xf numFmtId="165" fontId="0" fillId="8" borderId="26" xfId="0" applyNumberFormat="1" applyFill="1" applyBorder="1"/>
    <xf numFmtId="165" fontId="0" fillId="0" borderId="0" xfId="0" applyNumberFormat="1" applyBorder="1"/>
    <xf numFmtId="165" fontId="0" fillId="0" borderId="0" xfId="0" applyNumberFormat="1"/>
    <xf numFmtId="165" fontId="0" fillId="0" borderId="0" xfId="2" applyNumberFormat="1" applyFont="1" applyAlignment="1">
      <alignment horizontal="center"/>
    </xf>
    <xf numFmtId="0" fontId="10" fillId="0" borderId="21" xfId="0" applyFont="1" applyBorder="1" applyAlignment="1">
      <alignment horizontal="center"/>
    </xf>
    <xf numFmtId="43" fontId="0" fillId="0" borderId="0" xfId="1" applyFont="1" applyBorder="1" applyAlignment="1">
      <alignment horizontal="center"/>
    </xf>
    <xf numFmtId="2" fontId="0" fillId="0" borderId="0" xfId="0" applyNumberFormat="1"/>
    <xf numFmtId="2" fontId="19" fillId="10" borderId="4" xfId="0" applyNumberFormat="1" applyFont="1" applyFill="1" applyBorder="1" applyAlignment="1" applyProtection="1">
      <alignment horizontal="center"/>
      <protection locked="0"/>
    </xf>
    <xf numFmtId="0" fontId="0" fillId="0" borderId="3" xfId="0" applyBorder="1" applyAlignment="1" applyProtection="1">
      <protection locked="0"/>
    </xf>
    <xf numFmtId="0" fontId="0" fillId="0" borderId="3" xfId="0" applyBorder="1" applyProtection="1">
      <protection locked="0"/>
    </xf>
    <xf numFmtId="0" fontId="21" fillId="0" borderId="0" xfId="0" applyFont="1"/>
    <xf numFmtId="2" fontId="22" fillId="0" borderId="0" xfId="0" applyNumberFormat="1" applyFont="1"/>
    <xf numFmtId="0" fontId="0" fillId="0" borderId="22" xfId="0" applyNumberFormat="1" applyFill="1" applyBorder="1" applyAlignment="1">
      <alignment horizontal="center"/>
    </xf>
    <xf numFmtId="165" fontId="0" fillId="0" borderId="23" xfId="1" applyNumberFormat="1" applyFont="1" applyFill="1" applyBorder="1" applyAlignment="1">
      <alignment horizontal="center"/>
    </xf>
    <xf numFmtId="0" fontId="0" fillId="0" borderId="22" xfId="0" applyFill="1" applyBorder="1"/>
    <xf numFmtId="165" fontId="0" fillId="0" borderId="23" xfId="1" applyNumberFormat="1" applyFont="1" applyFill="1" applyBorder="1"/>
    <xf numFmtId="165" fontId="0" fillId="0" borderId="23" xfId="0" applyNumberFormat="1" applyFill="1" applyBorder="1"/>
    <xf numFmtId="0" fontId="0" fillId="3" borderId="22" xfId="0" applyNumberFormat="1" applyFill="1" applyBorder="1" applyAlignment="1">
      <alignment horizontal="center"/>
    </xf>
    <xf numFmtId="165" fontId="0" fillId="3" borderId="23" xfId="1" applyNumberFormat="1" applyFont="1" applyFill="1" applyBorder="1" applyAlignment="1">
      <alignment horizontal="center"/>
    </xf>
    <xf numFmtId="0" fontId="0" fillId="3" borderId="22" xfId="0" applyFill="1" applyBorder="1"/>
    <xf numFmtId="165" fontId="0" fillId="3" borderId="23" xfId="1" applyNumberFormat="1" applyFont="1" applyFill="1" applyBorder="1"/>
    <xf numFmtId="165" fontId="0" fillId="3" borderId="23" xfId="0" applyNumberFormat="1" applyFill="1" applyBorder="1"/>
    <xf numFmtId="0" fontId="0" fillId="9" borderId="28" xfId="0" applyNumberFormat="1" applyFill="1" applyBorder="1" applyAlignment="1">
      <alignment horizontal="center"/>
    </xf>
    <xf numFmtId="165" fontId="0" fillId="9" borderId="29" xfId="1" applyNumberFormat="1" applyFont="1" applyFill="1" applyBorder="1" applyAlignment="1">
      <alignment horizontal="center"/>
    </xf>
    <xf numFmtId="0" fontId="0" fillId="9" borderId="28" xfId="0" applyFill="1" applyBorder="1"/>
    <xf numFmtId="165" fontId="0" fillId="9" borderId="29" xfId="1" applyNumberFormat="1" applyFont="1" applyFill="1" applyBorder="1"/>
    <xf numFmtId="165" fontId="0" fillId="9" borderId="29" xfId="0" applyNumberFormat="1" applyFill="1" applyBorder="1"/>
    <xf numFmtId="0" fontId="0" fillId="0" borderId="14" xfId="0" applyFill="1" applyBorder="1" applyAlignment="1">
      <alignment horizontal="center"/>
    </xf>
    <xf numFmtId="0" fontId="0" fillId="0" borderId="12" xfId="0" applyFill="1" applyBorder="1" applyAlignment="1">
      <alignment horizontal="center"/>
    </xf>
    <xf numFmtId="0" fontId="0" fillId="3" borderId="27" xfId="0" applyFill="1" applyBorder="1"/>
    <xf numFmtId="0" fontId="0" fillId="3" borderId="30" xfId="0" applyFill="1" applyBorder="1"/>
    <xf numFmtId="165" fontId="0" fillId="3" borderId="31" xfId="1" applyNumberFormat="1" applyFont="1" applyFill="1" applyBorder="1"/>
    <xf numFmtId="165" fontId="0" fillId="3" borderId="31" xfId="0" applyNumberFormat="1" applyFill="1" applyBorder="1"/>
    <xf numFmtId="2" fontId="23" fillId="11" borderId="4" xfId="0" applyNumberFormat="1" applyFont="1" applyFill="1" applyBorder="1" applyAlignment="1">
      <alignment horizontal="center"/>
    </xf>
    <xf numFmtId="0" fontId="0" fillId="0" borderId="32" xfId="0" applyBorder="1" applyAlignment="1" applyProtection="1">
      <protection locked="0"/>
    </xf>
    <xf numFmtId="0" fontId="0" fillId="0" borderId="32" xfId="0" applyBorder="1" applyProtection="1">
      <protection locked="0"/>
    </xf>
    <xf numFmtId="2" fontId="21" fillId="0" borderId="0" xfId="0" applyNumberFormat="1" applyFont="1"/>
    <xf numFmtId="0" fontId="24" fillId="0" borderId="27" xfId="0" applyFont="1" applyBorder="1" applyAlignment="1">
      <alignment horizontal="center" vertical="center"/>
    </xf>
    <xf numFmtId="0" fontId="24" fillId="0" borderId="30" xfId="0" applyFont="1" applyBorder="1" applyAlignment="1">
      <alignment horizontal="center" vertical="center"/>
    </xf>
    <xf numFmtId="167" fontId="24" fillId="0" borderId="30" xfId="0" applyNumberFormat="1" applyFont="1" applyBorder="1" applyAlignment="1">
      <alignment horizontal="center" vertical="center"/>
    </xf>
    <xf numFmtId="0" fontId="24" fillId="13" borderId="33" xfId="0" applyFont="1" applyFill="1" applyBorder="1" applyAlignment="1">
      <alignment horizontal="center" vertical="center"/>
    </xf>
    <xf numFmtId="0" fontId="24" fillId="0" borderId="0" xfId="0" applyFont="1" applyAlignment="1">
      <alignment horizontal="center" vertical="center"/>
    </xf>
    <xf numFmtId="0" fontId="24" fillId="0" borderId="8" xfId="0" applyFont="1" applyBorder="1" applyAlignment="1">
      <alignment horizontal="center" vertical="center"/>
    </xf>
    <xf numFmtId="166" fontId="0" fillId="0" borderId="9" xfId="0" applyNumberFormat="1" applyBorder="1"/>
    <xf numFmtId="0" fontId="0" fillId="0" borderId="9" xfId="0" applyBorder="1" applyAlignment="1">
      <alignment horizontal="center" vertical="center"/>
    </xf>
    <xf numFmtId="167" fontId="0" fillId="0" borderId="9" xfId="0" applyNumberFormat="1" applyBorder="1"/>
    <xf numFmtId="0" fontId="0" fillId="13" borderId="34" xfId="0" applyFill="1" applyBorder="1"/>
    <xf numFmtId="0" fontId="24" fillId="0" borderId="9" xfId="0" applyFont="1" applyBorder="1" applyAlignment="1">
      <alignment horizontal="center" vertical="center"/>
    </xf>
    <xf numFmtId="0" fontId="24" fillId="0" borderId="13" xfId="0" applyFont="1" applyBorder="1" applyAlignment="1">
      <alignment horizontal="center" vertical="center"/>
    </xf>
    <xf numFmtId="166" fontId="0" fillId="0" borderId="0" xfId="0" applyNumberFormat="1" applyBorder="1"/>
    <xf numFmtId="0" fontId="0" fillId="0" borderId="0" xfId="0" applyBorder="1" applyAlignment="1">
      <alignment horizontal="center" vertical="center"/>
    </xf>
    <xf numFmtId="167" fontId="0" fillId="0" borderId="0" xfId="0" applyNumberFormat="1" applyBorder="1"/>
    <xf numFmtId="0" fontId="0" fillId="13" borderId="35" xfId="0" applyFill="1" applyBorder="1"/>
    <xf numFmtId="0" fontId="24" fillId="0" borderId="11" xfId="0" applyFont="1" applyBorder="1" applyAlignment="1">
      <alignment horizontal="center" vertical="center"/>
    </xf>
    <xf numFmtId="166" fontId="0" fillId="0" borderId="5" xfId="0" applyNumberFormat="1" applyBorder="1"/>
    <xf numFmtId="0" fontId="0" fillId="0" borderId="5" xfId="0" applyBorder="1" applyAlignment="1">
      <alignment horizontal="center" vertical="center"/>
    </xf>
    <xf numFmtId="167" fontId="0" fillId="0" borderId="5" xfId="0" applyNumberFormat="1" applyBorder="1"/>
    <xf numFmtId="0" fontId="0" fillId="13" borderId="36" xfId="0" applyFill="1" applyBorder="1"/>
    <xf numFmtId="166" fontId="0" fillId="0" borderId="12" xfId="0" applyNumberFormat="1" applyBorder="1"/>
    <xf numFmtId="0" fontId="0" fillId="13" borderId="5" xfId="0" applyFill="1" applyBorder="1" applyAlignment="1">
      <alignment horizontal="center" vertical="center"/>
    </xf>
    <xf numFmtId="167" fontId="0" fillId="13" borderId="5" xfId="0" applyNumberFormat="1" applyFill="1" applyBorder="1"/>
    <xf numFmtId="2" fontId="0" fillId="13" borderId="5" xfId="0" applyNumberFormat="1" applyFill="1" applyBorder="1"/>
    <xf numFmtId="166" fontId="0" fillId="0" borderId="0" xfId="0" applyNumberFormat="1"/>
    <xf numFmtId="0" fontId="0" fillId="0" borderId="0" xfId="0" applyAlignment="1">
      <alignment horizontal="center" vertical="center"/>
    </xf>
    <xf numFmtId="167" fontId="0" fillId="0" borderId="0" xfId="0" applyNumberFormat="1"/>
    <xf numFmtId="2" fontId="23" fillId="0" borderId="4" xfId="0" applyNumberFormat="1" applyFont="1" applyFill="1" applyBorder="1" applyAlignment="1">
      <alignment horizontal="center"/>
    </xf>
    <xf numFmtId="0" fontId="6" fillId="3" borderId="37" xfId="0" applyFont="1" applyFill="1" applyBorder="1" applyAlignment="1">
      <alignment horizontal="left"/>
    </xf>
    <xf numFmtId="0" fontId="9" fillId="7" borderId="37" xfId="0" applyFont="1" applyFill="1" applyBorder="1" applyAlignment="1">
      <alignment horizontal="center"/>
    </xf>
    <xf numFmtId="0" fontId="25" fillId="12" borderId="33" xfId="0" applyFont="1" applyFill="1" applyBorder="1" applyAlignment="1">
      <alignment horizontal="left" vertical="center"/>
    </xf>
    <xf numFmtId="1" fontId="25" fillId="12" borderId="33" xfId="0" applyNumberFormat="1" applyFont="1" applyFill="1" applyBorder="1" applyAlignment="1">
      <alignment horizontal="center" vertical="center"/>
    </xf>
    <xf numFmtId="2" fontId="25" fillId="12" borderId="33" xfId="0" applyNumberFormat="1" applyFont="1" applyFill="1" applyBorder="1" applyAlignment="1">
      <alignment horizontal="center" vertical="center"/>
    </xf>
    <xf numFmtId="0" fontId="26" fillId="0" borderId="0" xfId="0" applyFont="1" applyAlignment="1">
      <alignment horizontal="center" vertical="center"/>
    </xf>
    <xf numFmtId="0" fontId="1" fillId="3" borderId="33" xfId="0" applyFont="1" applyFill="1" applyBorder="1" applyAlignment="1">
      <alignment horizontal="center"/>
    </xf>
    <xf numFmtId="0" fontId="0" fillId="0" borderId="0" xfId="0" applyAlignment="1">
      <alignment horizontal="center" vertical="center" textRotation="90"/>
    </xf>
    <xf numFmtId="0" fontId="11" fillId="12" borderId="33" xfId="0" applyFont="1" applyFill="1" applyBorder="1" applyAlignment="1">
      <alignment horizontal="center" vertical="center" textRotation="90"/>
    </xf>
    <xf numFmtId="2" fontId="21" fillId="0" borderId="0" xfId="0" applyNumberFormat="1" applyFont="1" applyAlignment="1">
      <alignment horizontal="center" vertical="center" textRotation="90"/>
    </xf>
    <xf numFmtId="0" fontId="24" fillId="0" borderId="0" xfId="0" applyFont="1" applyAlignment="1">
      <alignment horizontal="center" wrapText="1"/>
    </xf>
    <xf numFmtId="0" fontId="0" fillId="12" borderId="33" xfId="0" applyFill="1" applyBorder="1" applyAlignment="1">
      <alignment vertical="center"/>
    </xf>
    <xf numFmtId="0" fontId="0" fillId="0" borderId="0" xfId="0" applyAlignment="1">
      <alignment vertical="center"/>
    </xf>
    <xf numFmtId="0" fontId="24" fillId="0" borderId="33" xfId="0" applyFont="1" applyBorder="1" applyAlignment="1">
      <alignment horizontal="center" vertical="center" wrapText="1"/>
    </xf>
    <xf numFmtId="0" fontId="24" fillId="12" borderId="33" xfId="0" applyFont="1" applyFill="1" applyBorder="1" applyAlignment="1">
      <alignment horizontal="center" vertical="center" wrapText="1"/>
    </xf>
    <xf numFmtId="0" fontId="24" fillId="0" borderId="36" xfId="0" applyFont="1" applyBorder="1" applyAlignment="1">
      <alignment horizontal="center" vertical="center"/>
    </xf>
    <xf numFmtId="10" fontId="0" fillId="0" borderId="0" xfId="3" applyNumberFormat="1" applyFont="1"/>
    <xf numFmtId="10" fontId="0" fillId="0" borderId="33" xfId="3" applyNumberFormat="1" applyFont="1" applyBorder="1"/>
    <xf numFmtId="0" fontId="0" fillId="13" borderId="0" xfId="0"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24" fillId="0" borderId="0" xfId="0" applyFont="1" applyFill="1" applyBorder="1" applyAlignment="1">
      <alignment horizontal="center" vertical="center" wrapText="1"/>
    </xf>
    <xf numFmtId="2" fontId="0" fillId="0" borderId="0" xfId="0" applyNumberFormat="1" applyFill="1" applyBorder="1" applyAlignment="1">
      <alignment horizontal="center" vertical="center"/>
    </xf>
    <xf numFmtId="2" fontId="0" fillId="0" borderId="34" xfId="0" applyNumberFormat="1" applyBorder="1" applyAlignment="1">
      <alignment horizontal="center" vertical="center"/>
    </xf>
    <xf numFmtId="2" fontId="0" fillId="0" borderId="35" xfId="0" applyNumberFormat="1" applyBorder="1" applyAlignment="1">
      <alignment horizontal="center" vertical="center"/>
    </xf>
    <xf numFmtId="2" fontId="0" fillId="0" borderId="36" xfId="0" applyNumberFormat="1" applyBorder="1" applyAlignment="1">
      <alignment horizontal="center" vertical="center"/>
    </xf>
    <xf numFmtId="0" fontId="0" fillId="13" borderId="34" xfId="0" applyFill="1" applyBorder="1" applyAlignment="1">
      <alignment horizontal="center" vertical="center"/>
    </xf>
    <xf numFmtId="0" fontId="0" fillId="13" borderId="36" xfId="0" applyFill="1" applyBorder="1" applyAlignment="1">
      <alignment horizontal="center" vertical="center"/>
    </xf>
    <xf numFmtId="4" fontId="24" fillId="0" borderId="33" xfId="0" applyNumberFormat="1" applyFont="1" applyBorder="1" applyAlignment="1">
      <alignment horizontal="center" wrapText="1"/>
    </xf>
    <xf numFmtId="166" fontId="24" fillId="0" borderId="9" xfId="0" applyNumberFormat="1" applyFont="1" applyBorder="1" applyAlignment="1">
      <alignment horizontal="center" vertical="center"/>
    </xf>
    <xf numFmtId="166" fontId="0" fillId="0" borderId="14" xfId="0" applyNumberFormat="1" applyBorder="1"/>
    <xf numFmtId="167" fontId="24" fillId="0" borderId="9" xfId="0" applyNumberFormat="1" applyFont="1" applyBorder="1" applyAlignment="1">
      <alignment horizontal="center" vertical="center"/>
    </xf>
    <xf numFmtId="2" fontId="24" fillId="0" borderId="9" xfId="0" applyNumberFormat="1" applyFont="1" applyBorder="1" applyAlignment="1">
      <alignment horizontal="center" vertical="center" wrapText="1"/>
    </xf>
    <xf numFmtId="167" fontId="0" fillId="13" borderId="0" xfId="0" applyNumberFormat="1" applyFill="1" applyBorder="1"/>
    <xf numFmtId="2" fontId="0" fillId="13" borderId="0" xfId="0" applyNumberFormat="1" applyFill="1" applyBorder="1"/>
    <xf numFmtId="2" fontId="0" fillId="0" borderId="10" xfId="0" applyNumberFormat="1" applyBorder="1"/>
    <xf numFmtId="2" fontId="0" fillId="0" borderId="14" xfId="0" applyNumberFormat="1" applyBorder="1"/>
    <xf numFmtId="2" fontId="0" fillId="0" borderId="12" xfId="0" applyNumberFormat="1" applyBorder="1"/>
    <xf numFmtId="0" fontId="24" fillId="0" borderId="34" xfId="0" applyFont="1" applyBorder="1" applyAlignment="1">
      <alignment horizontal="center" vertical="center"/>
    </xf>
    <xf numFmtId="0" fontId="24" fillId="0" borderId="35" xfId="0" applyFont="1" applyBorder="1" applyAlignment="1">
      <alignment horizontal="center" vertical="center"/>
    </xf>
    <xf numFmtId="2" fontId="24" fillId="0" borderId="31" xfId="0" applyNumberFormat="1" applyFont="1" applyBorder="1" applyAlignment="1">
      <alignment horizontal="center" vertical="center" wrapText="1"/>
    </xf>
    <xf numFmtId="166" fontId="0" fillId="0" borderId="13" xfId="0" applyNumberFormat="1" applyBorder="1"/>
    <xf numFmtId="166" fontId="0" fillId="0" borderId="11" xfId="0" applyNumberFormat="1" applyBorder="1"/>
    <xf numFmtId="166" fontId="24" fillId="0" borderId="27" xfId="0" applyNumberFormat="1" applyFont="1" applyBorder="1" applyAlignment="1">
      <alignment horizontal="center" vertical="center"/>
    </xf>
    <xf numFmtId="4" fontId="24" fillId="14" borderId="33" xfId="0" applyNumberFormat="1" applyFont="1" applyFill="1" applyBorder="1" applyAlignment="1">
      <alignment horizontal="center" wrapText="1"/>
    </xf>
    <xf numFmtId="2" fontId="0" fillId="0" borderId="33" xfId="3" applyNumberFormat="1" applyFont="1" applyBorder="1"/>
    <xf numFmtId="0" fontId="0" fillId="0" borderId="0" xfId="0" applyAlignment="1">
      <alignment horizontal="center" vertical="center" wrapText="1"/>
    </xf>
    <xf numFmtId="0" fontId="18" fillId="0" borderId="0" xfId="0" applyFont="1" applyAlignment="1">
      <alignment horizontal="center"/>
    </xf>
    <xf numFmtId="0" fontId="27" fillId="0" borderId="33" xfId="0" applyFont="1" applyBorder="1" applyAlignment="1">
      <alignment horizontal="center" vertical="center" textRotation="90" wrapText="1"/>
    </xf>
    <xf numFmtId="164" fontId="5" fillId="0" borderId="14" xfId="2" applyFont="1" applyBorder="1" applyAlignment="1">
      <alignment horizontal="center" vertical="center" textRotation="90"/>
    </xf>
    <xf numFmtId="0" fontId="5" fillId="0" borderId="14" xfId="0" applyFont="1" applyBorder="1" applyAlignment="1">
      <alignment horizontal="center" vertical="center" textRotation="90"/>
    </xf>
    <xf numFmtId="0" fontId="12" fillId="0" borderId="14" xfId="0" applyFont="1" applyBorder="1" applyAlignment="1">
      <alignment horizontal="center"/>
    </xf>
    <xf numFmtId="0" fontId="24" fillId="12" borderId="34" xfId="0" applyFont="1" applyFill="1" applyBorder="1" applyAlignment="1">
      <alignment horizontal="center" vertical="center" wrapText="1"/>
    </xf>
    <xf numFmtId="0" fontId="24" fillId="12" borderId="36" xfId="0" applyFont="1" applyFill="1" applyBorder="1" applyAlignment="1">
      <alignment horizontal="center" vertical="center" wrapText="1"/>
    </xf>
    <xf numFmtId="10" fontId="24" fillId="12" borderId="34" xfId="3" applyNumberFormat="1" applyFont="1" applyFill="1" applyBorder="1" applyAlignment="1">
      <alignment horizontal="center" vertical="center" wrapText="1"/>
    </xf>
    <xf numFmtId="10" fontId="24" fillId="12" borderId="36" xfId="3" applyNumberFormat="1" applyFont="1" applyFill="1" applyBorder="1" applyAlignment="1">
      <alignment horizontal="center" vertical="center" wrapText="1"/>
    </xf>
    <xf numFmtId="0" fontId="24" fillId="12" borderId="27" xfId="0" applyFont="1" applyFill="1" applyBorder="1" applyAlignment="1">
      <alignment horizontal="center" vertical="center"/>
    </xf>
    <xf numFmtId="0" fontId="24" fillId="12" borderId="30" xfId="0" applyFont="1" applyFill="1" applyBorder="1" applyAlignment="1">
      <alignment horizontal="center" vertical="center"/>
    </xf>
  </cellXfs>
  <cellStyles count="4">
    <cellStyle name="Millares" xfId="1" builtinId="3"/>
    <cellStyle name="Moneda" xfId="2" builtinId="4"/>
    <cellStyle name="Normal" xfId="0" builtinId="0"/>
    <cellStyle name="Porcentaje" xfId="3" builtinId="5"/>
  </cellStyles>
  <dxfs count="68">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39994506668294322"/>
        </patternFill>
      </fill>
    </dxf>
    <dxf>
      <fill>
        <patternFill>
          <bgColor theme="9" tint="0.59996337778862885"/>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39994506668294322"/>
        </patternFill>
      </fill>
    </dxf>
    <dxf>
      <fill>
        <patternFill>
          <bgColor theme="9" tint="0.59996337778862885"/>
        </patternFill>
      </fill>
    </dxf>
    <dxf>
      <fill>
        <patternFill>
          <bgColor theme="9" tint="0.5999633777886288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dimension ref="A1:AC48"/>
  <sheetViews>
    <sheetView showGridLines="0" topLeftCell="A4" workbookViewId="0">
      <selection activeCell="A25" sqref="A25"/>
    </sheetView>
  </sheetViews>
  <sheetFormatPr baseColWidth="10" defaultColWidth="8.83203125" defaultRowHeight="15" outlineLevelRow="2" x14ac:dyDescent="0.2"/>
  <cols>
    <col min="1" max="1" width="94.6640625" customWidth="1"/>
    <col min="2" max="2" width="6" customWidth="1"/>
    <col min="3" max="3" width="10.1640625" customWidth="1"/>
    <col min="4" max="4" width="8.33203125" customWidth="1"/>
    <col min="5" max="5" width="7.5" customWidth="1"/>
    <col min="6" max="12" width="6.33203125" customWidth="1"/>
  </cols>
  <sheetData>
    <row r="1" spans="1:29" x14ac:dyDescent="0.2">
      <c r="C1" s="212"/>
      <c r="D1" s="212"/>
      <c r="E1" s="212"/>
      <c r="F1" s="212"/>
      <c r="G1" s="212"/>
      <c r="H1" s="212"/>
      <c r="I1" s="212"/>
      <c r="J1" s="212"/>
      <c r="K1" s="212"/>
      <c r="L1" s="212"/>
    </row>
    <row r="2" spans="1:29" x14ac:dyDescent="0.2">
      <c r="C2" s="212" t="s">
        <v>223</v>
      </c>
      <c r="D2" s="212"/>
      <c r="E2" s="212"/>
      <c r="F2" s="212"/>
      <c r="G2" s="212"/>
      <c r="H2" s="212"/>
      <c r="I2" s="212"/>
      <c r="J2" s="212"/>
      <c r="K2" s="212"/>
      <c r="L2" s="212"/>
    </row>
    <row r="3" spans="1:29" x14ac:dyDescent="0.2">
      <c r="B3" s="213" t="s">
        <v>177</v>
      </c>
      <c r="C3" s="171" t="s">
        <v>1</v>
      </c>
      <c r="D3" s="171" t="s">
        <v>2</v>
      </c>
      <c r="E3" s="171" t="s">
        <v>3</v>
      </c>
      <c r="F3" s="171" t="s">
        <v>0</v>
      </c>
      <c r="G3" s="171" t="s">
        <v>4</v>
      </c>
      <c r="H3" s="171" t="s">
        <v>5</v>
      </c>
      <c r="I3" s="171" t="s">
        <v>6</v>
      </c>
      <c r="J3" s="171" t="s">
        <v>7</v>
      </c>
      <c r="K3" s="171" t="s">
        <v>8</v>
      </c>
      <c r="L3" s="171" t="s">
        <v>9</v>
      </c>
      <c r="M3" s="135"/>
    </row>
    <row r="4" spans="1:29" s="172" customFormat="1" ht="150" customHeight="1" x14ac:dyDescent="0.2">
      <c r="A4" s="211" t="s">
        <v>236</v>
      </c>
      <c r="B4" s="213"/>
      <c r="C4" s="173" t="s">
        <v>224</v>
      </c>
      <c r="D4" s="173" t="s">
        <v>225</v>
      </c>
      <c r="E4" s="173" t="s">
        <v>226</v>
      </c>
      <c r="F4" s="173" t="s">
        <v>227</v>
      </c>
      <c r="G4" s="173" t="s">
        <v>228</v>
      </c>
      <c r="H4" s="173" t="s">
        <v>229</v>
      </c>
      <c r="I4" s="173" t="s">
        <v>230</v>
      </c>
      <c r="J4" s="173" t="s">
        <v>231</v>
      </c>
      <c r="K4" s="173" t="s">
        <v>232</v>
      </c>
      <c r="L4" s="173" t="s">
        <v>233</v>
      </c>
      <c r="M4" s="174"/>
    </row>
    <row r="5" spans="1:29" x14ac:dyDescent="0.2">
      <c r="A5" s="8" t="s">
        <v>234</v>
      </c>
      <c r="B5" s="46">
        <f>SUM(B6:B24)</f>
        <v>60</v>
      </c>
      <c r="C5" s="30">
        <f>ROUND(SUM(C6:C24),2)</f>
        <v>51.41</v>
      </c>
      <c r="D5" s="30">
        <f t="shared" ref="D5:L5" si="0">ROUND(SUM(D6:D24),2)</f>
        <v>41</v>
      </c>
      <c r="E5" s="30">
        <f t="shared" si="0"/>
        <v>23.41</v>
      </c>
      <c r="F5" s="30">
        <f>ROUND(SUM(F6:F24),2)</f>
        <v>53.8</v>
      </c>
      <c r="G5" s="30">
        <f t="shared" si="0"/>
        <v>47.86</v>
      </c>
      <c r="H5" s="30">
        <f t="shared" si="0"/>
        <v>46.19</v>
      </c>
      <c r="I5" s="30">
        <f t="shared" si="0"/>
        <v>25.58</v>
      </c>
      <c r="J5" s="30">
        <f t="shared" si="0"/>
        <v>41.89</v>
      </c>
      <c r="K5" s="30">
        <f t="shared" si="0"/>
        <v>38.03</v>
      </c>
      <c r="L5" s="30">
        <f t="shared" si="0"/>
        <v>30.48</v>
      </c>
    </row>
    <row r="6" spans="1:29" outlineLevel="1" x14ac:dyDescent="0.2">
      <c r="A6" s="31" t="s">
        <v>178</v>
      </c>
      <c r="B6" s="32">
        <v>6</v>
      </c>
      <c r="C6" s="132">
        <f>'REPORTS PER EVALUATOR'!$G5</f>
        <v>3.380281690140845</v>
      </c>
      <c r="D6" s="132">
        <f>'REPORTS PER EVALUATOR'!$G6</f>
        <v>3.971830985915493</v>
      </c>
      <c r="E6" s="132">
        <f>'REPORTS PER EVALUATOR'!$G7</f>
        <v>0.3380281690140845</v>
      </c>
      <c r="F6" s="132">
        <f>'REPORTS PER EVALUATOR'!$G8</f>
        <v>6</v>
      </c>
      <c r="G6" s="132">
        <f>'REPORTS PER EVALUATOR'!$G9</f>
        <v>3.7183098591549291</v>
      </c>
      <c r="H6" s="132">
        <f>'REPORTS PER EVALUATOR'!$G10</f>
        <v>3.464788732394366</v>
      </c>
      <c r="I6" s="132">
        <f>'REPORTS PER EVALUATOR'!$G11</f>
        <v>1.0140845070422535</v>
      </c>
      <c r="J6" s="132">
        <f>'REPORTS PER EVALUATOR'!$G12</f>
        <v>3.971830985915493</v>
      </c>
      <c r="K6" s="132">
        <f>'REPORTS PER EVALUATOR'!$G13</f>
        <v>4.225352112676056</v>
      </c>
      <c r="L6" s="132">
        <f>'REPORTS PER EVALUATOR'!$G14</f>
        <v>0.676056338028169</v>
      </c>
    </row>
    <row r="7" spans="1:29" outlineLevel="1" x14ac:dyDescent="0.2">
      <c r="A7" s="31" t="s">
        <v>179</v>
      </c>
      <c r="B7" s="32">
        <v>3</v>
      </c>
      <c r="C7" s="132">
        <f>'REPORTS PER EVALUATOR'!$G17</f>
        <v>3</v>
      </c>
      <c r="D7" s="132">
        <f>'REPORTS PER EVALUATOR'!$G18</f>
        <v>1.4814814814814814</v>
      </c>
      <c r="E7" s="132">
        <f>'REPORTS PER EVALUATOR'!$G19</f>
        <v>7.407407407407407E-2</v>
      </c>
      <c r="F7" s="132">
        <f>'REPORTS PER EVALUATOR'!$G20</f>
        <v>2.4444444444444442</v>
      </c>
      <c r="G7" s="132">
        <f>'REPORTS PER EVALUATOR'!$G21</f>
        <v>2.6296296296296298</v>
      </c>
      <c r="H7" s="132">
        <f>'REPORTS PER EVALUATOR'!$G22</f>
        <v>1.5555555555555554</v>
      </c>
      <c r="I7" s="132">
        <f>'REPORTS PER EVALUATOR'!$G23</f>
        <v>0.81481481481481477</v>
      </c>
      <c r="J7" s="132">
        <f>'REPORTS PER EVALUATOR'!$G24</f>
        <v>1.2592592592592591</v>
      </c>
      <c r="K7" s="132">
        <f>'REPORTS PER EVALUATOR'!$G25</f>
        <v>0.62962962962962954</v>
      </c>
      <c r="L7" s="132">
        <f>'REPORTS PER EVALUATOR'!$G26</f>
        <v>0.51851851851851849</v>
      </c>
      <c r="P7" s="105"/>
    </row>
    <row r="8" spans="1:29" outlineLevel="2" x14ac:dyDescent="0.2">
      <c r="A8" s="31" t="s">
        <v>180</v>
      </c>
      <c r="B8" s="32">
        <v>3</v>
      </c>
      <c r="C8" s="132">
        <f>'REPORTS PER EVALUATOR'!$G29</f>
        <v>1.2467532467532467</v>
      </c>
      <c r="D8" s="132">
        <f>'REPORTS PER EVALUATOR'!$G30</f>
        <v>1.5584415584415583</v>
      </c>
      <c r="E8" s="132">
        <f>'REPORTS PER EVALUATOR'!$G31</f>
        <v>0.62337662337662336</v>
      </c>
      <c r="F8" s="132">
        <f>'REPORTS PER EVALUATOR'!$G32</f>
        <v>3</v>
      </c>
      <c r="G8" s="132">
        <f>'REPORTS PER EVALUATOR'!$G33</f>
        <v>1.0909090909090908</v>
      </c>
      <c r="H8" s="132">
        <f>'REPORTS PER EVALUATOR'!$G34</f>
        <v>2.2987012987012987</v>
      </c>
      <c r="I8" s="132">
        <f>'REPORTS PER EVALUATOR'!$G35</f>
        <v>0.89610389610389607</v>
      </c>
      <c r="J8" s="132">
        <f>'REPORTS PER EVALUATOR'!$G36</f>
        <v>0.5844155844155845</v>
      </c>
      <c r="K8" s="132">
        <f>'REPORTS PER EVALUATOR'!$G37</f>
        <v>2.4935064935064934</v>
      </c>
      <c r="L8" s="132">
        <f>'REPORTS PER EVALUATOR'!$G38</f>
        <v>0.46753246753246752</v>
      </c>
      <c r="O8" s="105"/>
      <c r="P8" s="105"/>
    </row>
    <row r="9" spans="1:29" outlineLevel="2" x14ac:dyDescent="0.2">
      <c r="A9" s="31" t="s">
        <v>181</v>
      </c>
      <c r="B9" s="32">
        <v>3</v>
      </c>
      <c r="C9" s="132">
        <f>'REPORTS PER EVALUATOR'!$G41</f>
        <v>2.4761904761904763</v>
      </c>
      <c r="D9" s="132">
        <f>'REPORTS PER EVALUATOR'!$G42</f>
        <v>1.2380952380952381</v>
      </c>
      <c r="E9" s="132">
        <f>'REPORTS PER EVALUATOR'!$G43</f>
        <v>0.95238095238095233</v>
      </c>
      <c r="F9" s="132">
        <f>'REPORTS PER EVALUATOR'!$G44</f>
        <v>2.4761904761904763</v>
      </c>
      <c r="G9" s="132">
        <f>'REPORTS PER EVALUATOR'!$G45</f>
        <v>1.6666666666666667</v>
      </c>
      <c r="H9" s="132">
        <f>'REPORTS PER EVALUATOR'!$G46</f>
        <v>3</v>
      </c>
      <c r="I9" s="132">
        <f>'REPORTS PER EVALUATOR'!$G47</f>
        <v>2.3333333333333335</v>
      </c>
      <c r="J9" s="132">
        <f>'REPORTS PER EVALUATOR'!$G48</f>
        <v>0.23809523809523808</v>
      </c>
      <c r="K9" s="132">
        <f>'REPORTS PER EVALUATOR'!$G49</f>
        <v>1.8095238095238093</v>
      </c>
      <c r="L9" s="132">
        <f>'REPORTS PER EVALUATOR'!$G50</f>
        <v>0.38095238095238093</v>
      </c>
      <c r="O9" s="105"/>
      <c r="P9" s="105"/>
    </row>
    <row r="10" spans="1:29" outlineLevel="1" x14ac:dyDescent="0.2">
      <c r="A10" s="31" t="s">
        <v>182</v>
      </c>
      <c r="B10" s="32">
        <v>4</v>
      </c>
      <c r="C10" s="132">
        <f>'REPORTS PER EVALUATOR'!$G53</f>
        <v>3.9344262295081966</v>
      </c>
      <c r="D10" s="132">
        <f>'REPORTS PER EVALUATOR'!$G54</f>
        <v>1.7704918032786885</v>
      </c>
      <c r="E10" s="132">
        <f>'REPORTS PER EVALUATOR'!$G55</f>
        <v>0</v>
      </c>
      <c r="F10" s="132">
        <f>'REPORTS PER EVALUATOR'!$G56</f>
        <v>4</v>
      </c>
      <c r="G10" s="132">
        <f>'REPORTS PER EVALUATOR'!$G57</f>
        <v>3.278688524590164</v>
      </c>
      <c r="H10" s="132">
        <f>'REPORTS PER EVALUATOR'!$G58</f>
        <v>3.4754098360655736</v>
      </c>
      <c r="I10" s="132">
        <f>'REPORTS PER EVALUATOR'!$G59</f>
        <v>0.98360655737704916</v>
      </c>
      <c r="J10" s="132">
        <f>'REPORTS PER EVALUATOR'!$G60</f>
        <v>2.098360655737705</v>
      </c>
      <c r="K10" s="132">
        <f>'REPORTS PER EVALUATOR'!$G61</f>
        <v>1.639344262295082</v>
      </c>
      <c r="L10" s="132">
        <f>'REPORTS PER EVALUATOR'!$G62</f>
        <v>1.5081967213114753</v>
      </c>
      <c r="O10" s="105"/>
      <c r="P10" s="110"/>
      <c r="Q10" s="110"/>
      <c r="R10" s="110"/>
      <c r="S10" s="110"/>
    </row>
    <row r="11" spans="1:29" outlineLevel="1" x14ac:dyDescent="0.2">
      <c r="A11" s="31" t="s">
        <v>183</v>
      </c>
      <c r="B11" s="32">
        <v>4</v>
      </c>
      <c r="C11" s="132">
        <f>'REPORTS PER EVALUATOR'!$G65</f>
        <v>4</v>
      </c>
      <c r="D11" s="132">
        <f>'REPORTS PER EVALUATOR'!$G66</f>
        <v>2.2950819672131146</v>
      </c>
      <c r="E11" s="132">
        <f>'REPORTS PER EVALUATOR'!$G67</f>
        <v>6.5573770491803282E-2</v>
      </c>
      <c r="F11" s="132">
        <f>'REPORTS PER EVALUATOR'!$G68</f>
        <v>3.0163934426229506</v>
      </c>
      <c r="G11" s="132">
        <f>'REPORTS PER EVALUATOR'!$G69</f>
        <v>3.4098360655737703</v>
      </c>
      <c r="H11" s="132">
        <f>'REPORTS PER EVALUATOR'!$G70</f>
        <v>3.4098360655737703</v>
      </c>
      <c r="I11" s="132">
        <f>'REPORTS PER EVALUATOR'!$G71</f>
        <v>0.45901639344262296</v>
      </c>
      <c r="J11" s="132">
        <f>'REPORTS PER EVALUATOR'!$G72</f>
        <v>2.6885245901639343</v>
      </c>
      <c r="K11" s="132">
        <f>'REPORTS PER EVALUATOR'!$G73</f>
        <v>1.5737704918032787</v>
      </c>
      <c r="L11" s="132">
        <f>'REPORTS PER EVALUATOR'!$G74</f>
        <v>2.557377049180328</v>
      </c>
      <c r="M11" s="27"/>
      <c r="O11" s="105"/>
      <c r="P11" s="105"/>
      <c r="T11" s="105"/>
      <c r="U11" s="105"/>
      <c r="V11" s="105"/>
      <c r="W11" s="105"/>
      <c r="X11" s="105"/>
      <c r="Y11" s="105"/>
      <c r="Z11" s="105"/>
      <c r="AA11" s="105"/>
      <c r="AB11" s="105"/>
      <c r="AC11" s="105"/>
    </row>
    <row r="12" spans="1:29" outlineLevel="1" x14ac:dyDescent="0.2">
      <c r="A12" s="31" t="s">
        <v>184</v>
      </c>
      <c r="B12" s="32">
        <v>4</v>
      </c>
      <c r="C12" s="132">
        <f>'REPORTS PER EVALUATOR'!$G77</f>
        <v>3.7142857142857144</v>
      </c>
      <c r="D12" s="132">
        <f>'REPORTS PER EVALUATOR'!$G78</f>
        <v>1.1428571428571428</v>
      </c>
      <c r="E12" s="132">
        <f>'REPORTS PER EVALUATOR'!$G79</f>
        <v>0.19047619047619047</v>
      </c>
      <c r="F12" s="132">
        <f>'REPORTS PER EVALUATOR'!$G80</f>
        <v>2.4285714285714284</v>
      </c>
      <c r="G12" s="132">
        <f>'REPORTS PER EVALUATOR'!$G81</f>
        <v>4</v>
      </c>
      <c r="H12" s="132">
        <f>'REPORTS PER EVALUATOR'!$G82</f>
        <v>2.8095238095238093</v>
      </c>
      <c r="I12" s="132">
        <f>'REPORTS PER EVALUATOR'!$G83</f>
        <v>0.90476190476190477</v>
      </c>
      <c r="J12" s="132">
        <f>'REPORTS PER EVALUATOR'!$G84</f>
        <v>1.3809523809523809</v>
      </c>
      <c r="K12" s="132">
        <f>'REPORTS PER EVALUATOR'!$G85</f>
        <v>0.90476190476190477</v>
      </c>
      <c r="L12" s="132">
        <f>'REPORTS PER EVALUATOR'!$G86</f>
        <v>1.2380952380952381</v>
      </c>
      <c r="M12" s="21"/>
    </row>
    <row r="13" spans="1:29" outlineLevel="1" x14ac:dyDescent="0.2">
      <c r="A13" s="31" t="s">
        <v>185</v>
      </c>
      <c r="B13" s="32">
        <v>4</v>
      </c>
      <c r="C13" s="132">
        <f>'REPORTS PER EVALUATOR'!$G89</f>
        <v>3.3513513513513513</v>
      </c>
      <c r="D13" s="132">
        <f>'REPORTS PER EVALUATOR'!$G90</f>
        <v>2</v>
      </c>
      <c r="E13" s="132">
        <f>'REPORTS PER EVALUATOR'!$G91</f>
        <v>1.6756756756756757</v>
      </c>
      <c r="F13" s="132">
        <f>'REPORTS PER EVALUATOR'!$G92</f>
        <v>4</v>
      </c>
      <c r="G13" s="132">
        <f>'REPORTS PER EVALUATOR'!$G93</f>
        <v>2.7567567567567566</v>
      </c>
      <c r="H13" s="132">
        <f>'REPORTS PER EVALUATOR'!$G94</f>
        <v>1.7837837837837838</v>
      </c>
      <c r="I13" s="132">
        <f>'REPORTS PER EVALUATOR'!$G95</f>
        <v>0</v>
      </c>
      <c r="J13" s="132">
        <f>'REPORTS PER EVALUATOR'!$G96</f>
        <v>3.2432432432432434</v>
      </c>
      <c r="K13" s="132">
        <f>'REPORTS PER EVALUATOR'!$G97</f>
        <v>1.2432432432432432</v>
      </c>
      <c r="L13" s="132">
        <f>'REPORTS PER EVALUATOR'!$G98</f>
        <v>2.810810810810811</v>
      </c>
      <c r="P13" s="110"/>
      <c r="Q13" s="110"/>
      <c r="R13" s="110"/>
      <c r="S13" s="110"/>
      <c r="T13" s="110"/>
    </row>
    <row r="14" spans="1:29" outlineLevel="1" x14ac:dyDescent="0.2">
      <c r="A14" s="31" t="s">
        <v>186</v>
      </c>
      <c r="B14" s="32">
        <v>4</v>
      </c>
      <c r="C14" s="132">
        <f>'REPORTS PER EVALUATOR'!$G101</f>
        <v>2.557377049180328</v>
      </c>
      <c r="D14" s="132">
        <f>'REPORTS PER EVALUATOR'!$G102</f>
        <v>2.2950819672131146</v>
      </c>
      <c r="E14" s="132">
        <f>'REPORTS PER EVALUATOR'!$G103</f>
        <v>2.819672131147541</v>
      </c>
      <c r="F14" s="132">
        <f>'REPORTS PER EVALUATOR'!$G104</f>
        <v>4</v>
      </c>
      <c r="G14" s="132">
        <f>'REPORTS PER EVALUATOR'!$G105</f>
        <v>2.7540983606557377</v>
      </c>
      <c r="H14" s="132">
        <f>'REPORTS PER EVALUATOR'!$G106</f>
        <v>2.0327868852459017</v>
      </c>
      <c r="I14" s="132">
        <f>'REPORTS PER EVALUATOR'!$G107</f>
        <v>0.19672131147540983</v>
      </c>
      <c r="J14" s="132">
        <f>'REPORTS PER EVALUATOR'!$G108</f>
        <v>3.6721311475409837</v>
      </c>
      <c r="K14" s="132">
        <f>'REPORTS PER EVALUATOR'!$G109</f>
        <v>0.45901639344262296</v>
      </c>
      <c r="L14" s="132">
        <f>'REPORTS PER EVALUATOR'!$G110</f>
        <v>1.5081967213114753</v>
      </c>
      <c r="M14" s="25"/>
    </row>
    <row r="15" spans="1:29" outlineLevel="1" x14ac:dyDescent="0.2">
      <c r="A15" s="31" t="s">
        <v>187</v>
      </c>
      <c r="B15" s="32">
        <v>4</v>
      </c>
      <c r="C15" s="132">
        <f>'REPORTS PER EVALUATOR'!$G113</f>
        <v>2.807017543859649</v>
      </c>
      <c r="D15" s="132">
        <f>'REPORTS PER EVALUATOR'!$G114</f>
        <v>2.2456140350877192</v>
      </c>
      <c r="E15" s="132">
        <f>'REPORTS PER EVALUATOR'!$G115</f>
        <v>0.42105263157894735</v>
      </c>
      <c r="F15" s="132">
        <f>'REPORTS PER EVALUATOR'!$G116</f>
        <v>2.807017543859649</v>
      </c>
      <c r="G15" s="132">
        <f>'REPORTS PER EVALUATOR'!$G117</f>
        <v>1.6140350877192982</v>
      </c>
      <c r="H15" s="132">
        <f>'REPORTS PER EVALUATOR'!$G118</f>
        <v>1.6140350877192982</v>
      </c>
      <c r="I15" s="132">
        <f>'REPORTS PER EVALUATOR'!$G119</f>
        <v>0.98245614035087714</v>
      </c>
      <c r="J15" s="132">
        <f>'REPORTS PER EVALUATOR'!$G120</f>
        <v>4</v>
      </c>
      <c r="K15" s="132">
        <f>'REPORTS PER EVALUATOR'!$G121</f>
        <v>3.3684210526315788</v>
      </c>
      <c r="L15" s="132">
        <f>'REPORTS PER EVALUATOR'!$G122</f>
        <v>1.1228070175438596</v>
      </c>
      <c r="M15" s="25"/>
    </row>
    <row r="16" spans="1:29" outlineLevel="1" x14ac:dyDescent="0.2">
      <c r="A16" s="31" t="s">
        <v>188</v>
      </c>
      <c r="B16" s="32">
        <v>3</v>
      </c>
      <c r="C16" s="132">
        <f>'REPORTS PER EVALUATOR'!$G125</f>
        <v>2.9375</v>
      </c>
      <c r="D16" s="132">
        <f>'REPORTS PER EVALUATOR'!$G126</f>
        <v>3</v>
      </c>
      <c r="E16" s="132">
        <f>'REPORTS PER EVALUATOR'!$G127</f>
        <v>1.25</v>
      </c>
      <c r="F16" s="132">
        <f>'REPORTS PER EVALUATOR'!$G128</f>
        <v>2.625</v>
      </c>
      <c r="G16" s="132">
        <f>'REPORTS PER EVALUATOR'!$G129</f>
        <v>2.9375</v>
      </c>
      <c r="H16" s="132">
        <f>'REPORTS PER EVALUATOR'!$G130</f>
        <v>2.75</v>
      </c>
      <c r="I16" s="132">
        <f>'REPORTS PER EVALUATOR'!$G131</f>
        <v>0</v>
      </c>
      <c r="J16" s="132">
        <f>'REPORTS PER EVALUATOR'!$G132</f>
        <v>1.75</v>
      </c>
      <c r="K16" s="132">
        <f>'REPORTS PER EVALUATOR'!$G133</f>
        <v>1.6875</v>
      </c>
      <c r="L16" s="132">
        <f>'REPORTS PER EVALUATOR'!$G134</f>
        <v>0.6875</v>
      </c>
      <c r="M16" s="25"/>
    </row>
    <row r="17" spans="1:16" outlineLevel="1" x14ac:dyDescent="0.2">
      <c r="A17" s="31" t="s">
        <v>189</v>
      </c>
      <c r="B17" s="32">
        <v>3</v>
      </c>
      <c r="C17" s="106">
        <v>3</v>
      </c>
      <c r="D17" s="106">
        <v>3</v>
      </c>
      <c r="E17" s="106">
        <v>0</v>
      </c>
      <c r="F17" s="106">
        <v>2</v>
      </c>
      <c r="G17" s="106">
        <v>3</v>
      </c>
      <c r="H17" s="106">
        <v>3</v>
      </c>
      <c r="I17" s="106">
        <v>2</v>
      </c>
      <c r="J17" s="106">
        <v>2</v>
      </c>
      <c r="K17" s="106">
        <v>3</v>
      </c>
      <c r="L17" s="106">
        <v>2</v>
      </c>
      <c r="M17" s="25" t="s">
        <v>176</v>
      </c>
    </row>
    <row r="18" spans="1:16" outlineLevel="1" x14ac:dyDescent="0.2">
      <c r="A18" s="31" t="s">
        <v>190</v>
      </c>
      <c r="B18" s="32">
        <v>1</v>
      </c>
      <c r="C18" s="106">
        <v>1</v>
      </c>
      <c r="D18" s="106">
        <v>1</v>
      </c>
      <c r="E18" s="106">
        <v>1</v>
      </c>
      <c r="F18" s="106">
        <v>1</v>
      </c>
      <c r="G18" s="106">
        <v>1</v>
      </c>
      <c r="H18" s="106">
        <v>1</v>
      </c>
      <c r="I18" s="106">
        <v>1</v>
      </c>
      <c r="J18" s="106">
        <v>1</v>
      </c>
      <c r="K18" s="106">
        <v>1</v>
      </c>
      <c r="L18" s="106">
        <v>1</v>
      </c>
      <c r="M18" s="25" t="s">
        <v>176</v>
      </c>
    </row>
    <row r="19" spans="1:16" outlineLevel="1" x14ac:dyDescent="0.2">
      <c r="A19" s="31" t="s">
        <v>191</v>
      </c>
      <c r="B19" s="32">
        <v>1</v>
      </c>
      <c r="C19" s="106">
        <v>1</v>
      </c>
      <c r="D19" s="106">
        <v>1</v>
      </c>
      <c r="E19" s="106">
        <v>1</v>
      </c>
      <c r="F19" s="106">
        <v>1</v>
      </c>
      <c r="G19" s="106">
        <v>1</v>
      </c>
      <c r="H19" s="106">
        <v>1</v>
      </c>
      <c r="I19" s="106">
        <v>1</v>
      </c>
      <c r="J19" s="106">
        <v>1</v>
      </c>
      <c r="K19" s="106">
        <v>1</v>
      </c>
      <c r="L19" s="106">
        <v>1</v>
      </c>
      <c r="M19" s="25" t="s">
        <v>176</v>
      </c>
    </row>
    <row r="20" spans="1:16" outlineLevel="1" x14ac:dyDescent="0.2">
      <c r="A20" s="31" t="s">
        <v>192</v>
      </c>
      <c r="B20" s="32">
        <v>2</v>
      </c>
      <c r="C20" s="106">
        <v>2</v>
      </c>
      <c r="D20" s="106">
        <v>2</v>
      </c>
      <c r="E20" s="106">
        <v>2</v>
      </c>
      <c r="F20" s="106">
        <v>2</v>
      </c>
      <c r="G20" s="106">
        <v>2</v>
      </c>
      <c r="H20" s="106">
        <v>2</v>
      </c>
      <c r="I20" s="106">
        <v>2</v>
      </c>
      <c r="J20" s="106">
        <v>2</v>
      </c>
      <c r="K20" s="106">
        <v>2</v>
      </c>
      <c r="L20" s="106">
        <v>2</v>
      </c>
      <c r="M20" s="25" t="s">
        <v>176</v>
      </c>
    </row>
    <row r="21" spans="1:16" outlineLevel="1" x14ac:dyDescent="0.2">
      <c r="A21" s="31" t="s">
        <v>193</v>
      </c>
      <c r="B21" s="32">
        <v>3</v>
      </c>
      <c r="C21" s="106">
        <v>3</v>
      </c>
      <c r="D21" s="106">
        <v>3</v>
      </c>
      <c r="E21" s="106">
        <v>3</v>
      </c>
      <c r="F21" s="106">
        <v>3</v>
      </c>
      <c r="G21" s="106">
        <v>3</v>
      </c>
      <c r="H21" s="106">
        <v>3</v>
      </c>
      <c r="I21" s="106">
        <v>3</v>
      </c>
      <c r="J21" s="106">
        <v>3</v>
      </c>
      <c r="K21" s="106">
        <v>3</v>
      </c>
      <c r="L21" s="106">
        <v>3</v>
      </c>
      <c r="M21" s="25" t="s">
        <v>176</v>
      </c>
    </row>
    <row r="22" spans="1:16" outlineLevel="1" x14ac:dyDescent="0.2">
      <c r="A22" s="31" t="s">
        <v>194</v>
      </c>
      <c r="B22" s="32">
        <v>2</v>
      </c>
      <c r="C22" s="106">
        <v>2</v>
      </c>
      <c r="D22" s="106">
        <v>2</v>
      </c>
      <c r="E22" s="106">
        <v>2</v>
      </c>
      <c r="F22" s="106">
        <v>2</v>
      </c>
      <c r="G22" s="106">
        <v>2</v>
      </c>
      <c r="H22" s="106">
        <v>2</v>
      </c>
      <c r="I22" s="106">
        <v>2</v>
      </c>
      <c r="J22" s="106">
        <v>2</v>
      </c>
      <c r="K22" s="106">
        <v>2</v>
      </c>
      <c r="L22" s="106">
        <v>2</v>
      </c>
      <c r="M22" s="25" t="s">
        <v>176</v>
      </c>
    </row>
    <row r="23" spans="1:16" outlineLevel="1" x14ac:dyDescent="0.2">
      <c r="A23" s="31" t="s">
        <v>195</v>
      </c>
      <c r="B23" s="32">
        <v>3</v>
      </c>
      <c r="C23" s="106">
        <v>3</v>
      </c>
      <c r="D23" s="106">
        <v>3</v>
      </c>
      <c r="E23" s="106">
        <v>3</v>
      </c>
      <c r="F23" s="106">
        <v>3</v>
      </c>
      <c r="G23" s="106">
        <v>3</v>
      </c>
      <c r="H23" s="106">
        <v>3</v>
      </c>
      <c r="I23" s="106">
        <v>3</v>
      </c>
      <c r="J23" s="106">
        <v>3</v>
      </c>
      <c r="K23" s="106">
        <v>3</v>
      </c>
      <c r="L23" s="106">
        <v>3</v>
      </c>
      <c r="M23" s="25" t="s">
        <v>176</v>
      </c>
    </row>
    <row r="24" spans="1:16" outlineLevel="1" x14ac:dyDescent="0.2">
      <c r="A24" s="31" t="s">
        <v>196</v>
      </c>
      <c r="B24" s="32">
        <v>3</v>
      </c>
      <c r="C24" s="106">
        <v>3</v>
      </c>
      <c r="D24" s="106">
        <v>3</v>
      </c>
      <c r="E24" s="106">
        <v>3</v>
      </c>
      <c r="F24" s="106">
        <v>3</v>
      </c>
      <c r="G24" s="106">
        <v>3</v>
      </c>
      <c r="H24" s="106">
        <v>3</v>
      </c>
      <c r="I24" s="106">
        <v>3</v>
      </c>
      <c r="J24" s="106">
        <v>3</v>
      </c>
      <c r="K24" s="106">
        <v>3</v>
      </c>
      <c r="L24" s="106">
        <v>3</v>
      </c>
      <c r="M24" s="25" t="s">
        <v>176</v>
      </c>
    </row>
    <row r="25" spans="1:16" x14ac:dyDescent="0.2">
      <c r="A25" s="8" t="s">
        <v>235</v>
      </c>
      <c r="B25" s="46">
        <f>SUM(B26:B27)</f>
        <v>40</v>
      </c>
      <c r="C25" s="30" t="e">
        <f>SUM(C26:C27)</f>
        <v>#DIV/0!</v>
      </c>
      <c r="D25" s="30" t="e">
        <f t="shared" ref="D25:L25" si="1">SUM(D26:D27)</f>
        <v>#DIV/0!</v>
      </c>
      <c r="E25" s="30" t="e">
        <f t="shared" si="1"/>
        <v>#DIV/0!</v>
      </c>
      <c r="F25" s="30" t="e">
        <f t="shared" si="1"/>
        <v>#DIV/0!</v>
      </c>
      <c r="G25" s="30" t="e">
        <f t="shared" si="1"/>
        <v>#DIV/0!</v>
      </c>
      <c r="H25" s="30" t="e">
        <f t="shared" si="1"/>
        <v>#DIV/0!</v>
      </c>
      <c r="I25" s="30" t="e">
        <f t="shared" si="1"/>
        <v>#DIV/0!</v>
      </c>
      <c r="J25" s="30" t="e">
        <f t="shared" si="1"/>
        <v>#DIV/0!</v>
      </c>
      <c r="K25" s="30" t="e">
        <f t="shared" si="1"/>
        <v>#DIV/0!</v>
      </c>
      <c r="L25" s="30" t="e">
        <f t="shared" si="1"/>
        <v>#DIV/0!</v>
      </c>
    </row>
    <row r="26" spans="1:16" outlineLevel="1" x14ac:dyDescent="0.2">
      <c r="A26" s="31" t="s">
        <v>197</v>
      </c>
      <c r="B26" s="32">
        <v>20</v>
      </c>
      <c r="C26" s="164" t="e">
        <f>SUM('economical offer'!E3)</f>
        <v>#DIV/0!</v>
      </c>
      <c r="D26" s="164" t="e">
        <f>SUM('economical offer'!$E4)</f>
        <v>#DIV/0!</v>
      </c>
      <c r="E26" s="164" t="e">
        <f>SUM('economical offer'!$E5)</f>
        <v>#DIV/0!</v>
      </c>
      <c r="F26" s="164" t="e">
        <f>SUM('economical offer'!$E6)</f>
        <v>#DIV/0!</v>
      </c>
      <c r="G26" s="164" t="e">
        <f>SUM('economical offer'!$E7)</f>
        <v>#DIV/0!</v>
      </c>
      <c r="H26" s="164" t="e">
        <f>SUM('economical offer'!$E8)</f>
        <v>#DIV/0!</v>
      </c>
      <c r="I26" s="164" t="e">
        <f>SUM('economical offer'!$E9)</f>
        <v>#DIV/0!</v>
      </c>
      <c r="J26" s="164" t="e">
        <f>SUM('economical offer'!$E10)</f>
        <v>#DIV/0!</v>
      </c>
      <c r="K26" s="164" t="e">
        <f>SUM('economical offer'!$E11)</f>
        <v>#DIV/0!</v>
      </c>
      <c r="L26" s="164" t="e">
        <f>SUM('economical offer'!$E12)</f>
        <v>#DIV/0!</v>
      </c>
    </row>
    <row r="27" spans="1:16" outlineLevel="1" x14ac:dyDescent="0.2">
      <c r="A27" s="165" t="s">
        <v>198</v>
      </c>
      <c r="B27" s="166">
        <v>20</v>
      </c>
      <c r="C27" s="164" t="e">
        <f>SUM('economical offer'!K3)</f>
        <v>#DIV/0!</v>
      </c>
      <c r="D27" s="164" t="e">
        <f>SUM('economical offer'!K4)</f>
        <v>#DIV/0!</v>
      </c>
      <c r="E27" s="164" t="e">
        <f>SUM('economical offer'!K5)</f>
        <v>#DIV/0!</v>
      </c>
      <c r="F27" s="164" t="e">
        <f>SUM('economical offer'!K6)</f>
        <v>#DIV/0!</v>
      </c>
      <c r="G27" s="164" t="e">
        <f>SUM('economical offer'!K7)</f>
        <v>#DIV/0!</v>
      </c>
      <c r="H27" s="164" t="e">
        <f>SUM('economical offer'!K8)</f>
        <v>#DIV/0!</v>
      </c>
      <c r="I27" s="164" t="e">
        <f>SUM('economical offer'!K9)</f>
        <v>#DIV/0!</v>
      </c>
      <c r="J27" s="164" t="e">
        <f>SUM('economical offer'!K10)</f>
        <v>#DIV/0!</v>
      </c>
      <c r="K27" s="164" t="e">
        <f>SUM('economical offer'!K11)</f>
        <v>#DIV/0!</v>
      </c>
      <c r="L27" s="164" t="e">
        <f>SUM('economical offer'!K12)</f>
        <v>#DIV/0!</v>
      </c>
      <c r="P27" s="105"/>
    </row>
    <row r="28" spans="1:16" s="170" customFormat="1" ht="20" customHeight="1" x14ac:dyDescent="0.2">
      <c r="A28" s="167" t="s">
        <v>199</v>
      </c>
      <c r="B28" s="168">
        <f>SUM(B5+B25)</f>
        <v>100</v>
      </c>
      <c r="C28" s="169" t="e">
        <f t="shared" ref="C28:L28" si="2">SUM(C5+C25)</f>
        <v>#DIV/0!</v>
      </c>
      <c r="D28" s="169" t="e">
        <f t="shared" si="2"/>
        <v>#DIV/0!</v>
      </c>
      <c r="E28" s="169" t="e">
        <f t="shared" si="2"/>
        <v>#DIV/0!</v>
      </c>
      <c r="F28" s="169" t="e">
        <f t="shared" si="2"/>
        <v>#DIV/0!</v>
      </c>
      <c r="G28" s="169" t="e">
        <f t="shared" si="2"/>
        <v>#DIV/0!</v>
      </c>
      <c r="H28" s="169" t="e">
        <f t="shared" si="2"/>
        <v>#DIV/0!</v>
      </c>
      <c r="I28" s="169" t="e">
        <f t="shared" si="2"/>
        <v>#DIV/0!</v>
      </c>
      <c r="J28" s="169" t="e">
        <f t="shared" si="2"/>
        <v>#DIV/0!</v>
      </c>
      <c r="K28" s="169" t="e">
        <f t="shared" si="2"/>
        <v>#DIV/0!</v>
      </c>
      <c r="L28" s="169" t="e">
        <f t="shared" si="2"/>
        <v>#DIV/0!</v>
      </c>
    </row>
    <row r="29" spans="1:16" x14ac:dyDescent="0.2">
      <c r="A29" s="109"/>
      <c r="B29" s="109"/>
      <c r="C29" s="135"/>
      <c r="D29" s="135"/>
      <c r="E29" s="135"/>
      <c r="F29" s="135"/>
      <c r="G29" s="135"/>
      <c r="H29" s="135"/>
      <c r="I29" s="135"/>
      <c r="J29" s="135"/>
      <c r="K29" s="135"/>
      <c r="L29" s="135"/>
    </row>
    <row r="30" spans="1:16" x14ac:dyDescent="0.2">
      <c r="C30" s="135"/>
    </row>
    <row r="31" spans="1:16" x14ac:dyDescent="0.2">
      <c r="C31" s="135"/>
    </row>
    <row r="32" spans="1:16" x14ac:dyDescent="0.2">
      <c r="C32" s="135"/>
    </row>
    <row r="33" spans="1:6" x14ac:dyDescent="0.2">
      <c r="C33" s="135"/>
    </row>
    <row r="34" spans="1:6" x14ac:dyDescent="0.2">
      <c r="C34" s="135"/>
    </row>
    <row r="35" spans="1:6" x14ac:dyDescent="0.2">
      <c r="C35" s="135"/>
    </row>
    <row r="36" spans="1:6" x14ac:dyDescent="0.2">
      <c r="C36" s="135"/>
    </row>
    <row r="37" spans="1:6" x14ac:dyDescent="0.2">
      <c r="C37" s="135"/>
    </row>
    <row r="38" spans="1:6" x14ac:dyDescent="0.2">
      <c r="C38" s="135"/>
    </row>
    <row r="39" spans="1:6" x14ac:dyDescent="0.2">
      <c r="C39" s="135"/>
    </row>
    <row r="40" spans="1:6" x14ac:dyDescent="0.2">
      <c r="C40" s="135"/>
    </row>
    <row r="42" spans="1:6" x14ac:dyDescent="0.2">
      <c r="B42" s="109" t="s">
        <v>150</v>
      </c>
    </row>
    <row r="43" spans="1:6" x14ac:dyDescent="0.2">
      <c r="A43">
        <v>3</v>
      </c>
      <c r="B43">
        <v>2</v>
      </c>
      <c r="C43">
        <v>1</v>
      </c>
      <c r="D43">
        <v>2</v>
      </c>
      <c r="E43">
        <v>2</v>
      </c>
      <c r="F43">
        <v>2</v>
      </c>
    </row>
    <row r="44" spans="1:6" x14ac:dyDescent="0.2">
      <c r="A44">
        <v>2</v>
      </c>
      <c r="B44">
        <v>1</v>
      </c>
      <c r="C44">
        <v>0</v>
      </c>
      <c r="D44">
        <v>1.5</v>
      </c>
      <c r="E44">
        <v>0</v>
      </c>
      <c r="F44">
        <v>1</v>
      </c>
    </row>
    <row r="45" spans="1:6" x14ac:dyDescent="0.2">
      <c r="A45">
        <v>1</v>
      </c>
      <c r="B45">
        <v>0</v>
      </c>
      <c r="D45">
        <v>1</v>
      </c>
      <c r="F45">
        <v>0.5</v>
      </c>
    </row>
    <row r="46" spans="1:6" x14ac:dyDescent="0.2">
      <c r="A46">
        <v>0</v>
      </c>
      <c r="D46">
        <v>0.5</v>
      </c>
    </row>
    <row r="48" spans="1:6" x14ac:dyDescent="0.2">
      <c r="D48">
        <v>0</v>
      </c>
    </row>
  </sheetData>
  <protectedRanges>
    <protectedRange sqref="C17:L24" name="Intervallo1_6"/>
  </protectedRanges>
  <mergeCells count="3">
    <mergeCell ref="C1:L1"/>
    <mergeCell ref="C2:L2"/>
    <mergeCell ref="B3:B4"/>
  </mergeCells>
  <conditionalFormatting sqref="C17:L24">
    <cfRule type="containsBlanks" dxfId="67" priority="2">
      <formula>LEN(TRIM(C17))=0</formula>
    </cfRule>
  </conditionalFormatting>
  <conditionalFormatting sqref="C17:L24">
    <cfRule type="containsBlanks" dxfId="66" priority="1">
      <formula>LEN(TRIM(C17))=0</formula>
    </cfRule>
  </conditionalFormatting>
  <dataValidations count="4">
    <dataValidation type="list" allowBlank="1" showInputMessage="1" showErrorMessage="1" sqref="C22:L22" xr:uid="{00000000-0002-0000-0000-000000000000}">
      <formula1>$E$44:$E$45</formula1>
    </dataValidation>
    <dataValidation type="list" allowBlank="1" showInputMessage="1" showErrorMessage="1" sqref="C20:L20" xr:uid="{00000000-0002-0000-0000-000001000000}">
      <formula1>$D$44:$D$49</formula1>
    </dataValidation>
    <dataValidation type="list" allowBlank="1" showInputMessage="1" showErrorMessage="1" sqref="C18:L19" xr:uid="{00000000-0002-0000-0000-000002000000}">
      <formula1>$C$44:$C$45</formula1>
    </dataValidation>
    <dataValidation type="list" allowBlank="1" showInputMessage="1" showErrorMessage="1" sqref="C17:L17 C21:L21 C23:L24" xr:uid="{00000000-0002-0000-0000-000003000000}">
      <formula1>$A$44:$A$47</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AQ142"/>
  <sheetViews>
    <sheetView showGridLines="0" tabSelected="1" workbookViewId="0">
      <selection activeCell="A4" sqref="A4"/>
    </sheetView>
  </sheetViews>
  <sheetFormatPr baseColWidth="10" defaultColWidth="9.1640625" defaultRowHeight="15" outlineLevelRow="1" x14ac:dyDescent="0.2"/>
  <cols>
    <col min="1" max="1" width="11.6640625" style="35" customWidth="1"/>
    <col min="2" max="2" width="15" style="34" customWidth="1"/>
    <col min="3" max="6" width="17.5" style="34" customWidth="1"/>
    <col min="7" max="7" width="12.5" style="34" customWidth="1"/>
    <col min="8" max="8" width="9.1640625" style="35"/>
    <col min="9" max="9" width="5.5" style="35" customWidth="1"/>
    <col min="10" max="19" width="5.1640625" style="35" customWidth="1"/>
    <col min="20" max="21" width="5.5" style="35" customWidth="1"/>
    <col min="22" max="31" width="5.1640625" style="35" customWidth="1"/>
    <col min="32" max="33" width="5.5" style="35" customWidth="1"/>
    <col min="34" max="43" width="5.1640625" style="35" customWidth="1"/>
    <col min="44" max="46" width="4.5" style="35" customWidth="1"/>
    <col min="47" max="16384" width="9.1640625" style="35"/>
  </cols>
  <sheetData>
    <row r="1" spans="1:43" ht="29" x14ac:dyDescent="0.35">
      <c r="A1" s="33" t="s">
        <v>167</v>
      </c>
      <c r="I1" s="36" t="s">
        <v>173</v>
      </c>
      <c r="U1" s="36" t="s">
        <v>175</v>
      </c>
      <c r="AG1" s="36" t="s">
        <v>174</v>
      </c>
    </row>
    <row r="2" spans="1:43" ht="6" customHeight="1" x14ac:dyDescent="0.2">
      <c r="I2" s="37"/>
      <c r="U2" s="37"/>
      <c r="AG2" s="37"/>
    </row>
    <row r="3" spans="1:43" x14ac:dyDescent="0.2">
      <c r="A3" s="24" t="str">
        <f>'MAIN REPORT'!A6</f>
        <v>1. Quality aspect 1</v>
      </c>
      <c r="B3" s="5"/>
      <c r="C3" s="5"/>
      <c r="D3" s="5"/>
      <c r="E3" s="5"/>
      <c r="F3" s="22"/>
      <c r="G3" s="23">
        <f>'MAIN REPORT'!B6</f>
        <v>6</v>
      </c>
      <c r="I3" s="24" t="str">
        <f>A3</f>
        <v>1. Quality aspect 1</v>
      </c>
      <c r="J3" s="5"/>
      <c r="K3" s="5"/>
      <c r="L3" s="5"/>
      <c r="M3" s="5"/>
      <c r="N3" s="5"/>
      <c r="O3" s="5"/>
      <c r="P3" s="5"/>
      <c r="Q3" s="5"/>
      <c r="R3" s="5"/>
      <c r="S3" s="5"/>
      <c r="U3" s="24" t="str">
        <f>A3</f>
        <v>1. Quality aspect 1</v>
      </c>
      <c r="V3" s="5"/>
      <c r="W3" s="5"/>
      <c r="X3" s="5"/>
      <c r="Y3" s="5"/>
      <c r="Z3" s="5"/>
      <c r="AA3" s="5"/>
      <c r="AB3" s="5"/>
      <c r="AC3" s="5"/>
      <c r="AD3" s="5"/>
      <c r="AE3" s="5"/>
      <c r="AG3" s="24" t="str">
        <f>A3</f>
        <v>1. Quality aspect 1</v>
      </c>
      <c r="AH3" s="5"/>
      <c r="AI3" s="5"/>
      <c r="AJ3" s="5"/>
      <c r="AK3" s="5"/>
      <c r="AL3" s="5"/>
      <c r="AM3" s="5"/>
      <c r="AN3" s="5"/>
      <c r="AO3" s="5"/>
      <c r="AP3" s="5"/>
      <c r="AQ3" s="5"/>
    </row>
    <row r="4" spans="1:43" ht="16" outlineLevel="1" thickBot="1" x14ac:dyDescent="0.25">
      <c r="A4" s="40" t="s">
        <v>139</v>
      </c>
      <c r="B4" s="41" t="s">
        <v>138</v>
      </c>
      <c r="C4" s="41"/>
      <c r="D4" s="41"/>
      <c r="E4" s="41"/>
      <c r="F4" s="41" t="s">
        <v>218</v>
      </c>
      <c r="G4" s="42" t="s">
        <v>217</v>
      </c>
      <c r="H4" s="38"/>
      <c r="I4" s="39"/>
      <c r="J4" s="1" t="s">
        <v>1</v>
      </c>
      <c r="K4" s="1" t="s">
        <v>2</v>
      </c>
      <c r="L4" s="1" t="s">
        <v>3</v>
      </c>
      <c r="M4" s="1" t="s">
        <v>0</v>
      </c>
      <c r="N4" s="1" t="s">
        <v>4</v>
      </c>
      <c r="O4" s="1" t="s">
        <v>5</v>
      </c>
      <c r="P4" s="1" t="s">
        <v>6</v>
      </c>
      <c r="Q4" s="1" t="s">
        <v>7</v>
      </c>
      <c r="R4" s="1" t="s">
        <v>8</v>
      </c>
      <c r="S4" s="1" t="s">
        <v>9</v>
      </c>
      <c r="U4" s="39"/>
      <c r="V4" s="1" t="s">
        <v>1</v>
      </c>
      <c r="W4" s="1" t="s">
        <v>2</v>
      </c>
      <c r="X4" s="1" t="s">
        <v>3</v>
      </c>
      <c r="Y4" s="1" t="s">
        <v>0</v>
      </c>
      <c r="Z4" s="1" t="s">
        <v>4</v>
      </c>
      <c r="AA4" s="1" t="s">
        <v>5</v>
      </c>
      <c r="AB4" s="1" t="s">
        <v>6</v>
      </c>
      <c r="AC4" s="1" t="s">
        <v>7</v>
      </c>
      <c r="AD4" s="1" t="s">
        <v>8</v>
      </c>
      <c r="AE4" s="1" t="s">
        <v>9</v>
      </c>
      <c r="AG4" s="39"/>
      <c r="AH4" s="1" t="s">
        <v>1</v>
      </c>
      <c r="AI4" s="1" t="s">
        <v>2</v>
      </c>
      <c r="AJ4" s="1" t="s">
        <v>3</v>
      </c>
      <c r="AK4" s="1" t="s">
        <v>0</v>
      </c>
      <c r="AL4" s="1" t="s">
        <v>4</v>
      </c>
      <c r="AM4" s="1" t="s">
        <v>5</v>
      </c>
      <c r="AN4" s="1" t="s">
        <v>6</v>
      </c>
      <c r="AO4" s="1" t="s">
        <v>7</v>
      </c>
      <c r="AP4" s="1" t="s">
        <v>8</v>
      </c>
      <c r="AQ4" s="1" t="s">
        <v>9</v>
      </c>
    </row>
    <row r="5" spans="1:43" outlineLevel="1" x14ac:dyDescent="0.2">
      <c r="A5" s="28" t="s">
        <v>1</v>
      </c>
      <c r="B5" s="43">
        <f>SUMIF(SUPPORTO_punti!E:E,A5,SUPPORTO_punti!F:F)+SUPPORTO_pareggi!C5</f>
        <v>40</v>
      </c>
      <c r="C5" s="44">
        <f t="shared" ref="C5:C14" si="0">LARGE($B$5:$B$14,D5)</f>
        <v>71</v>
      </c>
      <c r="D5" s="44">
        <v>1</v>
      </c>
      <c r="E5" s="43">
        <f>IF(SUM(B5:B14)=0,0,D5)</f>
        <v>1</v>
      </c>
      <c r="F5" s="43">
        <f t="shared" ref="F5:F14" si="1">VLOOKUP(B5,$C$5:$E$14,3,FALSE)</f>
        <v>0.56338028169014087</v>
      </c>
      <c r="G5" s="45">
        <f>G$3*F5</f>
        <v>3.380281690140845</v>
      </c>
      <c r="I5" s="1" t="s">
        <v>1</v>
      </c>
      <c r="J5" s="2"/>
      <c r="K5" s="107" t="s">
        <v>88</v>
      </c>
      <c r="L5" s="107" t="s">
        <v>96</v>
      </c>
      <c r="M5" s="107" t="s">
        <v>90</v>
      </c>
      <c r="N5" s="107" t="s">
        <v>96</v>
      </c>
      <c r="O5" s="107" t="s">
        <v>87</v>
      </c>
      <c r="P5" s="107" t="s">
        <v>96</v>
      </c>
      <c r="Q5" s="107" t="s">
        <v>94</v>
      </c>
      <c r="R5" s="107">
        <v>1</v>
      </c>
      <c r="S5" s="133" t="s">
        <v>105</v>
      </c>
      <c r="U5" s="1" t="s">
        <v>1</v>
      </c>
      <c r="V5" s="2"/>
      <c r="W5" s="107">
        <v>1</v>
      </c>
      <c r="X5" s="107" t="s">
        <v>105</v>
      </c>
      <c r="Y5" s="107">
        <v>1</v>
      </c>
      <c r="Z5" s="107">
        <v>1</v>
      </c>
      <c r="AA5" s="107">
        <v>1</v>
      </c>
      <c r="AB5" s="107">
        <v>1</v>
      </c>
      <c r="AC5" s="107">
        <v>1</v>
      </c>
      <c r="AD5" s="107">
        <v>1</v>
      </c>
      <c r="AE5" s="133" t="s">
        <v>87</v>
      </c>
      <c r="AG5" s="1" t="s">
        <v>1</v>
      </c>
      <c r="AH5" s="2"/>
      <c r="AI5" s="107" t="s">
        <v>97</v>
      </c>
      <c r="AJ5" s="107" t="s">
        <v>96</v>
      </c>
      <c r="AK5" s="107" t="s">
        <v>99</v>
      </c>
      <c r="AL5" s="107" t="s">
        <v>91</v>
      </c>
      <c r="AM5" s="107" t="s">
        <v>101</v>
      </c>
      <c r="AN5" s="107" t="s">
        <v>114</v>
      </c>
      <c r="AO5" s="107" t="s">
        <v>94</v>
      </c>
      <c r="AP5" s="107" t="s">
        <v>95</v>
      </c>
      <c r="AQ5" s="133" t="s">
        <v>96</v>
      </c>
    </row>
    <row r="6" spans="1:43" outlineLevel="1" x14ac:dyDescent="0.2">
      <c r="A6" s="28" t="s">
        <v>2</v>
      </c>
      <c r="B6" s="43">
        <f>SUMIF(SUPPORTO_punti!E:E,A6,SUPPORTO_punti!F:F)+SUPPORTO_pareggi!C11</f>
        <v>47</v>
      </c>
      <c r="C6" s="44">
        <f t="shared" si="0"/>
        <v>50</v>
      </c>
      <c r="D6" s="44">
        <v>2</v>
      </c>
      <c r="E6" s="43">
        <f t="shared" ref="E6:E14" si="2">(C6/$C$5)*$E$5</f>
        <v>0.70422535211267601</v>
      </c>
      <c r="F6" s="43">
        <f t="shared" si="1"/>
        <v>0.6619718309859155</v>
      </c>
      <c r="G6" s="45">
        <f t="shared" ref="G6:G14" si="3">G$3*F6</f>
        <v>3.971830985915493</v>
      </c>
      <c r="I6" s="1" t="s">
        <v>2</v>
      </c>
      <c r="J6" s="3"/>
      <c r="K6" s="4"/>
      <c r="L6" s="108" t="s">
        <v>88</v>
      </c>
      <c r="M6" s="108" t="s">
        <v>90</v>
      </c>
      <c r="N6" s="108" t="s">
        <v>88</v>
      </c>
      <c r="O6" s="108" t="s">
        <v>88</v>
      </c>
      <c r="P6" s="108" t="s">
        <v>97</v>
      </c>
      <c r="Q6" s="108">
        <v>1</v>
      </c>
      <c r="R6" s="108" t="s">
        <v>88</v>
      </c>
      <c r="S6" s="134" t="s">
        <v>97</v>
      </c>
      <c r="U6" s="1" t="s">
        <v>2</v>
      </c>
      <c r="V6" s="3"/>
      <c r="W6" s="4"/>
      <c r="X6" s="108" t="s">
        <v>88</v>
      </c>
      <c r="Y6" s="108" t="s">
        <v>90</v>
      </c>
      <c r="Z6" s="108">
        <v>1</v>
      </c>
      <c r="AA6" s="108">
        <v>1</v>
      </c>
      <c r="AB6" s="108" t="s">
        <v>97</v>
      </c>
      <c r="AC6" s="108">
        <v>1</v>
      </c>
      <c r="AD6" s="108" t="s">
        <v>95</v>
      </c>
      <c r="AE6" s="134" t="s">
        <v>97</v>
      </c>
      <c r="AG6" s="1" t="s">
        <v>2</v>
      </c>
      <c r="AH6" s="3"/>
      <c r="AI6" s="4"/>
      <c r="AJ6" s="108" t="s">
        <v>97</v>
      </c>
      <c r="AK6" s="108" t="s">
        <v>90</v>
      </c>
      <c r="AL6" s="108">
        <v>1</v>
      </c>
      <c r="AM6" s="108">
        <v>1</v>
      </c>
      <c r="AN6" s="108" t="s">
        <v>97</v>
      </c>
      <c r="AO6" s="108">
        <v>1</v>
      </c>
      <c r="AP6" s="108">
        <v>1</v>
      </c>
      <c r="AQ6" s="134" t="s">
        <v>115</v>
      </c>
    </row>
    <row r="7" spans="1:43" outlineLevel="1" x14ac:dyDescent="0.2">
      <c r="A7" s="28" t="s">
        <v>3</v>
      </c>
      <c r="B7" s="43">
        <f>SUMIF(SUPPORTO_punti!E:E,A7,SUPPORTO_punti!F:F)+SUPPORTO_pareggi!C17</f>
        <v>4</v>
      </c>
      <c r="C7" s="44">
        <f t="shared" si="0"/>
        <v>47</v>
      </c>
      <c r="D7" s="44">
        <v>3</v>
      </c>
      <c r="E7" s="43">
        <f t="shared" si="2"/>
        <v>0.6619718309859155</v>
      </c>
      <c r="F7" s="43">
        <f t="shared" si="1"/>
        <v>5.6338028169014086E-2</v>
      </c>
      <c r="G7" s="45">
        <f t="shared" si="3"/>
        <v>0.3380281690140845</v>
      </c>
      <c r="I7" s="1" t="s">
        <v>3</v>
      </c>
      <c r="J7" s="3"/>
      <c r="K7" s="4"/>
      <c r="L7" s="4"/>
      <c r="M7" s="108" t="s">
        <v>108</v>
      </c>
      <c r="N7" s="108" t="s">
        <v>100</v>
      </c>
      <c r="O7" s="108" t="s">
        <v>101</v>
      </c>
      <c r="P7" s="108" t="s">
        <v>93</v>
      </c>
      <c r="Q7" s="108" t="s">
        <v>112</v>
      </c>
      <c r="R7" s="108" t="s">
        <v>104</v>
      </c>
      <c r="S7" s="134" t="s">
        <v>89</v>
      </c>
      <c r="U7" s="1" t="s">
        <v>3</v>
      </c>
      <c r="V7" s="3"/>
      <c r="W7" s="4"/>
      <c r="X7" s="4"/>
      <c r="Y7" s="108" t="s">
        <v>108</v>
      </c>
      <c r="Z7" s="108" t="s">
        <v>109</v>
      </c>
      <c r="AA7" s="108" t="s">
        <v>101</v>
      </c>
      <c r="AB7" s="108" t="s">
        <v>102</v>
      </c>
      <c r="AC7" s="108" t="s">
        <v>103</v>
      </c>
      <c r="AD7" s="108" t="s">
        <v>104</v>
      </c>
      <c r="AE7" s="134" t="s">
        <v>132</v>
      </c>
      <c r="AG7" s="1" t="s">
        <v>3</v>
      </c>
      <c r="AH7" s="3"/>
      <c r="AI7" s="4"/>
      <c r="AJ7" s="4"/>
      <c r="AK7" s="108" t="s">
        <v>117</v>
      </c>
      <c r="AL7" s="108" t="s">
        <v>100</v>
      </c>
      <c r="AM7" s="108" t="s">
        <v>101</v>
      </c>
      <c r="AN7" s="108">
        <v>1</v>
      </c>
      <c r="AO7" s="108" t="s">
        <v>103</v>
      </c>
      <c r="AP7" s="108" t="s">
        <v>104</v>
      </c>
      <c r="AQ7" s="134">
        <v>1</v>
      </c>
    </row>
    <row r="8" spans="1:43" outlineLevel="1" x14ac:dyDescent="0.2">
      <c r="A8" s="28" t="s">
        <v>0</v>
      </c>
      <c r="B8" s="43">
        <f>SUMIF(SUPPORTO_punti!E:E,A8,SUPPORTO_punti!F:F)+SUPPORTO_pareggi!C23</f>
        <v>71</v>
      </c>
      <c r="C8" s="44">
        <f t="shared" si="0"/>
        <v>47</v>
      </c>
      <c r="D8" s="44">
        <v>4</v>
      </c>
      <c r="E8" s="43">
        <f t="shared" si="2"/>
        <v>0.6619718309859155</v>
      </c>
      <c r="F8" s="43">
        <f t="shared" si="1"/>
        <v>1</v>
      </c>
      <c r="G8" s="45">
        <f t="shared" si="3"/>
        <v>6</v>
      </c>
      <c r="I8" s="1" t="s">
        <v>0</v>
      </c>
      <c r="J8" s="3"/>
      <c r="K8" s="4"/>
      <c r="L8" s="4"/>
      <c r="M8" s="4"/>
      <c r="N8" s="108" t="s">
        <v>90</v>
      </c>
      <c r="O8" s="108" t="s">
        <v>99</v>
      </c>
      <c r="P8" s="108" t="s">
        <v>108</v>
      </c>
      <c r="Q8" s="108" t="s">
        <v>90</v>
      </c>
      <c r="R8" s="108" t="s">
        <v>90</v>
      </c>
      <c r="S8" s="134" t="s">
        <v>117</v>
      </c>
      <c r="U8" s="1" t="s">
        <v>0</v>
      </c>
      <c r="V8" s="3"/>
      <c r="W8" s="4"/>
      <c r="X8" s="4"/>
      <c r="Y8" s="4"/>
      <c r="Z8" s="108" t="s">
        <v>90</v>
      </c>
      <c r="AA8" s="108">
        <v>1</v>
      </c>
      <c r="AB8" s="108" t="s">
        <v>99</v>
      </c>
      <c r="AC8" s="108" t="s">
        <v>90</v>
      </c>
      <c r="AD8" s="108">
        <v>1</v>
      </c>
      <c r="AE8" s="134" t="s">
        <v>99</v>
      </c>
      <c r="AG8" s="1" t="s">
        <v>0</v>
      </c>
      <c r="AH8" s="3"/>
      <c r="AI8" s="4"/>
      <c r="AJ8" s="4"/>
      <c r="AK8" s="4"/>
      <c r="AL8" s="108" t="s">
        <v>90</v>
      </c>
      <c r="AM8" s="108" t="s">
        <v>90</v>
      </c>
      <c r="AN8" s="108" t="s">
        <v>99</v>
      </c>
      <c r="AO8" s="108" t="s">
        <v>90</v>
      </c>
      <c r="AP8" s="108" t="s">
        <v>90</v>
      </c>
      <c r="AQ8" s="134" t="s">
        <v>117</v>
      </c>
    </row>
    <row r="9" spans="1:43" outlineLevel="1" x14ac:dyDescent="0.2">
      <c r="A9" s="28" t="s">
        <v>4</v>
      </c>
      <c r="B9" s="43">
        <f>SUMIF(SUPPORTO_punti!E:E,A9,SUPPORTO_punti!F:F)+SUPPORTO_pareggi!C29</f>
        <v>44</v>
      </c>
      <c r="C9" s="44">
        <f t="shared" si="0"/>
        <v>44</v>
      </c>
      <c r="D9" s="44">
        <v>5</v>
      </c>
      <c r="E9" s="43">
        <f t="shared" si="2"/>
        <v>0.61971830985915488</v>
      </c>
      <c r="F9" s="43">
        <f t="shared" si="1"/>
        <v>0.61971830985915488</v>
      </c>
      <c r="G9" s="45">
        <f t="shared" si="3"/>
        <v>3.7183098591549291</v>
      </c>
      <c r="I9" s="1" t="s">
        <v>4</v>
      </c>
      <c r="J9" s="3"/>
      <c r="K9" s="4"/>
      <c r="L9" s="4"/>
      <c r="M9" s="4"/>
      <c r="N9" s="4"/>
      <c r="O9" s="108" t="s">
        <v>91</v>
      </c>
      <c r="P9" s="108" t="s">
        <v>100</v>
      </c>
      <c r="Q9" s="108" t="s">
        <v>94</v>
      </c>
      <c r="R9" s="108">
        <v>1</v>
      </c>
      <c r="S9" s="134" t="s">
        <v>109</v>
      </c>
      <c r="U9" s="1" t="s">
        <v>4</v>
      </c>
      <c r="V9" s="3"/>
      <c r="W9" s="4"/>
      <c r="X9" s="4"/>
      <c r="Y9" s="4"/>
      <c r="Z9" s="4"/>
      <c r="AA9" s="108">
        <v>1</v>
      </c>
      <c r="AB9" s="108" t="s">
        <v>91</v>
      </c>
      <c r="AC9" s="108">
        <v>1</v>
      </c>
      <c r="AD9" s="108" t="s">
        <v>95</v>
      </c>
      <c r="AE9" s="134" t="s">
        <v>91</v>
      </c>
      <c r="AG9" s="1" t="s">
        <v>4</v>
      </c>
      <c r="AH9" s="3"/>
      <c r="AI9" s="4"/>
      <c r="AJ9" s="4"/>
      <c r="AK9" s="4"/>
      <c r="AL9" s="4"/>
      <c r="AM9" s="108">
        <v>1</v>
      </c>
      <c r="AN9" s="108" t="s">
        <v>118</v>
      </c>
      <c r="AO9" s="108">
        <v>1</v>
      </c>
      <c r="AP9" s="108">
        <v>1</v>
      </c>
      <c r="AQ9" s="134" t="s">
        <v>118</v>
      </c>
    </row>
    <row r="10" spans="1:43" outlineLevel="1" x14ac:dyDescent="0.2">
      <c r="A10" s="28" t="s">
        <v>5</v>
      </c>
      <c r="B10" s="43">
        <f>SUMIF(SUPPORTO_punti!E:E,A10,SUPPORTO_punti!F:F)+SUPPORTO_pareggi!C35</f>
        <v>41</v>
      </c>
      <c r="C10" s="44">
        <f t="shared" si="0"/>
        <v>41</v>
      </c>
      <c r="D10" s="44">
        <v>6</v>
      </c>
      <c r="E10" s="43">
        <f t="shared" si="2"/>
        <v>0.57746478873239437</v>
      </c>
      <c r="F10" s="43">
        <f t="shared" si="1"/>
        <v>0.57746478873239437</v>
      </c>
      <c r="G10" s="45">
        <f t="shared" si="3"/>
        <v>3.464788732394366</v>
      </c>
      <c r="I10" s="1" t="s">
        <v>5</v>
      </c>
      <c r="J10" s="3"/>
      <c r="K10" s="4"/>
      <c r="L10" s="4"/>
      <c r="M10" s="4"/>
      <c r="N10" s="4"/>
      <c r="O10" s="4"/>
      <c r="P10" s="108" t="s">
        <v>92</v>
      </c>
      <c r="Q10" s="108" t="s">
        <v>94</v>
      </c>
      <c r="R10" s="108" t="s">
        <v>95</v>
      </c>
      <c r="S10" s="134" t="s">
        <v>101</v>
      </c>
      <c r="U10" s="1" t="s">
        <v>5</v>
      </c>
      <c r="V10" s="3"/>
      <c r="W10" s="4"/>
      <c r="X10" s="4"/>
      <c r="Y10" s="4"/>
      <c r="Z10" s="4"/>
      <c r="AA10" s="4"/>
      <c r="AB10" s="108" t="s">
        <v>92</v>
      </c>
      <c r="AC10" s="108">
        <v>1</v>
      </c>
      <c r="AD10" s="108" t="s">
        <v>95</v>
      </c>
      <c r="AE10" s="134" t="s">
        <v>92</v>
      </c>
      <c r="AG10" s="1" t="s">
        <v>5</v>
      </c>
      <c r="AH10" s="3"/>
      <c r="AI10" s="4"/>
      <c r="AJ10" s="4"/>
      <c r="AK10" s="4"/>
      <c r="AL10" s="4"/>
      <c r="AM10" s="4"/>
      <c r="AN10" s="108" t="s">
        <v>119</v>
      </c>
      <c r="AO10" s="108">
        <v>1</v>
      </c>
      <c r="AP10" s="108" t="s">
        <v>92</v>
      </c>
      <c r="AQ10" s="134" t="s">
        <v>119</v>
      </c>
    </row>
    <row r="11" spans="1:43" outlineLevel="1" x14ac:dyDescent="0.2">
      <c r="A11" s="28" t="s">
        <v>6</v>
      </c>
      <c r="B11" s="43">
        <f>SUMIF(SUPPORTO_punti!E:E,A11,SUPPORTO_punti!F:F)+SUPPORTO_pareggi!C41</f>
        <v>12</v>
      </c>
      <c r="C11" s="44">
        <f t="shared" si="0"/>
        <v>40</v>
      </c>
      <c r="D11" s="44">
        <v>7</v>
      </c>
      <c r="E11" s="43">
        <f t="shared" si="2"/>
        <v>0.56338028169014087</v>
      </c>
      <c r="F11" s="43">
        <f t="shared" si="1"/>
        <v>0.16901408450704225</v>
      </c>
      <c r="G11" s="45">
        <f t="shared" si="3"/>
        <v>1.0140845070422535</v>
      </c>
      <c r="I11" s="1" t="s">
        <v>6</v>
      </c>
      <c r="J11" s="3"/>
      <c r="K11" s="4"/>
      <c r="L11" s="4"/>
      <c r="M11" s="4"/>
      <c r="N11" s="4"/>
      <c r="O11" s="4"/>
      <c r="P11" s="4"/>
      <c r="Q11" s="108" t="s">
        <v>103</v>
      </c>
      <c r="R11" s="108" t="s">
        <v>104</v>
      </c>
      <c r="S11" s="134" t="s">
        <v>93</v>
      </c>
      <c r="U11" s="1" t="s">
        <v>6</v>
      </c>
      <c r="V11" s="3"/>
      <c r="W11" s="4"/>
      <c r="X11" s="4"/>
      <c r="Y11" s="4"/>
      <c r="Z11" s="4"/>
      <c r="AA11" s="4"/>
      <c r="AB11" s="4"/>
      <c r="AC11" s="108" t="s">
        <v>94</v>
      </c>
      <c r="AD11" s="108" t="s">
        <v>104</v>
      </c>
      <c r="AE11" s="134" t="s">
        <v>93</v>
      </c>
      <c r="AG11" s="1" t="s">
        <v>6</v>
      </c>
      <c r="AH11" s="3"/>
      <c r="AI11" s="4"/>
      <c r="AJ11" s="4"/>
      <c r="AK11" s="4"/>
      <c r="AL11" s="4"/>
      <c r="AM11" s="4"/>
      <c r="AN11" s="4"/>
      <c r="AO11" s="108" t="s">
        <v>121</v>
      </c>
      <c r="AP11" s="108" t="s">
        <v>113</v>
      </c>
      <c r="AQ11" s="134">
        <v>1</v>
      </c>
    </row>
    <row r="12" spans="1:43" outlineLevel="1" x14ac:dyDescent="0.2">
      <c r="A12" s="28" t="s">
        <v>7</v>
      </c>
      <c r="B12" s="43">
        <f>SUMIF(SUPPORTO_punti!E:E,A12,SUPPORTO_punti!F:F)+SUPPORTO_pareggi!C47</f>
        <v>47</v>
      </c>
      <c r="C12" s="44">
        <f t="shared" si="0"/>
        <v>12</v>
      </c>
      <c r="D12" s="44">
        <v>8</v>
      </c>
      <c r="E12" s="43">
        <f t="shared" si="2"/>
        <v>0.16901408450704225</v>
      </c>
      <c r="F12" s="43">
        <f t="shared" si="1"/>
        <v>0.6619718309859155</v>
      </c>
      <c r="G12" s="45">
        <f t="shared" si="3"/>
        <v>3.971830985915493</v>
      </c>
      <c r="I12" s="1" t="s">
        <v>7</v>
      </c>
      <c r="J12" s="3"/>
      <c r="K12" s="4"/>
      <c r="L12" s="4"/>
      <c r="M12" s="4"/>
      <c r="N12" s="4"/>
      <c r="O12" s="4"/>
      <c r="P12" s="4"/>
      <c r="Q12" s="4"/>
      <c r="R12" s="108" t="s">
        <v>94</v>
      </c>
      <c r="S12" s="134" t="s">
        <v>134</v>
      </c>
      <c r="U12" s="1" t="s">
        <v>7</v>
      </c>
      <c r="V12" s="3"/>
      <c r="W12" s="4"/>
      <c r="X12" s="4"/>
      <c r="Y12" s="4"/>
      <c r="Z12" s="4"/>
      <c r="AA12" s="4"/>
      <c r="AB12" s="4"/>
      <c r="AC12" s="4"/>
      <c r="AD12" s="108" t="s">
        <v>95</v>
      </c>
      <c r="AE12" s="134" t="s">
        <v>103</v>
      </c>
      <c r="AG12" s="1" t="s">
        <v>7</v>
      </c>
      <c r="AH12" s="3"/>
      <c r="AI12" s="4"/>
      <c r="AJ12" s="4"/>
      <c r="AK12" s="4"/>
      <c r="AL12" s="4"/>
      <c r="AM12" s="4"/>
      <c r="AN12" s="4"/>
      <c r="AO12" s="4"/>
      <c r="AP12" s="108">
        <v>1</v>
      </c>
      <c r="AQ12" s="134" t="s">
        <v>121</v>
      </c>
    </row>
    <row r="13" spans="1:43" outlineLevel="1" x14ac:dyDescent="0.2">
      <c r="A13" s="28" t="s">
        <v>8</v>
      </c>
      <c r="B13" s="43">
        <f>SUMIF(SUPPORTO_punti!E:E,A13,SUPPORTO_punti!F:F)+SUPPORTO_pareggi!C53</f>
        <v>50</v>
      </c>
      <c r="C13" s="44">
        <f t="shared" si="0"/>
        <v>8</v>
      </c>
      <c r="D13" s="44">
        <v>9</v>
      </c>
      <c r="E13" s="43">
        <f t="shared" si="2"/>
        <v>0.11267605633802817</v>
      </c>
      <c r="F13" s="43">
        <f t="shared" si="1"/>
        <v>0.70422535211267601</v>
      </c>
      <c r="G13" s="45">
        <f t="shared" si="3"/>
        <v>4.225352112676056</v>
      </c>
      <c r="I13" s="1" t="s">
        <v>8</v>
      </c>
      <c r="J13" s="3"/>
      <c r="K13" s="4"/>
      <c r="L13" s="4"/>
      <c r="M13" s="4"/>
      <c r="N13" s="4"/>
      <c r="O13" s="4"/>
      <c r="P13" s="4"/>
      <c r="Q13" s="4"/>
      <c r="R13" s="4"/>
      <c r="S13" s="134" t="s">
        <v>113</v>
      </c>
      <c r="U13" s="1" t="s">
        <v>8</v>
      </c>
      <c r="V13" s="3"/>
      <c r="W13" s="4"/>
      <c r="X13" s="4"/>
      <c r="Y13" s="4"/>
      <c r="Z13" s="4"/>
      <c r="AA13" s="4"/>
      <c r="AB13" s="4"/>
      <c r="AC13" s="4"/>
      <c r="AD13" s="4"/>
      <c r="AE13" s="134" t="s">
        <v>104</v>
      </c>
      <c r="AG13" s="1" t="s">
        <v>8</v>
      </c>
      <c r="AH13" s="3"/>
      <c r="AI13" s="4"/>
      <c r="AJ13" s="4"/>
      <c r="AK13" s="4"/>
      <c r="AL13" s="4"/>
      <c r="AM13" s="4"/>
      <c r="AN13" s="4"/>
      <c r="AO13" s="4"/>
      <c r="AP13" s="4"/>
      <c r="AQ13" s="134" t="s">
        <v>122</v>
      </c>
    </row>
    <row r="14" spans="1:43" outlineLevel="1" x14ac:dyDescent="0.2">
      <c r="A14" s="29" t="s">
        <v>9</v>
      </c>
      <c r="B14" s="43">
        <f>SUMIF(SUPPORTO_punti!E:E,A14,SUPPORTO_punti!F:F)+SUPPORTO_pareggi!C59</f>
        <v>8</v>
      </c>
      <c r="C14" s="44">
        <f t="shared" si="0"/>
        <v>4</v>
      </c>
      <c r="D14" s="44">
        <v>10</v>
      </c>
      <c r="E14" s="43">
        <f t="shared" si="2"/>
        <v>5.6338028169014086E-2</v>
      </c>
      <c r="F14" s="43">
        <f t="shared" si="1"/>
        <v>0.11267605633802817</v>
      </c>
      <c r="G14" s="45">
        <f t="shared" si="3"/>
        <v>0.676056338028169</v>
      </c>
      <c r="I14" s="1" t="s">
        <v>9</v>
      </c>
      <c r="J14" s="3"/>
      <c r="K14" s="4"/>
      <c r="L14" s="4"/>
      <c r="M14" s="4"/>
      <c r="N14" s="4"/>
      <c r="O14" s="4"/>
      <c r="P14" s="4"/>
      <c r="Q14" s="4"/>
      <c r="R14" s="4"/>
      <c r="S14" s="4"/>
      <c r="U14" s="1" t="s">
        <v>9</v>
      </c>
      <c r="V14" s="3"/>
      <c r="W14" s="4"/>
      <c r="X14" s="4"/>
      <c r="Y14" s="4"/>
      <c r="Z14" s="4"/>
      <c r="AA14" s="4"/>
      <c r="AB14" s="4"/>
      <c r="AC14" s="4"/>
      <c r="AD14" s="4"/>
      <c r="AE14" s="4"/>
      <c r="AG14" s="1" t="s">
        <v>9</v>
      </c>
      <c r="AH14" s="3"/>
      <c r="AI14" s="4"/>
      <c r="AJ14" s="4"/>
      <c r="AK14" s="4"/>
      <c r="AL14" s="4"/>
      <c r="AM14" s="4"/>
      <c r="AN14" s="4"/>
      <c r="AO14" s="4"/>
      <c r="AP14" s="4"/>
      <c r="AQ14" s="4"/>
    </row>
    <row r="15" spans="1:43" x14ac:dyDescent="0.2">
      <c r="A15" s="24" t="str">
        <f>'MAIN REPORT'!A7</f>
        <v>1. Quality aspect 2</v>
      </c>
      <c r="B15" s="5"/>
      <c r="C15" s="5"/>
      <c r="D15" s="5"/>
      <c r="E15" s="5"/>
      <c r="F15" s="22"/>
      <c r="G15" s="23">
        <f>'MAIN REPORT'!B7</f>
        <v>3</v>
      </c>
      <c r="I15" s="24" t="str">
        <f>A15</f>
        <v>1. Quality aspect 2</v>
      </c>
      <c r="J15" s="5"/>
      <c r="K15" s="5"/>
      <c r="L15" s="5"/>
      <c r="M15" s="5"/>
      <c r="N15" s="5"/>
      <c r="O15" s="5"/>
      <c r="P15" s="5"/>
      <c r="Q15" s="5"/>
      <c r="R15" s="5"/>
      <c r="S15" s="5"/>
      <c r="U15" s="24" t="str">
        <f>A15</f>
        <v>1. Quality aspect 2</v>
      </c>
      <c r="V15" s="5"/>
      <c r="W15" s="5"/>
      <c r="X15" s="5"/>
      <c r="Y15" s="5"/>
      <c r="Z15" s="5"/>
      <c r="AA15" s="5"/>
      <c r="AB15" s="5"/>
      <c r="AC15" s="5"/>
      <c r="AD15" s="5"/>
      <c r="AE15" s="5"/>
      <c r="AG15" s="24" t="str">
        <f>A15</f>
        <v>1. Quality aspect 2</v>
      </c>
      <c r="AH15" s="5"/>
      <c r="AI15" s="5"/>
      <c r="AJ15" s="5"/>
      <c r="AK15" s="5"/>
      <c r="AL15" s="5"/>
      <c r="AM15" s="5"/>
      <c r="AN15" s="5"/>
      <c r="AO15" s="5"/>
      <c r="AP15" s="5"/>
      <c r="AQ15" s="5"/>
    </row>
    <row r="16" spans="1:43" ht="16" outlineLevel="1" thickBot="1" x14ac:dyDescent="0.25">
      <c r="A16" s="40" t="s">
        <v>139</v>
      </c>
      <c r="B16" s="41" t="s">
        <v>138</v>
      </c>
      <c r="C16" s="41"/>
      <c r="D16" s="41"/>
      <c r="E16" s="41"/>
      <c r="F16" s="41" t="s">
        <v>218</v>
      </c>
      <c r="G16" s="42" t="s">
        <v>217</v>
      </c>
      <c r="I16" s="39"/>
      <c r="J16" s="1" t="s">
        <v>1</v>
      </c>
      <c r="K16" s="1" t="s">
        <v>2</v>
      </c>
      <c r="L16" s="1" t="s">
        <v>3</v>
      </c>
      <c r="M16" s="1" t="s">
        <v>0</v>
      </c>
      <c r="N16" s="1" t="s">
        <v>4</v>
      </c>
      <c r="O16" s="1" t="s">
        <v>5</v>
      </c>
      <c r="P16" s="1" t="s">
        <v>6</v>
      </c>
      <c r="Q16" s="1" t="s">
        <v>7</v>
      </c>
      <c r="R16" s="1" t="s">
        <v>8</v>
      </c>
      <c r="S16" s="1" t="s">
        <v>9</v>
      </c>
      <c r="U16" s="39"/>
      <c r="V16" s="1" t="s">
        <v>1</v>
      </c>
      <c r="W16" s="1" t="s">
        <v>2</v>
      </c>
      <c r="X16" s="1" t="s">
        <v>3</v>
      </c>
      <c r="Y16" s="1" t="s">
        <v>0</v>
      </c>
      <c r="Z16" s="1" t="s">
        <v>4</v>
      </c>
      <c r="AA16" s="1" t="s">
        <v>5</v>
      </c>
      <c r="AB16" s="1" t="s">
        <v>6</v>
      </c>
      <c r="AC16" s="1" t="s">
        <v>7</v>
      </c>
      <c r="AD16" s="1" t="s">
        <v>8</v>
      </c>
      <c r="AE16" s="1" t="s">
        <v>9</v>
      </c>
      <c r="AG16" s="39"/>
      <c r="AH16" s="1" t="s">
        <v>1</v>
      </c>
      <c r="AI16" s="1" t="s">
        <v>2</v>
      </c>
      <c r="AJ16" s="1" t="s">
        <v>3</v>
      </c>
      <c r="AK16" s="1" t="s">
        <v>0</v>
      </c>
      <c r="AL16" s="1" t="s">
        <v>4</v>
      </c>
      <c r="AM16" s="1" t="s">
        <v>5</v>
      </c>
      <c r="AN16" s="1" t="s">
        <v>6</v>
      </c>
      <c r="AO16" s="1" t="s">
        <v>7</v>
      </c>
      <c r="AP16" s="1" t="s">
        <v>8</v>
      </c>
      <c r="AQ16" s="1" t="s">
        <v>9</v>
      </c>
    </row>
    <row r="17" spans="1:43" outlineLevel="1" x14ac:dyDescent="0.2">
      <c r="A17" s="28" t="s">
        <v>1</v>
      </c>
      <c r="B17" s="43">
        <f>SUMIF(SUPPORTO_punti!G:G,A17,SUPPORTO_punti!H:H)+SUPPORTO_pareggi!E5</f>
        <v>81</v>
      </c>
      <c r="C17" s="44">
        <f t="shared" ref="C17:C26" si="4">LARGE($B$17:$B$26,D17)</f>
        <v>81</v>
      </c>
      <c r="D17" s="44">
        <v>1</v>
      </c>
      <c r="E17" s="43">
        <f>IF(SUM(B17:B26)=0,0,D17)</f>
        <v>1</v>
      </c>
      <c r="F17" s="43">
        <f t="shared" ref="F17:F26" si="5">VLOOKUP(B17,$C$17:$E$26,3,FALSE)</f>
        <v>1</v>
      </c>
      <c r="G17" s="45">
        <f>G$15*F17</f>
        <v>3</v>
      </c>
      <c r="I17" s="1" t="s">
        <v>1</v>
      </c>
      <c r="J17" s="2"/>
      <c r="K17" s="107" t="s">
        <v>96</v>
      </c>
      <c r="L17" s="107" t="s">
        <v>105</v>
      </c>
      <c r="M17" s="107" t="s">
        <v>96</v>
      </c>
      <c r="N17" s="107" t="s">
        <v>87</v>
      </c>
      <c r="O17" s="107" t="s">
        <v>87</v>
      </c>
      <c r="P17" s="107" t="s">
        <v>105</v>
      </c>
      <c r="Q17" s="107" t="s">
        <v>96</v>
      </c>
      <c r="R17" s="107" t="s">
        <v>96</v>
      </c>
      <c r="S17" s="133" t="s">
        <v>96</v>
      </c>
      <c r="U17" s="1" t="s">
        <v>1</v>
      </c>
      <c r="V17" s="2"/>
      <c r="W17" s="107" t="s">
        <v>96</v>
      </c>
      <c r="X17" s="107" t="s">
        <v>114</v>
      </c>
      <c r="Y17" s="107" t="s">
        <v>96</v>
      </c>
      <c r="Z17" s="107" t="s">
        <v>87</v>
      </c>
      <c r="AA17" s="107" t="s">
        <v>87</v>
      </c>
      <c r="AB17" s="107" t="s">
        <v>96</v>
      </c>
      <c r="AC17" s="107" t="s">
        <v>87</v>
      </c>
      <c r="AD17" s="107" t="s">
        <v>96</v>
      </c>
      <c r="AE17" s="133" t="s">
        <v>96</v>
      </c>
      <c r="AG17" s="1" t="s">
        <v>1</v>
      </c>
      <c r="AH17" s="2"/>
      <c r="AI17" s="107" t="s">
        <v>87</v>
      </c>
      <c r="AJ17" s="107" t="s">
        <v>114</v>
      </c>
      <c r="AK17" s="107">
        <v>1</v>
      </c>
      <c r="AL17" s="107">
        <v>1</v>
      </c>
      <c r="AM17" s="107" t="s">
        <v>87</v>
      </c>
      <c r="AN17" s="107" t="s">
        <v>105</v>
      </c>
      <c r="AO17" s="107" t="s">
        <v>96</v>
      </c>
      <c r="AP17" s="107" t="s">
        <v>114</v>
      </c>
      <c r="AQ17" s="133" t="s">
        <v>114</v>
      </c>
    </row>
    <row r="18" spans="1:43" outlineLevel="1" x14ac:dyDescent="0.2">
      <c r="A18" s="28" t="s">
        <v>2</v>
      </c>
      <c r="B18" s="43">
        <f>SUMIF(SUPPORTO_punti!G:G,A18,SUPPORTO_punti!H:H)+SUPPORTO_pareggi!E11</f>
        <v>40</v>
      </c>
      <c r="C18" s="44">
        <f t="shared" si="4"/>
        <v>71</v>
      </c>
      <c r="D18" s="44">
        <v>2</v>
      </c>
      <c r="E18" s="43">
        <f t="shared" ref="E18:E23" si="6">(C18/$C$17)*$E$17</f>
        <v>0.87654320987654322</v>
      </c>
      <c r="F18" s="43">
        <f t="shared" si="5"/>
        <v>0.49382716049382713</v>
      </c>
      <c r="G18" s="45">
        <f t="shared" ref="G18:G26" si="7">G$15*F18</f>
        <v>1.4814814814814814</v>
      </c>
      <c r="I18" s="1" t="s">
        <v>2</v>
      </c>
      <c r="J18" s="3"/>
      <c r="K18" s="4"/>
      <c r="L18" s="108" t="s">
        <v>106</v>
      </c>
      <c r="M18" s="108">
        <v>1</v>
      </c>
      <c r="N18" s="108" t="s">
        <v>100</v>
      </c>
      <c r="O18" s="108" t="s">
        <v>88</v>
      </c>
      <c r="P18" s="108" t="s">
        <v>88</v>
      </c>
      <c r="Q18" s="108" t="s">
        <v>88</v>
      </c>
      <c r="R18" s="108" t="s">
        <v>88</v>
      </c>
      <c r="S18" s="134" t="s">
        <v>97</v>
      </c>
      <c r="U18" s="1" t="s">
        <v>2</v>
      </c>
      <c r="V18" s="3"/>
      <c r="W18" s="4"/>
      <c r="X18" s="108" t="s">
        <v>97</v>
      </c>
      <c r="Y18" s="108" t="s">
        <v>99</v>
      </c>
      <c r="Z18" s="108" t="s">
        <v>100</v>
      </c>
      <c r="AA18" s="108" t="s">
        <v>92</v>
      </c>
      <c r="AB18" s="108" t="s">
        <v>88</v>
      </c>
      <c r="AC18" s="108" t="s">
        <v>103</v>
      </c>
      <c r="AD18" s="108" t="s">
        <v>95</v>
      </c>
      <c r="AE18" s="134">
        <v>1</v>
      </c>
      <c r="AG18" s="1" t="s">
        <v>2</v>
      </c>
      <c r="AH18" s="3"/>
      <c r="AI18" s="4"/>
      <c r="AJ18" s="108" t="s">
        <v>106</v>
      </c>
      <c r="AK18" s="108" t="s">
        <v>90</v>
      </c>
      <c r="AL18" s="108" t="s">
        <v>91</v>
      </c>
      <c r="AM18" s="108">
        <v>1</v>
      </c>
      <c r="AN18" s="108" t="s">
        <v>97</v>
      </c>
      <c r="AO18" s="108" t="s">
        <v>88</v>
      </c>
      <c r="AP18" s="108" t="s">
        <v>106</v>
      </c>
      <c r="AQ18" s="134" t="s">
        <v>106</v>
      </c>
    </row>
    <row r="19" spans="1:43" outlineLevel="1" x14ac:dyDescent="0.2">
      <c r="A19" s="28" t="s">
        <v>3</v>
      </c>
      <c r="B19" s="43">
        <f>SUMIF(SUPPORTO_punti!G:G,A19,SUPPORTO_punti!H:H)+SUPPORTO_pareggi!E17</f>
        <v>2</v>
      </c>
      <c r="C19" s="44">
        <f t="shared" si="4"/>
        <v>66</v>
      </c>
      <c r="D19" s="44">
        <v>3</v>
      </c>
      <c r="E19" s="43">
        <f t="shared" si="6"/>
        <v>0.81481481481481477</v>
      </c>
      <c r="F19" s="43">
        <f t="shared" si="5"/>
        <v>2.4691358024691357E-2</v>
      </c>
      <c r="G19" s="45">
        <f t="shared" si="7"/>
        <v>7.407407407407407E-2</v>
      </c>
      <c r="I19" s="1" t="s">
        <v>3</v>
      </c>
      <c r="J19" s="3"/>
      <c r="K19" s="4"/>
      <c r="L19" s="4"/>
      <c r="M19" s="108" t="s">
        <v>108</v>
      </c>
      <c r="N19" s="108" t="s">
        <v>109</v>
      </c>
      <c r="O19" s="108" t="s">
        <v>110</v>
      </c>
      <c r="P19" s="108" t="s">
        <v>111</v>
      </c>
      <c r="Q19" s="108" t="s">
        <v>112</v>
      </c>
      <c r="R19" s="108" t="s">
        <v>122</v>
      </c>
      <c r="S19" s="134" t="s">
        <v>134</v>
      </c>
      <c r="U19" s="1" t="s">
        <v>3</v>
      </c>
      <c r="V19" s="3"/>
      <c r="W19" s="4"/>
      <c r="X19" s="4"/>
      <c r="Y19" s="108" t="s">
        <v>108</v>
      </c>
      <c r="Z19" s="108" t="s">
        <v>109</v>
      </c>
      <c r="AA19" s="108" t="s">
        <v>101</v>
      </c>
      <c r="AB19" s="108" t="s">
        <v>102</v>
      </c>
      <c r="AC19" s="108" t="s">
        <v>112</v>
      </c>
      <c r="AD19" s="108" t="s">
        <v>104</v>
      </c>
      <c r="AE19" s="134" t="s">
        <v>132</v>
      </c>
      <c r="AG19" s="1" t="s">
        <v>3</v>
      </c>
      <c r="AH19" s="3"/>
      <c r="AI19" s="4"/>
      <c r="AJ19" s="4"/>
      <c r="AK19" s="108" t="s">
        <v>117</v>
      </c>
      <c r="AL19" s="108" t="s">
        <v>118</v>
      </c>
      <c r="AM19" s="108" t="s">
        <v>110</v>
      </c>
      <c r="AN19" s="108" t="s">
        <v>93</v>
      </c>
      <c r="AO19" s="108" t="s">
        <v>103</v>
      </c>
      <c r="AP19" s="108">
        <v>1</v>
      </c>
      <c r="AQ19" s="134">
        <v>1</v>
      </c>
    </row>
    <row r="20" spans="1:43" outlineLevel="1" x14ac:dyDescent="0.2">
      <c r="A20" s="28" t="s">
        <v>0</v>
      </c>
      <c r="B20" s="43">
        <f>SUMIF(SUPPORTO_punti!G:G,A20,SUPPORTO_punti!H:H)+SUPPORTO_pareggi!E23</f>
        <v>66</v>
      </c>
      <c r="C20" s="44">
        <f t="shared" si="4"/>
        <v>42</v>
      </c>
      <c r="D20" s="44">
        <v>4</v>
      </c>
      <c r="E20" s="43">
        <f t="shared" si="6"/>
        <v>0.51851851851851849</v>
      </c>
      <c r="F20" s="43">
        <f t="shared" si="5"/>
        <v>0.81481481481481477</v>
      </c>
      <c r="G20" s="45">
        <f t="shared" si="7"/>
        <v>2.4444444444444442</v>
      </c>
      <c r="I20" s="1" t="s">
        <v>0</v>
      </c>
      <c r="J20" s="3"/>
      <c r="K20" s="4"/>
      <c r="L20" s="4"/>
      <c r="M20" s="4"/>
      <c r="N20" s="108">
        <v>1</v>
      </c>
      <c r="O20" s="108">
        <v>1</v>
      </c>
      <c r="P20" s="108" t="s">
        <v>90</v>
      </c>
      <c r="Q20" s="108" t="s">
        <v>99</v>
      </c>
      <c r="R20" s="108" t="s">
        <v>108</v>
      </c>
      <c r="S20" s="134" t="s">
        <v>108</v>
      </c>
      <c r="U20" s="1" t="s">
        <v>0</v>
      </c>
      <c r="V20" s="3"/>
      <c r="W20" s="4"/>
      <c r="X20" s="4"/>
      <c r="Y20" s="4"/>
      <c r="Z20" s="108">
        <v>1</v>
      </c>
      <c r="AA20" s="108" t="s">
        <v>90</v>
      </c>
      <c r="AB20" s="108" t="s">
        <v>90</v>
      </c>
      <c r="AC20" s="108">
        <v>1</v>
      </c>
      <c r="AD20" s="108" t="s">
        <v>90</v>
      </c>
      <c r="AE20" s="134" t="s">
        <v>99</v>
      </c>
      <c r="AG20" s="1" t="s">
        <v>0</v>
      </c>
      <c r="AH20" s="3"/>
      <c r="AI20" s="4"/>
      <c r="AJ20" s="4"/>
      <c r="AK20" s="4"/>
      <c r="AL20" s="108">
        <v>1</v>
      </c>
      <c r="AM20" s="108" t="s">
        <v>90</v>
      </c>
      <c r="AN20" s="108" t="s">
        <v>108</v>
      </c>
      <c r="AO20" s="108" t="s">
        <v>99</v>
      </c>
      <c r="AP20" s="108" t="s">
        <v>117</v>
      </c>
      <c r="AQ20" s="134" t="s">
        <v>117</v>
      </c>
    </row>
    <row r="21" spans="1:43" outlineLevel="1" x14ac:dyDescent="0.2">
      <c r="A21" s="28" t="s">
        <v>4</v>
      </c>
      <c r="B21" s="43">
        <f>SUMIF(SUPPORTO_punti!G:G,A21,SUPPORTO_punti!H:H)+SUPPORTO_pareggi!E29</f>
        <v>71</v>
      </c>
      <c r="C21" s="44">
        <f t="shared" si="4"/>
        <v>40</v>
      </c>
      <c r="D21" s="44">
        <v>5</v>
      </c>
      <c r="E21" s="43">
        <f t="shared" si="6"/>
        <v>0.49382716049382713</v>
      </c>
      <c r="F21" s="43">
        <f t="shared" si="5"/>
        <v>0.87654320987654322</v>
      </c>
      <c r="G21" s="45">
        <f t="shared" si="7"/>
        <v>2.6296296296296298</v>
      </c>
      <c r="I21" s="1" t="s">
        <v>4</v>
      </c>
      <c r="J21" s="3"/>
      <c r="K21" s="4"/>
      <c r="L21" s="4"/>
      <c r="M21" s="4"/>
      <c r="N21" s="4"/>
      <c r="O21" s="108" t="s">
        <v>100</v>
      </c>
      <c r="P21" s="108" t="s">
        <v>100</v>
      </c>
      <c r="Q21" s="108" t="s">
        <v>109</v>
      </c>
      <c r="R21" s="108" t="s">
        <v>109</v>
      </c>
      <c r="S21" s="134" t="s">
        <v>100</v>
      </c>
      <c r="U21" s="1" t="s">
        <v>4</v>
      </c>
      <c r="V21" s="3"/>
      <c r="W21" s="4"/>
      <c r="X21" s="4"/>
      <c r="Y21" s="4"/>
      <c r="Z21" s="4"/>
      <c r="AA21" s="108" t="s">
        <v>91</v>
      </c>
      <c r="AB21" s="108" t="s">
        <v>91</v>
      </c>
      <c r="AC21" s="108">
        <v>1</v>
      </c>
      <c r="AD21" s="108" t="s">
        <v>91</v>
      </c>
      <c r="AE21" s="134" t="s">
        <v>100</v>
      </c>
      <c r="AG21" s="1" t="s">
        <v>4</v>
      </c>
      <c r="AH21" s="3"/>
      <c r="AI21" s="4"/>
      <c r="AJ21" s="4"/>
      <c r="AK21" s="4"/>
      <c r="AL21" s="4"/>
      <c r="AM21" s="108" t="s">
        <v>91</v>
      </c>
      <c r="AN21" s="108" t="s">
        <v>109</v>
      </c>
      <c r="AO21" s="108" t="s">
        <v>100</v>
      </c>
      <c r="AP21" s="108" t="s">
        <v>118</v>
      </c>
      <c r="AQ21" s="134" t="s">
        <v>118</v>
      </c>
    </row>
    <row r="22" spans="1:43" outlineLevel="1" x14ac:dyDescent="0.2">
      <c r="A22" s="28" t="s">
        <v>5</v>
      </c>
      <c r="B22" s="43">
        <f>SUMIF(SUPPORTO_punti!G:G,A22,SUPPORTO_punti!H:H)+SUPPORTO_pareggi!E35</f>
        <v>42</v>
      </c>
      <c r="C22" s="44">
        <f t="shared" si="4"/>
        <v>34</v>
      </c>
      <c r="D22" s="44">
        <v>6</v>
      </c>
      <c r="E22" s="43">
        <f t="shared" si="6"/>
        <v>0.41975308641975306</v>
      </c>
      <c r="F22" s="43">
        <f t="shared" si="5"/>
        <v>0.51851851851851849</v>
      </c>
      <c r="G22" s="45">
        <f t="shared" si="7"/>
        <v>1.5555555555555554</v>
      </c>
      <c r="I22" s="1" t="s">
        <v>5</v>
      </c>
      <c r="J22" s="3"/>
      <c r="K22" s="4"/>
      <c r="L22" s="4"/>
      <c r="M22" s="4"/>
      <c r="N22" s="4"/>
      <c r="O22" s="4"/>
      <c r="P22" s="108" t="s">
        <v>92</v>
      </c>
      <c r="Q22" s="108" t="s">
        <v>101</v>
      </c>
      <c r="R22" s="108" t="s">
        <v>101</v>
      </c>
      <c r="S22" s="134" t="s">
        <v>92</v>
      </c>
      <c r="U22" s="1" t="s">
        <v>5</v>
      </c>
      <c r="V22" s="3"/>
      <c r="W22" s="4"/>
      <c r="X22" s="4"/>
      <c r="Y22" s="4"/>
      <c r="Z22" s="4"/>
      <c r="AA22" s="4"/>
      <c r="AB22" s="108">
        <v>1</v>
      </c>
      <c r="AC22" s="108" t="s">
        <v>94</v>
      </c>
      <c r="AD22" s="108">
        <v>1</v>
      </c>
      <c r="AE22" s="134" t="s">
        <v>92</v>
      </c>
      <c r="AG22" s="1" t="s">
        <v>5</v>
      </c>
      <c r="AH22" s="3"/>
      <c r="AI22" s="4"/>
      <c r="AJ22" s="4"/>
      <c r="AK22" s="4"/>
      <c r="AL22" s="4"/>
      <c r="AM22" s="4"/>
      <c r="AN22" s="108" t="s">
        <v>101</v>
      </c>
      <c r="AO22" s="108" t="s">
        <v>92</v>
      </c>
      <c r="AP22" s="108" t="s">
        <v>110</v>
      </c>
      <c r="AQ22" s="134" t="s">
        <v>110</v>
      </c>
    </row>
    <row r="23" spans="1:43" outlineLevel="1" x14ac:dyDescent="0.2">
      <c r="A23" s="28" t="s">
        <v>6</v>
      </c>
      <c r="B23" s="43">
        <f>SUMIF(SUPPORTO_punti!G:G,A23,SUPPORTO_punti!H:H)+SUPPORTO_pareggi!E41</f>
        <v>22</v>
      </c>
      <c r="C23" s="44">
        <f t="shared" si="4"/>
        <v>22</v>
      </c>
      <c r="D23" s="44">
        <v>7</v>
      </c>
      <c r="E23" s="43">
        <f t="shared" si="6"/>
        <v>0.27160493827160492</v>
      </c>
      <c r="F23" s="43">
        <f t="shared" si="5"/>
        <v>0.27160493827160492</v>
      </c>
      <c r="G23" s="45">
        <f t="shared" si="7"/>
        <v>0.81481481481481477</v>
      </c>
      <c r="I23" s="1" t="s">
        <v>6</v>
      </c>
      <c r="J23" s="3"/>
      <c r="K23" s="4"/>
      <c r="L23" s="4"/>
      <c r="M23" s="4"/>
      <c r="N23" s="4"/>
      <c r="O23" s="4"/>
      <c r="P23" s="4"/>
      <c r="Q23" s="108" t="s">
        <v>93</v>
      </c>
      <c r="R23" s="108" t="s">
        <v>93</v>
      </c>
      <c r="S23" s="134">
        <v>1</v>
      </c>
      <c r="U23" s="1" t="s">
        <v>6</v>
      </c>
      <c r="V23" s="3"/>
      <c r="W23" s="4"/>
      <c r="X23" s="4"/>
      <c r="Y23" s="4"/>
      <c r="Z23" s="4"/>
      <c r="AA23" s="4"/>
      <c r="AB23" s="4"/>
      <c r="AC23" s="108" t="s">
        <v>94</v>
      </c>
      <c r="AD23" s="108">
        <v>1</v>
      </c>
      <c r="AE23" s="134" t="s">
        <v>93</v>
      </c>
      <c r="AG23" s="1" t="s">
        <v>6</v>
      </c>
      <c r="AH23" s="3"/>
      <c r="AI23" s="4"/>
      <c r="AJ23" s="4"/>
      <c r="AK23" s="4"/>
      <c r="AL23" s="4"/>
      <c r="AM23" s="4"/>
      <c r="AN23" s="4"/>
      <c r="AO23" s="108" t="s">
        <v>94</v>
      </c>
      <c r="AP23" s="108" t="s">
        <v>93</v>
      </c>
      <c r="AQ23" s="134" t="s">
        <v>93</v>
      </c>
    </row>
    <row r="24" spans="1:43" outlineLevel="1" x14ac:dyDescent="0.2">
      <c r="A24" s="28" t="s">
        <v>7</v>
      </c>
      <c r="B24" s="43">
        <f>SUMIF(SUPPORTO_punti!G:G,A24,SUPPORTO_punti!H:H)+SUPPORTO_pareggi!E47</f>
        <v>34</v>
      </c>
      <c r="C24" s="44">
        <f t="shared" si="4"/>
        <v>17</v>
      </c>
      <c r="D24" s="44">
        <v>8</v>
      </c>
      <c r="E24" s="43">
        <f t="shared" ref="E24:E26" si="8">(C24/$C$17)*$E$17</f>
        <v>0.20987654320987653</v>
      </c>
      <c r="F24" s="43">
        <f t="shared" si="5"/>
        <v>0.41975308641975306</v>
      </c>
      <c r="G24" s="45">
        <f t="shared" si="7"/>
        <v>1.2592592592592591</v>
      </c>
      <c r="I24" s="1" t="s">
        <v>7</v>
      </c>
      <c r="J24" s="3"/>
      <c r="K24" s="4"/>
      <c r="L24" s="4"/>
      <c r="M24" s="4"/>
      <c r="N24" s="4"/>
      <c r="O24" s="4"/>
      <c r="P24" s="4"/>
      <c r="Q24" s="4"/>
      <c r="R24" s="108">
        <v>1</v>
      </c>
      <c r="S24" s="134" t="s">
        <v>132</v>
      </c>
      <c r="U24" s="1" t="s">
        <v>7</v>
      </c>
      <c r="V24" s="3"/>
      <c r="W24" s="4"/>
      <c r="X24" s="4"/>
      <c r="Y24" s="4"/>
      <c r="Z24" s="4"/>
      <c r="AA24" s="4"/>
      <c r="AB24" s="4"/>
      <c r="AC24" s="4"/>
      <c r="AD24" s="108" t="s">
        <v>94</v>
      </c>
      <c r="AE24" s="134" t="s">
        <v>103</v>
      </c>
      <c r="AG24" s="1" t="s">
        <v>7</v>
      </c>
      <c r="AH24" s="3"/>
      <c r="AI24" s="4"/>
      <c r="AJ24" s="4"/>
      <c r="AK24" s="4"/>
      <c r="AL24" s="4"/>
      <c r="AM24" s="4"/>
      <c r="AN24" s="4"/>
      <c r="AO24" s="4"/>
      <c r="AP24" s="108" t="s">
        <v>103</v>
      </c>
      <c r="AQ24" s="134" t="s">
        <v>103</v>
      </c>
    </row>
    <row r="25" spans="1:43" outlineLevel="1" x14ac:dyDescent="0.2">
      <c r="A25" s="28" t="s">
        <v>8</v>
      </c>
      <c r="B25" s="43">
        <f>SUMIF(SUPPORTO_punti!G:G,A25,SUPPORTO_punti!H:H)+SUPPORTO_pareggi!E53</f>
        <v>17</v>
      </c>
      <c r="C25" s="44">
        <f t="shared" si="4"/>
        <v>14</v>
      </c>
      <c r="D25" s="44">
        <v>9</v>
      </c>
      <c r="E25" s="43">
        <f t="shared" si="8"/>
        <v>0.1728395061728395</v>
      </c>
      <c r="F25" s="43">
        <f t="shared" si="5"/>
        <v>0.20987654320987653</v>
      </c>
      <c r="G25" s="45">
        <f t="shared" si="7"/>
        <v>0.62962962962962954</v>
      </c>
      <c r="I25" s="1" t="s">
        <v>8</v>
      </c>
      <c r="J25" s="3"/>
      <c r="K25" s="4"/>
      <c r="L25" s="4"/>
      <c r="M25" s="4"/>
      <c r="N25" s="4"/>
      <c r="O25" s="4"/>
      <c r="P25" s="4"/>
      <c r="Q25" s="4"/>
      <c r="R25" s="4"/>
      <c r="S25" s="134" t="s">
        <v>132</v>
      </c>
      <c r="U25" s="1" t="s">
        <v>8</v>
      </c>
      <c r="V25" s="3"/>
      <c r="W25" s="4"/>
      <c r="X25" s="4"/>
      <c r="Y25" s="4"/>
      <c r="Z25" s="4"/>
      <c r="AA25" s="4"/>
      <c r="AB25" s="4"/>
      <c r="AC25" s="4"/>
      <c r="AD25" s="4"/>
      <c r="AE25" s="134" t="s">
        <v>95</v>
      </c>
      <c r="AG25" s="1" t="s">
        <v>8</v>
      </c>
      <c r="AH25" s="3"/>
      <c r="AI25" s="4"/>
      <c r="AJ25" s="4"/>
      <c r="AK25" s="4"/>
      <c r="AL25" s="4"/>
      <c r="AM25" s="4"/>
      <c r="AN25" s="4"/>
      <c r="AO25" s="4"/>
      <c r="AP25" s="4"/>
      <c r="AQ25" s="134">
        <v>1</v>
      </c>
    </row>
    <row r="26" spans="1:43" outlineLevel="1" x14ac:dyDescent="0.2">
      <c r="A26" s="29" t="s">
        <v>9</v>
      </c>
      <c r="B26" s="43">
        <f>SUMIF(SUPPORTO_punti!G:G,A26,SUPPORTO_punti!H:H)+SUPPORTO_pareggi!E59</f>
        <v>14</v>
      </c>
      <c r="C26" s="44">
        <f t="shared" si="4"/>
        <v>2</v>
      </c>
      <c r="D26" s="44">
        <v>10</v>
      </c>
      <c r="E26" s="43">
        <f t="shared" si="8"/>
        <v>2.4691358024691357E-2</v>
      </c>
      <c r="F26" s="43">
        <f t="shared" si="5"/>
        <v>0.1728395061728395</v>
      </c>
      <c r="G26" s="45">
        <f t="shared" si="7"/>
        <v>0.51851851851851849</v>
      </c>
      <c r="I26" s="1" t="s">
        <v>9</v>
      </c>
      <c r="J26" s="3"/>
      <c r="K26" s="4"/>
      <c r="L26" s="4"/>
      <c r="M26" s="4"/>
      <c r="N26" s="4"/>
      <c r="O26" s="4"/>
      <c r="P26" s="4"/>
      <c r="Q26" s="4"/>
      <c r="R26" s="4"/>
      <c r="S26" s="4"/>
      <c r="U26" s="1" t="s">
        <v>9</v>
      </c>
      <c r="V26" s="3"/>
      <c r="W26" s="4"/>
      <c r="X26" s="4"/>
      <c r="Y26" s="4"/>
      <c r="Z26" s="4"/>
      <c r="AA26" s="4"/>
      <c r="AB26" s="4"/>
      <c r="AC26" s="4"/>
      <c r="AD26" s="4"/>
      <c r="AE26" s="4"/>
      <c r="AG26" s="1" t="s">
        <v>9</v>
      </c>
      <c r="AH26" s="3"/>
      <c r="AI26" s="4"/>
      <c r="AJ26" s="4"/>
      <c r="AK26" s="4"/>
      <c r="AL26" s="4"/>
      <c r="AM26" s="4"/>
      <c r="AN26" s="4"/>
      <c r="AO26" s="4"/>
      <c r="AP26" s="4"/>
      <c r="AQ26" s="4"/>
    </row>
    <row r="27" spans="1:43" x14ac:dyDescent="0.2">
      <c r="A27" s="24" t="str">
        <f>'MAIN REPORT'!A8</f>
        <v>1. Quality aspect 3</v>
      </c>
      <c r="B27" s="5"/>
      <c r="C27" s="5"/>
      <c r="D27" s="5"/>
      <c r="E27" s="5"/>
      <c r="F27" s="22"/>
      <c r="G27" s="23">
        <f>'MAIN REPORT'!B8</f>
        <v>3</v>
      </c>
      <c r="I27" s="24" t="str">
        <f>A27</f>
        <v>1. Quality aspect 3</v>
      </c>
      <c r="J27" s="5"/>
      <c r="K27" s="5"/>
      <c r="L27" s="5"/>
      <c r="M27" s="5"/>
      <c r="N27" s="5"/>
      <c r="O27" s="5"/>
      <c r="P27" s="5"/>
      <c r="Q27" s="5"/>
      <c r="R27" s="5"/>
      <c r="S27" s="5"/>
      <c r="U27" s="24" t="str">
        <f>A27</f>
        <v>1. Quality aspect 3</v>
      </c>
      <c r="V27" s="5"/>
      <c r="W27" s="5"/>
      <c r="X27" s="5"/>
      <c r="Y27" s="5"/>
      <c r="Z27" s="5"/>
      <c r="AA27" s="5"/>
      <c r="AB27" s="5"/>
      <c r="AC27" s="5"/>
      <c r="AD27" s="5"/>
      <c r="AE27" s="5"/>
      <c r="AG27" s="24" t="str">
        <f>A27</f>
        <v>1. Quality aspect 3</v>
      </c>
      <c r="AH27" s="5"/>
      <c r="AI27" s="5"/>
      <c r="AJ27" s="5"/>
      <c r="AK27" s="5"/>
      <c r="AL27" s="5"/>
      <c r="AM27" s="5"/>
      <c r="AN27" s="5"/>
      <c r="AO27" s="5"/>
      <c r="AP27" s="5"/>
      <c r="AQ27" s="5"/>
    </row>
    <row r="28" spans="1:43" ht="16" outlineLevel="1" thickBot="1" x14ac:dyDescent="0.25">
      <c r="A28" s="40" t="s">
        <v>139</v>
      </c>
      <c r="B28" s="41" t="s">
        <v>138</v>
      </c>
      <c r="C28" s="41"/>
      <c r="D28" s="41"/>
      <c r="E28" s="41"/>
      <c r="F28" s="41" t="s">
        <v>218</v>
      </c>
      <c r="G28" s="42" t="s">
        <v>217</v>
      </c>
      <c r="I28" s="39"/>
      <c r="J28" s="1" t="s">
        <v>1</v>
      </c>
      <c r="K28" s="1" t="s">
        <v>2</v>
      </c>
      <c r="L28" s="1" t="s">
        <v>3</v>
      </c>
      <c r="M28" s="1" t="s">
        <v>0</v>
      </c>
      <c r="N28" s="1" t="s">
        <v>4</v>
      </c>
      <c r="O28" s="1" t="s">
        <v>5</v>
      </c>
      <c r="P28" s="1" t="s">
        <v>6</v>
      </c>
      <c r="Q28" s="1" t="s">
        <v>7</v>
      </c>
      <c r="R28" s="1" t="s">
        <v>8</v>
      </c>
      <c r="S28" s="1" t="s">
        <v>9</v>
      </c>
      <c r="U28" s="39"/>
      <c r="V28" s="1" t="s">
        <v>1</v>
      </c>
      <c r="W28" s="1" t="s">
        <v>2</v>
      </c>
      <c r="X28" s="1" t="s">
        <v>3</v>
      </c>
      <c r="Y28" s="1" t="s">
        <v>0</v>
      </c>
      <c r="Z28" s="1" t="s">
        <v>4</v>
      </c>
      <c r="AA28" s="1" t="s">
        <v>5</v>
      </c>
      <c r="AB28" s="1" t="s">
        <v>6</v>
      </c>
      <c r="AC28" s="1" t="s">
        <v>7</v>
      </c>
      <c r="AD28" s="1" t="s">
        <v>8</v>
      </c>
      <c r="AE28" s="1" t="s">
        <v>9</v>
      </c>
      <c r="AG28" s="39"/>
      <c r="AH28" s="1" t="s">
        <v>1</v>
      </c>
      <c r="AI28" s="1" t="s">
        <v>2</v>
      </c>
      <c r="AJ28" s="1" t="s">
        <v>3</v>
      </c>
      <c r="AK28" s="1" t="s">
        <v>0</v>
      </c>
      <c r="AL28" s="1" t="s">
        <v>4</v>
      </c>
      <c r="AM28" s="1" t="s">
        <v>5</v>
      </c>
      <c r="AN28" s="1" t="s">
        <v>6</v>
      </c>
      <c r="AO28" s="1" t="s">
        <v>7</v>
      </c>
      <c r="AP28" s="1" t="s">
        <v>8</v>
      </c>
      <c r="AQ28" s="1" t="s">
        <v>9</v>
      </c>
    </row>
    <row r="29" spans="1:43" outlineLevel="1" x14ac:dyDescent="0.2">
      <c r="A29" s="28" t="s">
        <v>1</v>
      </c>
      <c r="B29" s="43">
        <f>SUMIF(SUPPORTO_punti!I:I,A29,SUPPORTO_punti!J:J)+SUPPORTO_pareggi!G5</f>
        <v>32</v>
      </c>
      <c r="C29" s="44">
        <f t="shared" ref="C29:C38" si="9">LARGE($B$29:$B$38,D29)</f>
        <v>77</v>
      </c>
      <c r="D29" s="44">
        <v>1</v>
      </c>
      <c r="E29" s="43">
        <f>IF(SUM(B29:B38)=0,0,D29)</f>
        <v>1</v>
      </c>
      <c r="F29" s="43">
        <f t="shared" ref="F29:F38" si="10">VLOOKUP(B29,$C$29:$E$38,3,FALSE)</f>
        <v>0.41558441558441561</v>
      </c>
      <c r="G29" s="45">
        <f>G$27*F29</f>
        <v>1.2467532467532467</v>
      </c>
      <c r="I29" s="1" t="s">
        <v>1</v>
      </c>
      <c r="J29" s="2"/>
      <c r="K29" s="107" t="s">
        <v>88</v>
      </c>
      <c r="L29" s="107" t="s">
        <v>96</v>
      </c>
      <c r="M29" s="107" t="s">
        <v>108</v>
      </c>
      <c r="N29" s="107" t="s">
        <v>91</v>
      </c>
      <c r="O29" s="107" t="s">
        <v>87</v>
      </c>
      <c r="P29" s="107" t="s">
        <v>96</v>
      </c>
      <c r="Q29" s="107" t="s">
        <v>96</v>
      </c>
      <c r="R29" s="107" t="s">
        <v>104</v>
      </c>
      <c r="S29" s="133" t="s">
        <v>96</v>
      </c>
      <c r="U29" s="1" t="s">
        <v>1</v>
      </c>
      <c r="V29" s="2"/>
      <c r="W29" s="107">
        <v>1</v>
      </c>
      <c r="X29" s="107" t="s">
        <v>87</v>
      </c>
      <c r="Y29" s="107">
        <v>1</v>
      </c>
      <c r="Z29" s="107" t="s">
        <v>91</v>
      </c>
      <c r="AA29" s="107" t="s">
        <v>92</v>
      </c>
      <c r="AB29" s="107">
        <v>1</v>
      </c>
      <c r="AC29" s="107">
        <v>1</v>
      </c>
      <c r="AD29" s="107">
        <v>1</v>
      </c>
      <c r="AE29" s="133" t="s">
        <v>96</v>
      </c>
      <c r="AG29" s="1" t="s">
        <v>1</v>
      </c>
      <c r="AH29" s="2"/>
      <c r="AI29" s="107" t="s">
        <v>97</v>
      </c>
      <c r="AJ29" s="107" t="s">
        <v>89</v>
      </c>
      <c r="AK29" s="107" t="s">
        <v>108</v>
      </c>
      <c r="AL29" s="107" t="s">
        <v>87</v>
      </c>
      <c r="AM29" s="107" t="s">
        <v>110</v>
      </c>
      <c r="AN29" s="107" t="s">
        <v>87</v>
      </c>
      <c r="AO29" s="107" t="s">
        <v>87</v>
      </c>
      <c r="AP29" s="107" t="s">
        <v>104</v>
      </c>
      <c r="AQ29" s="133" t="s">
        <v>87</v>
      </c>
    </row>
    <row r="30" spans="1:43" outlineLevel="1" x14ac:dyDescent="0.2">
      <c r="A30" s="28" t="s">
        <v>2</v>
      </c>
      <c r="B30" s="43">
        <f>SUMIF(SUPPORTO_punti!I:I,A30,SUPPORTO_punti!J:J)+SUPPORTO_pareggi!G11</f>
        <v>40</v>
      </c>
      <c r="C30" s="44">
        <f t="shared" si="9"/>
        <v>64</v>
      </c>
      <c r="D30" s="44">
        <v>2</v>
      </c>
      <c r="E30" s="43">
        <f>(C30/$C$29)*$E$29</f>
        <v>0.83116883116883122</v>
      </c>
      <c r="F30" s="43">
        <f t="shared" si="10"/>
        <v>0.51948051948051943</v>
      </c>
      <c r="G30" s="45">
        <f t="shared" ref="G30:G38" si="11">G$27*F30</f>
        <v>1.5584415584415583</v>
      </c>
      <c r="I30" s="1" t="s">
        <v>2</v>
      </c>
      <c r="J30" s="3"/>
      <c r="K30" s="4"/>
      <c r="L30" s="108" t="s">
        <v>88</v>
      </c>
      <c r="M30" s="108" t="s">
        <v>90</v>
      </c>
      <c r="N30" s="108">
        <v>1</v>
      </c>
      <c r="O30" s="108" t="s">
        <v>88</v>
      </c>
      <c r="P30" s="108" t="s">
        <v>88</v>
      </c>
      <c r="Q30" s="108" t="s">
        <v>97</v>
      </c>
      <c r="R30" s="108" t="s">
        <v>95</v>
      </c>
      <c r="S30" s="134" t="s">
        <v>97</v>
      </c>
      <c r="U30" s="1" t="s">
        <v>2</v>
      </c>
      <c r="V30" s="3"/>
      <c r="W30" s="4"/>
      <c r="X30" s="108" t="s">
        <v>89</v>
      </c>
      <c r="Y30" s="108">
        <v>1</v>
      </c>
      <c r="Z30" s="108">
        <v>1</v>
      </c>
      <c r="AA30" s="108" t="s">
        <v>92</v>
      </c>
      <c r="AB30" s="108" t="s">
        <v>93</v>
      </c>
      <c r="AC30" s="108" t="s">
        <v>88</v>
      </c>
      <c r="AD30" s="108" t="s">
        <v>95</v>
      </c>
      <c r="AE30" s="134" t="s">
        <v>88</v>
      </c>
      <c r="AG30" s="1" t="s">
        <v>2</v>
      </c>
      <c r="AH30" s="3"/>
      <c r="AI30" s="4"/>
      <c r="AJ30" s="108" t="s">
        <v>88</v>
      </c>
      <c r="AK30" s="108" t="s">
        <v>90</v>
      </c>
      <c r="AL30" s="108" t="s">
        <v>106</v>
      </c>
      <c r="AM30" s="108" t="s">
        <v>92</v>
      </c>
      <c r="AN30" s="108" t="s">
        <v>106</v>
      </c>
      <c r="AO30" s="108" t="s">
        <v>106</v>
      </c>
      <c r="AP30" s="108">
        <v>1</v>
      </c>
      <c r="AQ30" s="134" t="s">
        <v>134</v>
      </c>
    </row>
    <row r="31" spans="1:43" outlineLevel="1" x14ac:dyDescent="0.2">
      <c r="A31" s="28" t="s">
        <v>3</v>
      </c>
      <c r="B31" s="43">
        <f>SUMIF(SUPPORTO_punti!I:I,A31,SUPPORTO_punti!J:J)+SUPPORTO_pareggi!G17</f>
        <v>16</v>
      </c>
      <c r="C31" s="44">
        <f t="shared" si="9"/>
        <v>59</v>
      </c>
      <c r="D31" s="44">
        <v>3</v>
      </c>
      <c r="E31" s="43">
        <f t="shared" ref="E31:E38" si="12">(C31/$C$29)*$E$29</f>
        <v>0.76623376623376627</v>
      </c>
      <c r="F31" s="43">
        <f t="shared" si="10"/>
        <v>0.20779220779220781</v>
      </c>
      <c r="G31" s="45">
        <f t="shared" si="11"/>
        <v>0.62337662337662336</v>
      </c>
      <c r="I31" s="1" t="s">
        <v>3</v>
      </c>
      <c r="J31" s="3"/>
      <c r="K31" s="4"/>
      <c r="L31" s="4"/>
      <c r="M31" s="108" t="s">
        <v>117</v>
      </c>
      <c r="N31" s="108" t="s">
        <v>100</v>
      </c>
      <c r="O31" s="108" t="s">
        <v>101</v>
      </c>
      <c r="P31" s="108" t="s">
        <v>93</v>
      </c>
      <c r="Q31" s="108" t="s">
        <v>94</v>
      </c>
      <c r="R31" s="108" t="s">
        <v>113</v>
      </c>
      <c r="S31" s="134">
        <v>1</v>
      </c>
      <c r="U31" s="1" t="s">
        <v>3</v>
      </c>
      <c r="V31" s="3"/>
      <c r="W31" s="4"/>
      <c r="X31" s="4"/>
      <c r="Y31" s="108" t="s">
        <v>108</v>
      </c>
      <c r="Z31" s="108">
        <v>1</v>
      </c>
      <c r="AA31" s="108" t="s">
        <v>92</v>
      </c>
      <c r="AB31" s="108" t="s">
        <v>93</v>
      </c>
      <c r="AC31" s="108" t="s">
        <v>98</v>
      </c>
      <c r="AD31" s="108" t="s">
        <v>95</v>
      </c>
      <c r="AE31" s="134">
        <v>1</v>
      </c>
      <c r="AG31" s="1" t="s">
        <v>3</v>
      </c>
      <c r="AH31" s="3"/>
      <c r="AI31" s="4"/>
      <c r="AJ31" s="4"/>
      <c r="AK31" s="108" t="s">
        <v>99</v>
      </c>
      <c r="AL31" s="108" t="s">
        <v>98</v>
      </c>
      <c r="AM31" s="108" t="s">
        <v>101</v>
      </c>
      <c r="AN31" s="108" t="s">
        <v>98</v>
      </c>
      <c r="AO31" s="108" t="s">
        <v>103</v>
      </c>
      <c r="AP31" s="108" t="s">
        <v>95</v>
      </c>
      <c r="AQ31" s="134" t="s">
        <v>133</v>
      </c>
    </row>
    <row r="32" spans="1:43" outlineLevel="1" x14ac:dyDescent="0.2">
      <c r="A32" s="28" t="s">
        <v>0</v>
      </c>
      <c r="B32" s="43">
        <f>SUMIF(SUPPORTO_punti!I:I,A32,SUPPORTO_punti!J:J)+SUPPORTO_pareggi!G23</f>
        <v>77</v>
      </c>
      <c r="C32" s="44">
        <f t="shared" si="9"/>
        <v>40</v>
      </c>
      <c r="D32" s="44">
        <v>4</v>
      </c>
      <c r="E32" s="43">
        <f t="shared" si="12"/>
        <v>0.51948051948051943</v>
      </c>
      <c r="F32" s="43">
        <f t="shared" si="10"/>
        <v>1</v>
      </c>
      <c r="G32" s="45">
        <f t="shared" si="11"/>
        <v>3</v>
      </c>
      <c r="I32" s="1" t="s">
        <v>0</v>
      </c>
      <c r="J32" s="3"/>
      <c r="K32" s="4"/>
      <c r="L32" s="4"/>
      <c r="M32" s="4"/>
      <c r="N32" s="108" t="s">
        <v>99</v>
      </c>
      <c r="O32" s="108" t="s">
        <v>99</v>
      </c>
      <c r="P32" s="108" t="s">
        <v>108</v>
      </c>
      <c r="Q32" s="108" t="s">
        <v>108</v>
      </c>
      <c r="R32" s="108">
        <v>1</v>
      </c>
      <c r="S32" s="134" t="s">
        <v>117</v>
      </c>
      <c r="U32" s="1" t="s">
        <v>0</v>
      </c>
      <c r="V32" s="3"/>
      <c r="W32" s="4"/>
      <c r="X32" s="4"/>
      <c r="Y32" s="4"/>
      <c r="Z32" s="108" t="s">
        <v>90</v>
      </c>
      <c r="AA32" s="108" t="s">
        <v>92</v>
      </c>
      <c r="AB32" s="108">
        <v>1</v>
      </c>
      <c r="AC32" s="108" t="s">
        <v>99</v>
      </c>
      <c r="AD32" s="108">
        <v>1</v>
      </c>
      <c r="AE32" s="134" t="s">
        <v>90</v>
      </c>
      <c r="AG32" s="1" t="s">
        <v>0</v>
      </c>
      <c r="AH32" s="3"/>
      <c r="AI32" s="4"/>
      <c r="AJ32" s="4"/>
      <c r="AK32" s="4"/>
      <c r="AL32" s="108" t="s">
        <v>117</v>
      </c>
      <c r="AM32" s="108">
        <v>1</v>
      </c>
      <c r="AN32" s="108" t="s">
        <v>117</v>
      </c>
      <c r="AO32" s="108" t="s">
        <v>117</v>
      </c>
      <c r="AP32" s="108">
        <v>1</v>
      </c>
      <c r="AQ32" s="134" t="s">
        <v>117</v>
      </c>
    </row>
    <row r="33" spans="1:43" outlineLevel="1" x14ac:dyDescent="0.2">
      <c r="A33" s="28" t="s">
        <v>4</v>
      </c>
      <c r="B33" s="43">
        <f>SUMIF(SUPPORTO_punti!I:I,A33,SUPPORTO_punti!J:J)+SUPPORTO_pareggi!G29</f>
        <v>28</v>
      </c>
      <c r="C33" s="44">
        <f t="shared" si="9"/>
        <v>32</v>
      </c>
      <c r="D33" s="44">
        <v>5</v>
      </c>
      <c r="E33" s="43">
        <f t="shared" si="12"/>
        <v>0.41558441558441561</v>
      </c>
      <c r="F33" s="43">
        <f t="shared" si="10"/>
        <v>0.36363636363636365</v>
      </c>
      <c r="G33" s="45">
        <f t="shared" si="11"/>
        <v>1.0909090909090908</v>
      </c>
      <c r="I33" s="1" t="s">
        <v>4</v>
      </c>
      <c r="J33" s="3"/>
      <c r="K33" s="4"/>
      <c r="L33" s="4"/>
      <c r="M33" s="4"/>
      <c r="N33" s="4"/>
      <c r="O33" s="108" t="s">
        <v>91</v>
      </c>
      <c r="P33" s="108" t="s">
        <v>91</v>
      </c>
      <c r="Q33" s="108" t="s">
        <v>100</v>
      </c>
      <c r="R33" s="108" t="s">
        <v>95</v>
      </c>
      <c r="S33" s="134" t="s">
        <v>100</v>
      </c>
      <c r="U33" s="1" t="s">
        <v>4</v>
      </c>
      <c r="V33" s="3"/>
      <c r="W33" s="4"/>
      <c r="X33" s="4"/>
      <c r="Y33" s="4"/>
      <c r="Z33" s="4"/>
      <c r="AA33" s="108" t="s">
        <v>92</v>
      </c>
      <c r="AB33" s="108" t="s">
        <v>93</v>
      </c>
      <c r="AC33" s="108" t="s">
        <v>100</v>
      </c>
      <c r="AD33" s="108" t="s">
        <v>95</v>
      </c>
      <c r="AE33" s="134" t="s">
        <v>91</v>
      </c>
      <c r="AG33" s="1" t="s">
        <v>4</v>
      </c>
      <c r="AH33" s="3"/>
      <c r="AI33" s="4"/>
      <c r="AJ33" s="4"/>
      <c r="AK33" s="4"/>
      <c r="AL33" s="4"/>
      <c r="AM33" s="108" t="s">
        <v>119</v>
      </c>
      <c r="AN33" s="108">
        <v>1</v>
      </c>
      <c r="AO33" s="108">
        <v>1</v>
      </c>
      <c r="AP33" s="108" t="s">
        <v>113</v>
      </c>
      <c r="AQ33" s="134">
        <v>1</v>
      </c>
    </row>
    <row r="34" spans="1:43" outlineLevel="1" x14ac:dyDescent="0.2">
      <c r="A34" s="28" t="s">
        <v>5</v>
      </c>
      <c r="B34" s="43">
        <f>SUMIF(SUPPORTO_punti!I:I,A34,SUPPORTO_punti!J:J)+SUPPORTO_pareggi!G35</f>
        <v>59</v>
      </c>
      <c r="C34" s="44">
        <f t="shared" si="9"/>
        <v>28</v>
      </c>
      <c r="D34" s="44">
        <v>6</v>
      </c>
      <c r="E34" s="43">
        <f t="shared" si="12"/>
        <v>0.36363636363636365</v>
      </c>
      <c r="F34" s="43">
        <f t="shared" si="10"/>
        <v>0.76623376623376627</v>
      </c>
      <c r="G34" s="45">
        <f t="shared" si="11"/>
        <v>2.2987012987012987</v>
      </c>
      <c r="I34" s="1" t="s">
        <v>5</v>
      </c>
      <c r="J34" s="3"/>
      <c r="K34" s="4"/>
      <c r="L34" s="4"/>
      <c r="M34" s="4"/>
      <c r="N34" s="4"/>
      <c r="O34" s="4"/>
      <c r="P34" s="108" t="s">
        <v>92</v>
      </c>
      <c r="Q34" s="108" t="s">
        <v>92</v>
      </c>
      <c r="R34" s="108" t="s">
        <v>104</v>
      </c>
      <c r="S34" s="134" t="s">
        <v>101</v>
      </c>
      <c r="U34" s="1" t="s">
        <v>5</v>
      </c>
      <c r="V34" s="3"/>
      <c r="W34" s="4"/>
      <c r="X34" s="4"/>
      <c r="Y34" s="4"/>
      <c r="Z34" s="4"/>
      <c r="AA34" s="4"/>
      <c r="AB34" s="108">
        <v>1</v>
      </c>
      <c r="AC34" s="108" t="s">
        <v>92</v>
      </c>
      <c r="AD34" s="108">
        <v>1</v>
      </c>
      <c r="AE34" s="134" t="s">
        <v>101</v>
      </c>
      <c r="AG34" s="1" t="s">
        <v>5</v>
      </c>
      <c r="AH34" s="3"/>
      <c r="AI34" s="4"/>
      <c r="AJ34" s="4"/>
      <c r="AK34" s="4"/>
      <c r="AL34" s="4"/>
      <c r="AM34" s="4"/>
      <c r="AN34" s="108" t="s">
        <v>119</v>
      </c>
      <c r="AO34" s="108" t="s">
        <v>119</v>
      </c>
      <c r="AP34" s="108" t="s">
        <v>92</v>
      </c>
      <c r="AQ34" s="134" t="s">
        <v>119</v>
      </c>
    </row>
    <row r="35" spans="1:43" outlineLevel="1" x14ac:dyDescent="0.2">
      <c r="A35" s="28" t="s">
        <v>6</v>
      </c>
      <c r="B35" s="43">
        <f>SUMIF(SUPPORTO_punti!I:I,A35,SUPPORTO_punti!J:J)+SUPPORTO_pareggi!G41</f>
        <v>23</v>
      </c>
      <c r="C35" s="44">
        <f t="shared" si="9"/>
        <v>23</v>
      </c>
      <c r="D35" s="44">
        <v>7</v>
      </c>
      <c r="E35" s="43">
        <f t="shared" si="12"/>
        <v>0.29870129870129869</v>
      </c>
      <c r="F35" s="43">
        <f t="shared" si="10"/>
        <v>0.29870129870129869</v>
      </c>
      <c r="G35" s="45">
        <f t="shared" si="11"/>
        <v>0.89610389610389607</v>
      </c>
      <c r="I35" s="1" t="s">
        <v>6</v>
      </c>
      <c r="J35" s="3"/>
      <c r="K35" s="4"/>
      <c r="L35" s="4"/>
      <c r="M35" s="4"/>
      <c r="N35" s="4"/>
      <c r="O35" s="4"/>
      <c r="P35" s="4"/>
      <c r="Q35" s="108">
        <v>1</v>
      </c>
      <c r="R35" s="108" t="s">
        <v>113</v>
      </c>
      <c r="S35" s="134" t="s">
        <v>93</v>
      </c>
      <c r="U35" s="1" t="s">
        <v>6</v>
      </c>
      <c r="V35" s="3"/>
      <c r="W35" s="4"/>
      <c r="X35" s="4"/>
      <c r="Y35" s="4"/>
      <c r="Z35" s="4"/>
      <c r="AA35" s="4"/>
      <c r="AB35" s="4"/>
      <c r="AC35" s="108" t="s">
        <v>93</v>
      </c>
      <c r="AD35" s="108">
        <v>1</v>
      </c>
      <c r="AE35" s="134" t="s">
        <v>102</v>
      </c>
      <c r="AG35" s="1" t="s">
        <v>6</v>
      </c>
      <c r="AH35" s="3"/>
      <c r="AI35" s="4"/>
      <c r="AJ35" s="4"/>
      <c r="AK35" s="4"/>
      <c r="AL35" s="4"/>
      <c r="AM35" s="4"/>
      <c r="AN35" s="4"/>
      <c r="AO35" s="108">
        <v>1</v>
      </c>
      <c r="AP35" s="108" t="s">
        <v>113</v>
      </c>
      <c r="AQ35" s="134">
        <v>1</v>
      </c>
    </row>
    <row r="36" spans="1:43" outlineLevel="1" x14ac:dyDescent="0.2">
      <c r="A36" s="28" t="s">
        <v>7</v>
      </c>
      <c r="B36" s="43">
        <f>SUMIF(SUPPORTO_punti!I:I,A36,SUPPORTO_punti!J:J)+SUPPORTO_pareggi!G47</f>
        <v>15</v>
      </c>
      <c r="C36" s="44">
        <f t="shared" si="9"/>
        <v>16</v>
      </c>
      <c r="D36" s="44">
        <v>8</v>
      </c>
      <c r="E36" s="43">
        <f t="shared" si="12"/>
        <v>0.20779220779220781</v>
      </c>
      <c r="F36" s="43">
        <f t="shared" si="10"/>
        <v>0.19480519480519481</v>
      </c>
      <c r="G36" s="45">
        <f t="shared" si="11"/>
        <v>0.5844155844155845</v>
      </c>
      <c r="I36" s="1" t="s">
        <v>7</v>
      </c>
      <c r="J36" s="3"/>
      <c r="K36" s="4"/>
      <c r="L36" s="4"/>
      <c r="M36" s="4"/>
      <c r="N36" s="4"/>
      <c r="O36" s="4"/>
      <c r="P36" s="4"/>
      <c r="Q36" s="4"/>
      <c r="R36" s="108" t="s">
        <v>113</v>
      </c>
      <c r="S36" s="134" t="s">
        <v>94</v>
      </c>
      <c r="U36" s="1" t="s">
        <v>7</v>
      </c>
      <c r="V36" s="3"/>
      <c r="W36" s="4"/>
      <c r="X36" s="4"/>
      <c r="Y36" s="4"/>
      <c r="Z36" s="4"/>
      <c r="AA36" s="4"/>
      <c r="AB36" s="4"/>
      <c r="AC36" s="4"/>
      <c r="AD36" s="108">
        <v>1</v>
      </c>
      <c r="AE36" s="134" t="s">
        <v>94</v>
      </c>
      <c r="AG36" s="1" t="s">
        <v>7</v>
      </c>
      <c r="AH36" s="3"/>
      <c r="AI36" s="4"/>
      <c r="AJ36" s="4"/>
      <c r="AK36" s="4"/>
      <c r="AL36" s="4"/>
      <c r="AM36" s="4"/>
      <c r="AN36" s="4"/>
      <c r="AO36" s="4"/>
      <c r="AP36" s="108" t="s">
        <v>113</v>
      </c>
      <c r="AQ36" s="134">
        <v>1</v>
      </c>
    </row>
    <row r="37" spans="1:43" outlineLevel="1" x14ac:dyDescent="0.2">
      <c r="A37" s="28" t="s">
        <v>8</v>
      </c>
      <c r="B37" s="43">
        <f>SUMIF(SUPPORTO_punti!I:I,A37,SUPPORTO_punti!J:J)+SUPPORTO_pareggi!G53</f>
        <v>64</v>
      </c>
      <c r="C37" s="44">
        <f t="shared" si="9"/>
        <v>15</v>
      </c>
      <c r="D37" s="44">
        <v>9</v>
      </c>
      <c r="E37" s="43">
        <f t="shared" si="12"/>
        <v>0.19480519480519481</v>
      </c>
      <c r="F37" s="43">
        <f t="shared" si="10"/>
        <v>0.83116883116883122</v>
      </c>
      <c r="G37" s="45">
        <f t="shared" si="11"/>
        <v>2.4935064935064934</v>
      </c>
      <c r="I37" s="1" t="s">
        <v>8</v>
      </c>
      <c r="J37" s="3"/>
      <c r="K37" s="4"/>
      <c r="L37" s="4"/>
      <c r="M37" s="4"/>
      <c r="N37" s="4"/>
      <c r="O37" s="4"/>
      <c r="P37" s="4"/>
      <c r="Q37" s="4"/>
      <c r="R37" s="4"/>
      <c r="S37" s="134" t="s">
        <v>122</v>
      </c>
      <c r="U37" s="1" t="s">
        <v>8</v>
      </c>
      <c r="V37" s="3"/>
      <c r="W37" s="4"/>
      <c r="X37" s="4"/>
      <c r="Y37" s="4"/>
      <c r="Z37" s="4"/>
      <c r="AA37" s="4"/>
      <c r="AB37" s="4"/>
      <c r="AC37" s="4"/>
      <c r="AD37" s="4"/>
      <c r="AE37" s="134" t="s">
        <v>95</v>
      </c>
      <c r="AG37" s="1" t="s">
        <v>8</v>
      </c>
      <c r="AH37" s="3"/>
      <c r="AI37" s="4"/>
      <c r="AJ37" s="4"/>
      <c r="AK37" s="4"/>
      <c r="AL37" s="4"/>
      <c r="AM37" s="4"/>
      <c r="AN37" s="4"/>
      <c r="AO37" s="4"/>
      <c r="AP37" s="4"/>
      <c r="AQ37" s="134" t="s">
        <v>113</v>
      </c>
    </row>
    <row r="38" spans="1:43" outlineLevel="1" x14ac:dyDescent="0.2">
      <c r="A38" s="29" t="s">
        <v>9</v>
      </c>
      <c r="B38" s="43">
        <f>SUMIF(SUPPORTO_punti!I:I,A38,SUPPORTO_punti!J:J)+SUPPORTO_pareggi!G59</f>
        <v>12</v>
      </c>
      <c r="C38" s="44">
        <f t="shared" si="9"/>
        <v>12</v>
      </c>
      <c r="D38" s="44">
        <v>10</v>
      </c>
      <c r="E38" s="43">
        <f t="shared" si="12"/>
        <v>0.15584415584415584</v>
      </c>
      <c r="F38" s="43">
        <f t="shared" si="10"/>
        <v>0.15584415584415584</v>
      </c>
      <c r="G38" s="45">
        <f t="shared" si="11"/>
        <v>0.46753246753246752</v>
      </c>
      <c r="I38" s="1" t="s">
        <v>9</v>
      </c>
      <c r="J38" s="3"/>
      <c r="K38" s="4"/>
      <c r="L38" s="4"/>
      <c r="M38" s="4"/>
      <c r="N38" s="4"/>
      <c r="O38" s="4"/>
      <c r="P38" s="4"/>
      <c r="Q38" s="4"/>
      <c r="R38" s="4"/>
      <c r="S38" s="4"/>
      <c r="U38" s="1" t="s">
        <v>9</v>
      </c>
      <c r="V38" s="3"/>
      <c r="W38" s="4"/>
      <c r="X38" s="4"/>
      <c r="Y38" s="4"/>
      <c r="Z38" s="4"/>
      <c r="AA38" s="4"/>
      <c r="AB38" s="4"/>
      <c r="AC38" s="4"/>
      <c r="AD38" s="4"/>
      <c r="AE38" s="4"/>
      <c r="AG38" s="1" t="s">
        <v>9</v>
      </c>
      <c r="AH38" s="3"/>
      <c r="AI38" s="4"/>
      <c r="AJ38" s="4"/>
      <c r="AK38" s="4"/>
      <c r="AL38" s="4"/>
      <c r="AM38" s="4"/>
      <c r="AN38" s="4"/>
      <c r="AO38" s="4"/>
      <c r="AP38" s="4"/>
      <c r="AQ38" s="4"/>
    </row>
    <row r="39" spans="1:43" x14ac:dyDescent="0.2">
      <c r="A39" s="24" t="str">
        <f>'MAIN REPORT'!A9</f>
        <v>1. Quality aspect 4</v>
      </c>
      <c r="B39" s="5"/>
      <c r="C39" s="5"/>
      <c r="D39" s="5"/>
      <c r="E39" s="5"/>
      <c r="F39" s="22"/>
      <c r="G39" s="23">
        <f>'MAIN REPORT'!B9</f>
        <v>3</v>
      </c>
      <c r="I39" s="24" t="str">
        <f>A39</f>
        <v>1. Quality aspect 4</v>
      </c>
      <c r="J39" s="5"/>
      <c r="K39" s="5"/>
      <c r="L39" s="5"/>
      <c r="M39" s="5"/>
      <c r="N39" s="5"/>
      <c r="O39" s="5"/>
      <c r="P39" s="5"/>
      <c r="Q39" s="5"/>
      <c r="R39" s="5"/>
      <c r="S39" s="5"/>
      <c r="U39" s="24" t="str">
        <f>A39</f>
        <v>1. Quality aspect 4</v>
      </c>
      <c r="V39" s="5"/>
      <c r="W39" s="5"/>
      <c r="X39" s="5"/>
      <c r="Y39" s="5"/>
      <c r="Z39" s="5"/>
      <c r="AA39" s="5"/>
      <c r="AB39" s="5"/>
      <c r="AC39" s="5"/>
      <c r="AD39" s="5"/>
      <c r="AE39" s="5"/>
      <c r="AG39" s="24" t="str">
        <f>A39</f>
        <v>1. Quality aspect 4</v>
      </c>
      <c r="AH39" s="5"/>
      <c r="AI39" s="5"/>
      <c r="AJ39" s="5"/>
      <c r="AK39" s="5"/>
      <c r="AL39" s="5"/>
      <c r="AM39" s="5"/>
      <c r="AN39" s="5"/>
      <c r="AO39" s="5"/>
      <c r="AP39" s="5"/>
      <c r="AQ39" s="5"/>
    </row>
    <row r="40" spans="1:43" ht="16" outlineLevel="1" thickBot="1" x14ac:dyDescent="0.25">
      <c r="A40" s="40" t="s">
        <v>139</v>
      </c>
      <c r="B40" s="41" t="s">
        <v>138</v>
      </c>
      <c r="C40" s="41"/>
      <c r="D40" s="41"/>
      <c r="E40" s="41"/>
      <c r="F40" s="41" t="s">
        <v>218</v>
      </c>
      <c r="G40" s="42" t="s">
        <v>217</v>
      </c>
      <c r="I40" s="39"/>
      <c r="J40" s="1" t="s">
        <v>1</v>
      </c>
      <c r="K40" s="1" t="s">
        <v>2</v>
      </c>
      <c r="L40" s="1" t="s">
        <v>3</v>
      </c>
      <c r="M40" s="1" t="s">
        <v>0</v>
      </c>
      <c r="N40" s="1" t="s">
        <v>4</v>
      </c>
      <c r="O40" s="1" t="s">
        <v>5</v>
      </c>
      <c r="P40" s="1" t="s">
        <v>6</v>
      </c>
      <c r="Q40" s="1" t="s">
        <v>7</v>
      </c>
      <c r="R40" s="1" t="s">
        <v>8</v>
      </c>
      <c r="S40" s="1" t="s">
        <v>9</v>
      </c>
      <c r="U40" s="39"/>
      <c r="V40" s="1" t="s">
        <v>1</v>
      </c>
      <c r="W40" s="1" t="s">
        <v>2</v>
      </c>
      <c r="X40" s="1" t="s">
        <v>3</v>
      </c>
      <c r="Y40" s="1" t="s">
        <v>0</v>
      </c>
      <c r="Z40" s="1" t="s">
        <v>4</v>
      </c>
      <c r="AA40" s="1" t="s">
        <v>5</v>
      </c>
      <c r="AB40" s="1" t="s">
        <v>6</v>
      </c>
      <c r="AC40" s="1" t="s">
        <v>7</v>
      </c>
      <c r="AD40" s="1" t="s">
        <v>8</v>
      </c>
      <c r="AE40" s="1" t="s">
        <v>9</v>
      </c>
      <c r="AG40" s="39"/>
      <c r="AH40" s="1" t="s">
        <v>1</v>
      </c>
      <c r="AI40" s="1" t="s">
        <v>2</v>
      </c>
      <c r="AJ40" s="1" t="s">
        <v>3</v>
      </c>
      <c r="AK40" s="1" t="s">
        <v>0</v>
      </c>
      <c r="AL40" s="1" t="s">
        <v>4</v>
      </c>
      <c r="AM40" s="1" t="s">
        <v>5</v>
      </c>
      <c r="AN40" s="1" t="s">
        <v>6</v>
      </c>
      <c r="AO40" s="1" t="s">
        <v>7</v>
      </c>
      <c r="AP40" s="1" t="s">
        <v>8</v>
      </c>
      <c r="AQ40" s="1" t="s">
        <v>9</v>
      </c>
    </row>
    <row r="41" spans="1:43" outlineLevel="1" x14ac:dyDescent="0.2">
      <c r="A41" s="28" t="s">
        <v>1</v>
      </c>
      <c r="B41" s="43">
        <f>SUMIF(SUPPORTO_punti!K:K,A41,SUPPORTO_punti!L:L)+SUPPORTO_pareggi!I5</f>
        <v>52</v>
      </c>
      <c r="C41" s="44">
        <f t="shared" ref="C41:C50" si="13">LARGE($B$41:$B$50,D41)</f>
        <v>63</v>
      </c>
      <c r="D41" s="44">
        <v>1</v>
      </c>
      <c r="E41" s="43">
        <f>IF(SUM(B41:B50)=0,0,D41)</f>
        <v>1</v>
      </c>
      <c r="F41" s="43">
        <f t="shared" ref="F41:F50" si="14">VLOOKUP(B41,$C$41:$E$50,3,FALSE)</f>
        <v>0.82539682539682535</v>
      </c>
      <c r="G41" s="45">
        <f>G$39*F41</f>
        <v>2.4761904761904763</v>
      </c>
      <c r="I41" s="1" t="s">
        <v>1</v>
      </c>
      <c r="J41" s="2"/>
      <c r="K41" s="107" t="s">
        <v>87</v>
      </c>
      <c r="L41" s="107" t="s">
        <v>96</v>
      </c>
      <c r="M41" s="107">
        <v>1</v>
      </c>
      <c r="N41" s="107" t="s">
        <v>91</v>
      </c>
      <c r="O41" s="107" t="s">
        <v>92</v>
      </c>
      <c r="P41" s="107" t="s">
        <v>87</v>
      </c>
      <c r="Q41" s="107" t="s">
        <v>96</v>
      </c>
      <c r="R41" s="107" t="s">
        <v>87</v>
      </c>
      <c r="S41" s="133" t="s">
        <v>96</v>
      </c>
      <c r="U41" s="1" t="s">
        <v>1</v>
      </c>
      <c r="V41" s="2"/>
      <c r="W41" s="107">
        <v>1</v>
      </c>
      <c r="X41" s="107" t="s">
        <v>96</v>
      </c>
      <c r="Y41" s="107" t="s">
        <v>87</v>
      </c>
      <c r="Z41" s="107" t="s">
        <v>87</v>
      </c>
      <c r="AA41" s="107">
        <v>1</v>
      </c>
      <c r="AB41" s="107">
        <v>1</v>
      </c>
      <c r="AC41" s="107" t="s">
        <v>87</v>
      </c>
      <c r="AD41" s="107">
        <v>1</v>
      </c>
      <c r="AE41" s="133" t="s">
        <v>96</v>
      </c>
      <c r="AG41" s="1" t="s">
        <v>1</v>
      </c>
      <c r="AH41" s="2"/>
      <c r="AI41" s="107" t="s">
        <v>96</v>
      </c>
      <c r="AJ41" s="107" t="s">
        <v>87</v>
      </c>
      <c r="AK41" s="107">
        <v>1</v>
      </c>
      <c r="AL41" s="107" t="s">
        <v>87</v>
      </c>
      <c r="AM41" s="107">
        <v>1</v>
      </c>
      <c r="AN41" s="107">
        <v>1</v>
      </c>
      <c r="AO41" s="107" t="s">
        <v>105</v>
      </c>
      <c r="AP41" s="107">
        <v>1</v>
      </c>
      <c r="AQ41" s="133" t="s">
        <v>114</v>
      </c>
    </row>
    <row r="42" spans="1:43" outlineLevel="1" x14ac:dyDescent="0.2">
      <c r="A42" s="28" t="s">
        <v>2</v>
      </c>
      <c r="B42" s="43">
        <f>SUMIF(SUPPORTO_punti!K:K,A42,SUPPORTO_punti!L:L)+SUPPORTO_pareggi!I11</f>
        <v>26</v>
      </c>
      <c r="C42" s="44">
        <f t="shared" si="13"/>
        <v>52</v>
      </c>
      <c r="D42" s="44">
        <v>2</v>
      </c>
      <c r="E42" s="43">
        <f>(C42/$C$41)*$E$41</f>
        <v>0.82539682539682535</v>
      </c>
      <c r="F42" s="43">
        <f t="shared" si="14"/>
        <v>0.41269841269841268</v>
      </c>
      <c r="G42" s="45">
        <f t="shared" ref="G42:G50" si="15">G$39*F42</f>
        <v>1.2380952380952381</v>
      </c>
      <c r="I42" s="1" t="s">
        <v>2</v>
      </c>
      <c r="J42" s="3"/>
      <c r="K42" s="4"/>
      <c r="L42" s="108" t="s">
        <v>97</v>
      </c>
      <c r="M42" s="108" t="s">
        <v>90</v>
      </c>
      <c r="N42" s="108" t="s">
        <v>91</v>
      </c>
      <c r="O42" s="108" t="s">
        <v>101</v>
      </c>
      <c r="P42" s="108">
        <v>1</v>
      </c>
      <c r="Q42" s="108" t="s">
        <v>97</v>
      </c>
      <c r="R42" s="108" t="s">
        <v>97</v>
      </c>
      <c r="S42" s="134" t="s">
        <v>88</v>
      </c>
      <c r="U42" s="1" t="s">
        <v>2</v>
      </c>
      <c r="V42" s="3"/>
      <c r="W42" s="4"/>
      <c r="X42" s="108" t="s">
        <v>89</v>
      </c>
      <c r="Y42" s="108" t="s">
        <v>88</v>
      </c>
      <c r="Z42" s="108">
        <v>1</v>
      </c>
      <c r="AA42" s="108" t="s">
        <v>92</v>
      </c>
      <c r="AB42" s="108" t="s">
        <v>93</v>
      </c>
      <c r="AC42" s="108" t="s">
        <v>88</v>
      </c>
      <c r="AD42" s="108" t="s">
        <v>104</v>
      </c>
      <c r="AE42" s="134" t="s">
        <v>97</v>
      </c>
      <c r="AG42" s="1" t="s">
        <v>2</v>
      </c>
      <c r="AH42" s="3"/>
      <c r="AI42" s="4"/>
      <c r="AJ42" s="108" t="s">
        <v>89</v>
      </c>
      <c r="AK42" s="108" t="s">
        <v>99</v>
      </c>
      <c r="AL42" s="108" t="s">
        <v>91</v>
      </c>
      <c r="AM42" s="108" t="s">
        <v>101</v>
      </c>
      <c r="AN42" s="108" t="s">
        <v>102</v>
      </c>
      <c r="AO42" s="108" t="s">
        <v>88</v>
      </c>
      <c r="AP42" s="108" t="s">
        <v>104</v>
      </c>
      <c r="AQ42" s="134" t="s">
        <v>97</v>
      </c>
    </row>
    <row r="43" spans="1:43" outlineLevel="1" x14ac:dyDescent="0.2">
      <c r="A43" s="28" t="s">
        <v>3</v>
      </c>
      <c r="B43" s="43">
        <f>SUMIF(SUPPORTO_punti!K:K,A43,SUPPORTO_punti!L:L)+SUPPORTO_pareggi!I17</f>
        <v>20</v>
      </c>
      <c r="C43" s="44">
        <f t="shared" si="13"/>
        <v>52</v>
      </c>
      <c r="D43" s="44">
        <v>3</v>
      </c>
      <c r="E43" s="43">
        <f t="shared" ref="E43:E50" si="16">(C43/$C$41)*$E$41</f>
        <v>0.82539682539682535</v>
      </c>
      <c r="F43" s="43">
        <f t="shared" si="14"/>
        <v>0.31746031746031744</v>
      </c>
      <c r="G43" s="45">
        <f t="shared" si="15"/>
        <v>0.95238095238095233</v>
      </c>
      <c r="I43" s="1" t="s">
        <v>3</v>
      </c>
      <c r="J43" s="3"/>
      <c r="K43" s="4"/>
      <c r="L43" s="4"/>
      <c r="M43" s="108" t="s">
        <v>99</v>
      </c>
      <c r="N43" s="108" t="s">
        <v>91</v>
      </c>
      <c r="O43" s="108" t="s">
        <v>110</v>
      </c>
      <c r="P43" s="108" t="s">
        <v>102</v>
      </c>
      <c r="Q43" s="108" t="s">
        <v>89</v>
      </c>
      <c r="R43" s="108">
        <v>1</v>
      </c>
      <c r="S43" s="134" t="s">
        <v>132</v>
      </c>
      <c r="U43" s="1" t="s">
        <v>3</v>
      </c>
      <c r="V43" s="3"/>
      <c r="W43" s="4"/>
      <c r="X43" s="4"/>
      <c r="Y43" s="108" t="s">
        <v>90</v>
      </c>
      <c r="Z43" s="108">
        <v>1</v>
      </c>
      <c r="AA43" s="108" t="s">
        <v>92</v>
      </c>
      <c r="AB43" s="108" t="s">
        <v>93</v>
      </c>
      <c r="AC43" s="108" t="s">
        <v>98</v>
      </c>
      <c r="AD43" s="108" t="s">
        <v>95</v>
      </c>
      <c r="AE43" s="134">
        <v>1</v>
      </c>
      <c r="AG43" s="1" t="s">
        <v>3</v>
      </c>
      <c r="AH43" s="3"/>
      <c r="AI43" s="4"/>
      <c r="AJ43" s="4"/>
      <c r="AK43" s="108" t="s">
        <v>90</v>
      </c>
      <c r="AL43" s="108">
        <v>1</v>
      </c>
      <c r="AM43" s="108" t="s">
        <v>92</v>
      </c>
      <c r="AN43" s="108" t="s">
        <v>93</v>
      </c>
      <c r="AO43" s="108" t="s">
        <v>98</v>
      </c>
      <c r="AP43" s="108" t="s">
        <v>95</v>
      </c>
      <c r="AQ43" s="134" t="s">
        <v>107</v>
      </c>
    </row>
    <row r="44" spans="1:43" outlineLevel="1" x14ac:dyDescent="0.2">
      <c r="A44" s="28" t="s">
        <v>0</v>
      </c>
      <c r="B44" s="43">
        <f>SUMIF(SUPPORTO_punti!K:K,A44,SUPPORTO_punti!L:L)+SUPPORTO_pareggi!I23</f>
        <v>52</v>
      </c>
      <c r="C44" s="44">
        <f t="shared" si="13"/>
        <v>49</v>
      </c>
      <c r="D44" s="44">
        <v>4</v>
      </c>
      <c r="E44" s="43">
        <f t="shared" si="16"/>
        <v>0.77777777777777779</v>
      </c>
      <c r="F44" s="43">
        <f t="shared" si="14"/>
        <v>0.82539682539682535</v>
      </c>
      <c r="G44" s="45">
        <f t="shared" si="15"/>
        <v>2.4761904761904763</v>
      </c>
      <c r="I44" s="1" t="s">
        <v>0</v>
      </c>
      <c r="J44" s="3"/>
      <c r="K44" s="4"/>
      <c r="L44" s="4"/>
      <c r="M44" s="4"/>
      <c r="N44" s="108">
        <v>1</v>
      </c>
      <c r="O44" s="108" t="s">
        <v>92</v>
      </c>
      <c r="P44" s="108" t="s">
        <v>90</v>
      </c>
      <c r="Q44" s="108" t="s">
        <v>108</v>
      </c>
      <c r="R44" s="108" t="s">
        <v>99</v>
      </c>
      <c r="S44" s="134" t="s">
        <v>108</v>
      </c>
      <c r="U44" s="1" t="s">
        <v>0</v>
      </c>
      <c r="V44" s="3"/>
      <c r="W44" s="4"/>
      <c r="X44" s="4"/>
      <c r="Y44" s="4"/>
      <c r="Z44" s="108" t="s">
        <v>90</v>
      </c>
      <c r="AA44" s="108">
        <v>1</v>
      </c>
      <c r="AB44" s="108">
        <v>1</v>
      </c>
      <c r="AC44" s="108" t="s">
        <v>90</v>
      </c>
      <c r="AD44" s="108">
        <v>1</v>
      </c>
      <c r="AE44" s="134" t="s">
        <v>99</v>
      </c>
      <c r="AG44" s="1" t="s">
        <v>0</v>
      </c>
      <c r="AH44" s="3"/>
      <c r="AI44" s="4"/>
      <c r="AJ44" s="4"/>
      <c r="AK44" s="4"/>
      <c r="AL44" s="108" t="s">
        <v>90</v>
      </c>
      <c r="AM44" s="108">
        <v>1</v>
      </c>
      <c r="AN44" s="108">
        <v>1</v>
      </c>
      <c r="AO44" s="108" t="s">
        <v>108</v>
      </c>
      <c r="AP44" s="108">
        <v>1</v>
      </c>
      <c r="AQ44" s="134" t="s">
        <v>117</v>
      </c>
    </row>
    <row r="45" spans="1:43" outlineLevel="1" x14ac:dyDescent="0.2">
      <c r="A45" s="28" t="s">
        <v>4</v>
      </c>
      <c r="B45" s="43">
        <f>SUMIF(SUPPORTO_punti!K:K,A45,SUPPORTO_punti!L:L)+SUPPORTO_pareggi!I29</f>
        <v>35</v>
      </c>
      <c r="C45" s="44">
        <f t="shared" si="13"/>
        <v>38</v>
      </c>
      <c r="D45" s="44">
        <v>5</v>
      </c>
      <c r="E45" s="43">
        <f t="shared" si="16"/>
        <v>0.60317460317460314</v>
      </c>
      <c r="F45" s="43">
        <f t="shared" si="14"/>
        <v>0.55555555555555558</v>
      </c>
      <c r="G45" s="45">
        <f t="shared" si="15"/>
        <v>1.6666666666666667</v>
      </c>
      <c r="I45" s="1" t="s">
        <v>4</v>
      </c>
      <c r="J45" s="3"/>
      <c r="K45" s="4"/>
      <c r="L45" s="4"/>
      <c r="M45" s="4"/>
      <c r="N45" s="4"/>
      <c r="O45" s="108">
        <v>1</v>
      </c>
      <c r="P45" s="108" t="s">
        <v>91</v>
      </c>
      <c r="Q45" s="108" t="s">
        <v>100</v>
      </c>
      <c r="R45" s="108" t="s">
        <v>91</v>
      </c>
      <c r="S45" s="134" t="s">
        <v>91</v>
      </c>
      <c r="U45" s="1" t="s">
        <v>4</v>
      </c>
      <c r="V45" s="3"/>
      <c r="W45" s="4"/>
      <c r="X45" s="4"/>
      <c r="Y45" s="4"/>
      <c r="Z45" s="4"/>
      <c r="AA45" s="108" t="s">
        <v>92</v>
      </c>
      <c r="AB45" s="108" t="s">
        <v>93</v>
      </c>
      <c r="AC45" s="108" t="s">
        <v>100</v>
      </c>
      <c r="AD45" s="108" t="s">
        <v>95</v>
      </c>
      <c r="AE45" s="134" t="s">
        <v>100</v>
      </c>
      <c r="AG45" s="1" t="s">
        <v>4</v>
      </c>
      <c r="AH45" s="3"/>
      <c r="AI45" s="4"/>
      <c r="AJ45" s="4"/>
      <c r="AK45" s="4"/>
      <c r="AL45" s="4"/>
      <c r="AM45" s="108" t="s">
        <v>92</v>
      </c>
      <c r="AN45" s="108" t="s">
        <v>93</v>
      </c>
      <c r="AO45" s="108" t="s">
        <v>100</v>
      </c>
      <c r="AP45" s="108" t="s">
        <v>95</v>
      </c>
      <c r="AQ45" s="134" t="s">
        <v>109</v>
      </c>
    </row>
    <row r="46" spans="1:43" outlineLevel="1" x14ac:dyDescent="0.2">
      <c r="A46" s="28" t="s">
        <v>5</v>
      </c>
      <c r="B46" s="43">
        <f>SUMIF(SUPPORTO_punti!K:K,A46,SUPPORTO_punti!L:L)+SUPPORTO_pareggi!I35</f>
        <v>63</v>
      </c>
      <c r="C46" s="44">
        <f t="shared" si="13"/>
        <v>35</v>
      </c>
      <c r="D46" s="44">
        <v>6</v>
      </c>
      <c r="E46" s="43">
        <f t="shared" si="16"/>
        <v>0.55555555555555558</v>
      </c>
      <c r="F46" s="43">
        <f t="shared" si="14"/>
        <v>1</v>
      </c>
      <c r="G46" s="45">
        <f t="shared" si="15"/>
        <v>3</v>
      </c>
      <c r="I46" s="1" t="s">
        <v>5</v>
      </c>
      <c r="J46" s="3"/>
      <c r="K46" s="4"/>
      <c r="L46" s="4"/>
      <c r="M46" s="4"/>
      <c r="N46" s="4"/>
      <c r="O46" s="4"/>
      <c r="P46" s="108" t="s">
        <v>101</v>
      </c>
      <c r="Q46" s="108" t="s">
        <v>119</v>
      </c>
      <c r="R46" s="108" t="s">
        <v>110</v>
      </c>
      <c r="S46" s="134" t="s">
        <v>101</v>
      </c>
      <c r="U46" s="1" t="s">
        <v>5</v>
      </c>
      <c r="V46" s="3"/>
      <c r="W46" s="4"/>
      <c r="X46" s="4"/>
      <c r="Y46" s="4"/>
      <c r="Z46" s="4"/>
      <c r="AA46" s="4"/>
      <c r="AB46" s="108">
        <v>1</v>
      </c>
      <c r="AC46" s="108" t="s">
        <v>101</v>
      </c>
      <c r="AD46" s="108">
        <v>1</v>
      </c>
      <c r="AE46" s="134" t="s">
        <v>101</v>
      </c>
      <c r="AG46" s="1" t="s">
        <v>5</v>
      </c>
      <c r="AH46" s="3"/>
      <c r="AI46" s="4"/>
      <c r="AJ46" s="4"/>
      <c r="AK46" s="4"/>
      <c r="AL46" s="4"/>
      <c r="AM46" s="4"/>
      <c r="AN46" s="108">
        <v>1</v>
      </c>
      <c r="AO46" s="108" t="s">
        <v>110</v>
      </c>
      <c r="AP46" s="108">
        <v>1</v>
      </c>
      <c r="AQ46" s="134" t="s">
        <v>119</v>
      </c>
    </row>
    <row r="47" spans="1:43" outlineLevel="1" x14ac:dyDescent="0.2">
      <c r="A47" s="28" t="s">
        <v>6</v>
      </c>
      <c r="B47" s="43">
        <f>SUMIF(SUPPORTO_punti!K:K,A47,SUPPORTO_punti!L:L)+SUPPORTO_pareggi!I41</f>
        <v>49</v>
      </c>
      <c r="C47" s="44">
        <f t="shared" si="13"/>
        <v>26</v>
      </c>
      <c r="D47" s="44">
        <v>7</v>
      </c>
      <c r="E47" s="43">
        <f t="shared" si="16"/>
        <v>0.41269841269841268</v>
      </c>
      <c r="F47" s="43">
        <f t="shared" si="14"/>
        <v>0.77777777777777779</v>
      </c>
      <c r="G47" s="45">
        <f t="shared" si="15"/>
        <v>2.3333333333333335</v>
      </c>
      <c r="I47" s="1" t="s">
        <v>6</v>
      </c>
      <c r="J47" s="3"/>
      <c r="K47" s="4"/>
      <c r="L47" s="4"/>
      <c r="M47" s="4"/>
      <c r="N47" s="4"/>
      <c r="O47" s="4"/>
      <c r="P47" s="4"/>
      <c r="Q47" s="108" t="s">
        <v>111</v>
      </c>
      <c r="R47" s="108" t="s">
        <v>102</v>
      </c>
      <c r="S47" s="134" t="s">
        <v>93</v>
      </c>
      <c r="U47" s="1" t="s">
        <v>6</v>
      </c>
      <c r="V47" s="3"/>
      <c r="W47" s="4"/>
      <c r="X47" s="4"/>
      <c r="Y47" s="4"/>
      <c r="Z47" s="4"/>
      <c r="AA47" s="4"/>
      <c r="AB47" s="4"/>
      <c r="AC47" s="108" t="s">
        <v>102</v>
      </c>
      <c r="AD47" s="108">
        <v>1</v>
      </c>
      <c r="AE47" s="134" t="s">
        <v>102</v>
      </c>
      <c r="AG47" s="1" t="s">
        <v>6</v>
      </c>
      <c r="AH47" s="3"/>
      <c r="AI47" s="4"/>
      <c r="AJ47" s="4"/>
      <c r="AK47" s="4"/>
      <c r="AL47" s="4"/>
      <c r="AM47" s="4"/>
      <c r="AN47" s="4"/>
      <c r="AO47" s="108" t="s">
        <v>111</v>
      </c>
      <c r="AP47" s="108">
        <v>1</v>
      </c>
      <c r="AQ47" s="134" t="s">
        <v>120</v>
      </c>
    </row>
    <row r="48" spans="1:43" outlineLevel="1" x14ac:dyDescent="0.2">
      <c r="A48" s="28" t="s">
        <v>7</v>
      </c>
      <c r="B48" s="43">
        <f>SUMIF(SUPPORTO_punti!K:K,A48,SUPPORTO_punti!L:L)+SUPPORTO_pareggi!I47</f>
        <v>5</v>
      </c>
      <c r="C48" s="44">
        <f t="shared" si="13"/>
        <v>20</v>
      </c>
      <c r="D48" s="44">
        <v>8</v>
      </c>
      <c r="E48" s="43">
        <f t="shared" si="16"/>
        <v>0.31746031746031744</v>
      </c>
      <c r="F48" s="43">
        <f t="shared" si="14"/>
        <v>7.9365079365079361E-2</v>
      </c>
      <c r="G48" s="45">
        <f t="shared" si="15"/>
        <v>0.23809523809523808</v>
      </c>
      <c r="I48" s="1" t="s">
        <v>7</v>
      </c>
      <c r="J48" s="3"/>
      <c r="K48" s="4"/>
      <c r="L48" s="4"/>
      <c r="M48" s="4"/>
      <c r="N48" s="4"/>
      <c r="O48" s="4"/>
      <c r="P48" s="4"/>
      <c r="Q48" s="4"/>
      <c r="R48" s="108" t="s">
        <v>95</v>
      </c>
      <c r="S48" s="134" t="s">
        <v>133</v>
      </c>
      <c r="U48" s="1" t="s">
        <v>7</v>
      </c>
      <c r="V48" s="3"/>
      <c r="W48" s="4"/>
      <c r="X48" s="4"/>
      <c r="Y48" s="4"/>
      <c r="Z48" s="4"/>
      <c r="AA48" s="4"/>
      <c r="AB48" s="4"/>
      <c r="AC48" s="4"/>
      <c r="AD48" s="108">
        <v>1</v>
      </c>
      <c r="AE48" s="134" t="s">
        <v>94</v>
      </c>
      <c r="AG48" s="1" t="s">
        <v>7</v>
      </c>
      <c r="AH48" s="3"/>
      <c r="AI48" s="4"/>
      <c r="AJ48" s="4"/>
      <c r="AK48" s="4"/>
      <c r="AL48" s="4"/>
      <c r="AM48" s="4"/>
      <c r="AN48" s="4"/>
      <c r="AO48" s="4"/>
      <c r="AP48" s="108" t="s">
        <v>113</v>
      </c>
      <c r="AQ48" s="134" t="s">
        <v>94</v>
      </c>
    </row>
    <row r="49" spans="1:43" outlineLevel="1" x14ac:dyDescent="0.2">
      <c r="A49" s="28" t="s">
        <v>8</v>
      </c>
      <c r="B49" s="43">
        <f>SUMIF(SUPPORTO_punti!K:K,A49,SUPPORTO_punti!L:L)+SUPPORTO_pareggi!I53</f>
        <v>38</v>
      </c>
      <c r="C49" s="44">
        <f t="shared" si="13"/>
        <v>8</v>
      </c>
      <c r="D49" s="44">
        <v>9</v>
      </c>
      <c r="E49" s="43">
        <f t="shared" si="16"/>
        <v>0.12698412698412698</v>
      </c>
      <c r="F49" s="43">
        <f t="shared" si="14"/>
        <v>0.60317460317460314</v>
      </c>
      <c r="G49" s="45">
        <f t="shared" si="15"/>
        <v>1.8095238095238093</v>
      </c>
      <c r="I49" s="1" t="s">
        <v>8</v>
      </c>
      <c r="J49" s="3"/>
      <c r="K49" s="4"/>
      <c r="L49" s="4"/>
      <c r="M49" s="4"/>
      <c r="N49" s="4"/>
      <c r="O49" s="4"/>
      <c r="P49" s="4"/>
      <c r="Q49" s="4"/>
      <c r="R49" s="4"/>
      <c r="S49" s="134" t="s">
        <v>132</v>
      </c>
      <c r="U49" s="1" t="s">
        <v>8</v>
      </c>
      <c r="V49" s="3"/>
      <c r="W49" s="4"/>
      <c r="X49" s="4"/>
      <c r="Y49" s="4"/>
      <c r="Z49" s="4"/>
      <c r="AA49" s="4"/>
      <c r="AB49" s="4"/>
      <c r="AC49" s="4"/>
      <c r="AD49" s="4"/>
      <c r="AE49" s="134" t="s">
        <v>104</v>
      </c>
      <c r="AG49" s="1" t="s">
        <v>8</v>
      </c>
      <c r="AH49" s="3"/>
      <c r="AI49" s="4"/>
      <c r="AJ49" s="4"/>
      <c r="AK49" s="4"/>
      <c r="AL49" s="4"/>
      <c r="AM49" s="4"/>
      <c r="AN49" s="4"/>
      <c r="AO49" s="4"/>
      <c r="AP49" s="4"/>
      <c r="AQ49" s="134" t="s">
        <v>122</v>
      </c>
    </row>
    <row r="50" spans="1:43" outlineLevel="1" x14ac:dyDescent="0.2">
      <c r="A50" s="29" t="s">
        <v>9</v>
      </c>
      <c r="B50" s="43">
        <f>SUMIF(SUPPORTO_punti!K:K,A50,SUPPORTO_punti!L:L)+SUPPORTO_pareggi!I59</f>
        <v>8</v>
      </c>
      <c r="C50" s="44">
        <f t="shared" si="13"/>
        <v>5</v>
      </c>
      <c r="D50" s="44">
        <v>10</v>
      </c>
      <c r="E50" s="43">
        <f t="shared" si="16"/>
        <v>7.9365079365079361E-2</v>
      </c>
      <c r="F50" s="43">
        <f t="shared" si="14"/>
        <v>0.12698412698412698</v>
      </c>
      <c r="G50" s="45">
        <f t="shared" si="15"/>
        <v>0.38095238095238093</v>
      </c>
      <c r="I50" s="1" t="s">
        <v>9</v>
      </c>
      <c r="J50" s="3"/>
      <c r="K50" s="4"/>
      <c r="L50" s="4"/>
      <c r="M50" s="4"/>
      <c r="N50" s="4"/>
      <c r="O50" s="4"/>
      <c r="P50" s="4"/>
      <c r="Q50" s="4"/>
      <c r="R50" s="4"/>
      <c r="S50" s="4"/>
      <c r="U50" s="1" t="s">
        <v>9</v>
      </c>
      <c r="V50" s="3"/>
      <c r="W50" s="4"/>
      <c r="X50" s="4"/>
      <c r="Y50" s="4"/>
      <c r="Z50" s="4"/>
      <c r="AA50" s="4"/>
      <c r="AB50" s="4"/>
      <c r="AC50" s="4"/>
      <c r="AD50" s="4"/>
      <c r="AE50" s="4"/>
      <c r="AG50" s="1" t="s">
        <v>9</v>
      </c>
      <c r="AH50" s="3"/>
      <c r="AI50" s="4"/>
      <c r="AJ50" s="4"/>
      <c r="AK50" s="4"/>
      <c r="AL50" s="4"/>
      <c r="AM50" s="4"/>
      <c r="AN50" s="4"/>
      <c r="AO50" s="4"/>
      <c r="AP50" s="4"/>
      <c r="AQ50" s="4"/>
    </row>
    <row r="51" spans="1:43" x14ac:dyDescent="0.2">
      <c r="A51" s="24" t="str">
        <f>'MAIN REPORT'!A10</f>
        <v>1. Quality aspect 5</v>
      </c>
      <c r="B51" s="5"/>
      <c r="C51" s="5"/>
      <c r="D51" s="5"/>
      <c r="E51" s="5"/>
      <c r="F51" s="22"/>
      <c r="G51" s="23">
        <f>'MAIN REPORT'!B10</f>
        <v>4</v>
      </c>
      <c r="I51" s="24" t="str">
        <f>A51</f>
        <v>1. Quality aspect 5</v>
      </c>
      <c r="J51" s="5"/>
      <c r="K51" s="5"/>
      <c r="L51" s="5"/>
      <c r="M51" s="5"/>
      <c r="N51" s="5"/>
      <c r="O51" s="5"/>
      <c r="P51" s="5"/>
      <c r="Q51" s="5"/>
      <c r="R51" s="5"/>
      <c r="S51" s="5"/>
      <c r="U51" s="24" t="str">
        <f>A51</f>
        <v>1. Quality aspect 5</v>
      </c>
      <c r="V51" s="5"/>
      <c r="W51" s="5"/>
      <c r="X51" s="5"/>
      <c r="Y51" s="5"/>
      <c r="Z51" s="5"/>
      <c r="AA51" s="5"/>
      <c r="AB51" s="5"/>
      <c r="AC51" s="5"/>
      <c r="AD51" s="5"/>
      <c r="AE51" s="5"/>
      <c r="AG51" s="24" t="str">
        <f>A51</f>
        <v>1. Quality aspect 5</v>
      </c>
      <c r="AH51" s="5"/>
      <c r="AI51" s="5"/>
      <c r="AJ51" s="5"/>
      <c r="AK51" s="5"/>
      <c r="AL51" s="5"/>
      <c r="AM51" s="5"/>
      <c r="AN51" s="5"/>
      <c r="AO51" s="5"/>
      <c r="AP51" s="5"/>
      <c r="AQ51" s="5"/>
    </row>
    <row r="52" spans="1:43" ht="16" outlineLevel="1" thickBot="1" x14ac:dyDescent="0.25">
      <c r="A52" s="40" t="s">
        <v>139</v>
      </c>
      <c r="B52" s="41" t="s">
        <v>138</v>
      </c>
      <c r="C52" s="41"/>
      <c r="D52" s="41"/>
      <c r="E52" s="41"/>
      <c r="F52" s="41" t="s">
        <v>218</v>
      </c>
      <c r="G52" s="42" t="s">
        <v>217</v>
      </c>
      <c r="I52" s="39"/>
      <c r="J52" s="1" t="s">
        <v>1</v>
      </c>
      <c r="K52" s="1" t="s">
        <v>2</v>
      </c>
      <c r="L52" s="1" t="s">
        <v>3</v>
      </c>
      <c r="M52" s="1" t="s">
        <v>0</v>
      </c>
      <c r="N52" s="1" t="s">
        <v>4</v>
      </c>
      <c r="O52" s="1" t="s">
        <v>5</v>
      </c>
      <c r="P52" s="1" t="s">
        <v>6</v>
      </c>
      <c r="Q52" s="1" t="s">
        <v>7</v>
      </c>
      <c r="R52" s="1" t="s">
        <v>8</v>
      </c>
      <c r="S52" s="1" t="s">
        <v>9</v>
      </c>
      <c r="U52" s="39"/>
      <c r="V52" s="1" t="s">
        <v>1</v>
      </c>
      <c r="W52" s="1" t="s">
        <v>2</v>
      </c>
      <c r="X52" s="1" t="s">
        <v>3</v>
      </c>
      <c r="Y52" s="1" t="s">
        <v>0</v>
      </c>
      <c r="Z52" s="1" t="s">
        <v>4</v>
      </c>
      <c r="AA52" s="1" t="s">
        <v>5</v>
      </c>
      <c r="AB52" s="1" t="s">
        <v>6</v>
      </c>
      <c r="AC52" s="1" t="s">
        <v>7</v>
      </c>
      <c r="AD52" s="1" t="s">
        <v>8</v>
      </c>
      <c r="AE52" s="1" t="s">
        <v>9</v>
      </c>
      <c r="AG52" s="39"/>
      <c r="AH52" s="1" t="s">
        <v>1</v>
      </c>
      <c r="AI52" s="1" t="s">
        <v>2</v>
      </c>
      <c r="AJ52" s="1" t="s">
        <v>3</v>
      </c>
      <c r="AK52" s="1" t="s">
        <v>0</v>
      </c>
      <c r="AL52" s="1" t="s">
        <v>4</v>
      </c>
      <c r="AM52" s="1" t="s">
        <v>5</v>
      </c>
      <c r="AN52" s="1" t="s">
        <v>6</v>
      </c>
      <c r="AO52" s="1" t="s">
        <v>7</v>
      </c>
      <c r="AP52" s="1" t="s">
        <v>8</v>
      </c>
      <c r="AQ52" s="1" t="s">
        <v>9</v>
      </c>
    </row>
    <row r="53" spans="1:43" outlineLevel="1" x14ac:dyDescent="0.2">
      <c r="A53" s="28" t="s">
        <v>1</v>
      </c>
      <c r="B53" s="43">
        <f>SUMIF(SUPPORTO_punti!M:M,A53,SUPPORTO_punti!N:N)+SUPPORTO_pareggi!K5</f>
        <v>60</v>
      </c>
      <c r="C53" s="44">
        <f t="shared" ref="C53:C62" si="17">LARGE($B$53:$B$62,D53)</f>
        <v>61</v>
      </c>
      <c r="D53" s="44">
        <v>1</v>
      </c>
      <c r="E53" s="43">
        <f>IF(SUM(B53:B62)=0,0,D53)</f>
        <v>1</v>
      </c>
      <c r="F53" s="43">
        <f t="shared" ref="F53:F62" si="18">VLOOKUP(B53,$C$53:$E$62,3,FALSE)</f>
        <v>0.98360655737704916</v>
      </c>
      <c r="G53" s="45">
        <f>G$51*F53</f>
        <v>3.9344262295081966</v>
      </c>
      <c r="I53" s="1" t="s">
        <v>1</v>
      </c>
      <c r="J53" s="2"/>
      <c r="K53" s="107" t="s">
        <v>87</v>
      </c>
      <c r="L53" s="107" t="s">
        <v>96</v>
      </c>
      <c r="M53" s="107">
        <v>1</v>
      </c>
      <c r="N53" s="107" t="s">
        <v>87</v>
      </c>
      <c r="O53" s="107" t="s">
        <v>87</v>
      </c>
      <c r="P53" s="107" t="s">
        <v>96</v>
      </c>
      <c r="Q53" s="107" t="s">
        <v>87</v>
      </c>
      <c r="R53" s="107" t="s">
        <v>87</v>
      </c>
      <c r="S53" s="133" t="s">
        <v>96</v>
      </c>
      <c r="U53" s="1" t="s">
        <v>1</v>
      </c>
      <c r="V53" s="2"/>
      <c r="W53" s="107">
        <v>1</v>
      </c>
      <c r="X53" s="107" t="s">
        <v>96</v>
      </c>
      <c r="Y53" s="107">
        <v>1</v>
      </c>
      <c r="Z53" s="107" t="s">
        <v>87</v>
      </c>
      <c r="AA53" s="107">
        <v>1</v>
      </c>
      <c r="AB53" s="107" t="s">
        <v>87</v>
      </c>
      <c r="AC53" s="107">
        <v>1</v>
      </c>
      <c r="AD53" s="107" t="s">
        <v>87</v>
      </c>
      <c r="AE53" s="133" t="s">
        <v>87</v>
      </c>
      <c r="AG53" s="1" t="s">
        <v>1</v>
      </c>
      <c r="AH53" s="2"/>
      <c r="AI53" s="107" t="s">
        <v>105</v>
      </c>
      <c r="AJ53" s="107" t="s">
        <v>123</v>
      </c>
      <c r="AK53" s="107">
        <v>1</v>
      </c>
      <c r="AL53" s="107" t="s">
        <v>87</v>
      </c>
      <c r="AM53" s="107">
        <v>1</v>
      </c>
      <c r="AN53" s="107" t="s">
        <v>96</v>
      </c>
      <c r="AO53" s="107" t="s">
        <v>87</v>
      </c>
      <c r="AP53" s="107" t="s">
        <v>96</v>
      </c>
      <c r="AQ53" s="133" t="s">
        <v>96</v>
      </c>
    </row>
    <row r="54" spans="1:43" outlineLevel="1" x14ac:dyDescent="0.2">
      <c r="A54" s="28" t="s">
        <v>2</v>
      </c>
      <c r="B54" s="43">
        <f>SUMIF(SUPPORTO_punti!M:M,A54,SUPPORTO_punti!N:N)+SUPPORTO_pareggi!K11</f>
        <v>27</v>
      </c>
      <c r="C54" s="44">
        <f t="shared" si="17"/>
        <v>60</v>
      </c>
      <c r="D54" s="44">
        <v>2</v>
      </c>
      <c r="E54" s="43">
        <f>(C54/$C$53)*$E$53</f>
        <v>0.98360655737704916</v>
      </c>
      <c r="F54" s="43">
        <f t="shared" si="18"/>
        <v>0.44262295081967212</v>
      </c>
      <c r="G54" s="45">
        <f t="shared" ref="G54:G62" si="19">G$51*F54</f>
        <v>1.7704918032786885</v>
      </c>
      <c r="I54" s="1" t="s">
        <v>2</v>
      </c>
      <c r="J54" s="3"/>
      <c r="K54" s="4"/>
      <c r="L54" s="108" t="s">
        <v>97</v>
      </c>
      <c r="M54" s="108" t="s">
        <v>90</v>
      </c>
      <c r="N54" s="108">
        <v>1</v>
      </c>
      <c r="O54" s="108" t="s">
        <v>88</v>
      </c>
      <c r="P54" s="108" t="s">
        <v>88</v>
      </c>
      <c r="Q54" s="108">
        <v>1</v>
      </c>
      <c r="R54" s="108">
        <v>1</v>
      </c>
      <c r="S54" s="134" t="s">
        <v>88</v>
      </c>
      <c r="U54" s="1" t="s">
        <v>2</v>
      </c>
      <c r="V54" s="3"/>
      <c r="W54" s="4"/>
      <c r="X54" s="108" t="s">
        <v>97</v>
      </c>
      <c r="Y54" s="108" t="s">
        <v>88</v>
      </c>
      <c r="Z54" s="108" t="s">
        <v>91</v>
      </c>
      <c r="AA54" s="108" t="s">
        <v>92</v>
      </c>
      <c r="AB54" s="108">
        <v>1</v>
      </c>
      <c r="AC54" s="108" t="s">
        <v>94</v>
      </c>
      <c r="AD54" s="108">
        <v>1</v>
      </c>
      <c r="AE54" s="134">
        <v>1</v>
      </c>
      <c r="AG54" s="1" t="s">
        <v>2</v>
      </c>
      <c r="AH54" s="3"/>
      <c r="AI54" s="4"/>
      <c r="AJ54" s="108" t="s">
        <v>106</v>
      </c>
      <c r="AK54" s="108" t="s">
        <v>99</v>
      </c>
      <c r="AL54" s="108" t="s">
        <v>100</v>
      </c>
      <c r="AM54" s="108" t="s">
        <v>119</v>
      </c>
      <c r="AN54" s="108">
        <v>1</v>
      </c>
      <c r="AO54" s="108" t="s">
        <v>94</v>
      </c>
      <c r="AP54" s="108">
        <v>1</v>
      </c>
      <c r="AQ54" s="134" t="s">
        <v>132</v>
      </c>
    </row>
    <row r="55" spans="1:43" outlineLevel="1" x14ac:dyDescent="0.2">
      <c r="A55" s="28" t="s">
        <v>3</v>
      </c>
      <c r="B55" s="43">
        <f>SUMIF(SUPPORTO_punti!M:M,A55,SUPPORTO_punti!N:N)+SUPPORTO_pareggi!K17</f>
        <v>0</v>
      </c>
      <c r="C55" s="44">
        <f t="shared" si="17"/>
        <v>53</v>
      </c>
      <c r="D55" s="44">
        <v>3</v>
      </c>
      <c r="E55" s="43">
        <f t="shared" ref="E55:E62" si="20">(C55/$C$53)*$E$53</f>
        <v>0.86885245901639341</v>
      </c>
      <c r="F55" s="43">
        <f t="shared" si="18"/>
        <v>0</v>
      </c>
      <c r="G55" s="45">
        <f t="shared" si="19"/>
        <v>0</v>
      </c>
      <c r="I55" s="1" t="s">
        <v>3</v>
      </c>
      <c r="J55" s="3"/>
      <c r="K55" s="4"/>
      <c r="L55" s="4"/>
      <c r="M55" s="108" t="s">
        <v>117</v>
      </c>
      <c r="N55" s="108" t="s">
        <v>100</v>
      </c>
      <c r="O55" s="108" t="s">
        <v>101</v>
      </c>
      <c r="P55" s="108" t="s">
        <v>93</v>
      </c>
      <c r="Q55" s="108" t="s">
        <v>103</v>
      </c>
      <c r="R55" s="108" t="s">
        <v>104</v>
      </c>
      <c r="S55" s="134" t="s">
        <v>132</v>
      </c>
      <c r="U55" s="1" t="s">
        <v>3</v>
      </c>
      <c r="V55" s="3"/>
      <c r="W55" s="4"/>
      <c r="X55" s="4"/>
      <c r="Y55" s="108" t="s">
        <v>99</v>
      </c>
      <c r="Z55" s="108" t="s">
        <v>100</v>
      </c>
      <c r="AA55" s="108" t="s">
        <v>101</v>
      </c>
      <c r="AB55" s="108" t="s">
        <v>93</v>
      </c>
      <c r="AC55" s="108" t="s">
        <v>103</v>
      </c>
      <c r="AD55" s="108" t="s">
        <v>104</v>
      </c>
      <c r="AE55" s="134" t="s">
        <v>133</v>
      </c>
      <c r="AG55" s="1" t="s">
        <v>3</v>
      </c>
      <c r="AH55" s="3"/>
      <c r="AI55" s="4"/>
      <c r="AJ55" s="4"/>
      <c r="AK55" s="108" t="s">
        <v>126</v>
      </c>
      <c r="AL55" s="108" t="s">
        <v>118</v>
      </c>
      <c r="AM55" s="108" t="s">
        <v>128</v>
      </c>
      <c r="AN55" s="108" t="s">
        <v>111</v>
      </c>
      <c r="AO55" s="108" t="s">
        <v>112</v>
      </c>
      <c r="AP55" s="108" t="s">
        <v>113</v>
      </c>
      <c r="AQ55" s="134" t="s">
        <v>134</v>
      </c>
    </row>
    <row r="56" spans="1:43" outlineLevel="1" x14ac:dyDescent="0.2">
      <c r="A56" s="28" t="s">
        <v>0</v>
      </c>
      <c r="B56" s="43">
        <f>SUMIF(SUPPORTO_punti!M:M,A56,SUPPORTO_punti!N:N)+SUPPORTO_pareggi!K23</f>
        <v>61</v>
      </c>
      <c r="C56" s="44">
        <f t="shared" si="17"/>
        <v>50</v>
      </c>
      <c r="D56" s="44">
        <v>4</v>
      </c>
      <c r="E56" s="43">
        <f t="shared" si="20"/>
        <v>0.81967213114754101</v>
      </c>
      <c r="F56" s="43">
        <f t="shared" si="18"/>
        <v>1</v>
      </c>
      <c r="G56" s="45">
        <f t="shared" si="19"/>
        <v>4</v>
      </c>
      <c r="I56" s="1" t="s">
        <v>0</v>
      </c>
      <c r="J56" s="3"/>
      <c r="K56" s="4"/>
      <c r="L56" s="4"/>
      <c r="M56" s="4"/>
      <c r="N56" s="108" t="s">
        <v>90</v>
      </c>
      <c r="O56" s="108" t="s">
        <v>90</v>
      </c>
      <c r="P56" s="108" t="s">
        <v>99</v>
      </c>
      <c r="Q56" s="108" t="s">
        <v>90</v>
      </c>
      <c r="R56" s="108" t="s">
        <v>108</v>
      </c>
      <c r="S56" s="134" t="s">
        <v>99</v>
      </c>
      <c r="U56" s="1" t="s">
        <v>0</v>
      </c>
      <c r="V56" s="3"/>
      <c r="W56" s="4"/>
      <c r="X56" s="4"/>
      <c r="Y56" s="4"/>
      <c r="Z56" s="108" t="s">
        <v>100</v>
      </c>
      <c r="AA56" s="108" t="s">
        <v>101</v>
      </c>
      <c r="AB56" s="108" t="s">
        <v>102</v>
      </c>
      <c r="AC56" s="108" t="s">
        <v>99</v>
      </c>
      <c r="AD56" s="108" t="s">
        <v>99</v>
      </c>
      <c r="AE56" s="134" t="s">
        <v>90</v>
      </c>
      <c r="AG56" s="1" t="s">
        <v>0</v>
      </c>
      <c r="AH56" s="3"/>
      <c r="AI56" s="4"/>
      <c r="AJ56" s="4"/>
      <c r="AK56" s="4"/>
      <c r="AL56" s="108" t="s">
        <v>90</v>
      </c>
      <c r="AM56" s="108">
        <v>1</v>
      </c>
      <c r="AN56" s="108" t="s">
        <v>99</v>
      </c>
      <c r="AO56" s="108" t="s">
        <v>90</v>
      </c>
      <c r="AP56" s="108" t="s">
        <v>108</v>
      </c>
      <c r="AQ56" s="134" t="s">
        <v>99</v>
      </c>
    </row>
    <row r="57" spans="1:43" outlineLevel="1" x14ac:dyDescent="0.2">
      <c r="A57" s="28" t="s">
        <v>4</v>
      </c>
      <c r="B57" s="43">
        <f>SUMIF(SUPPORTO_punti!M:M,A57,SUPPORTO_punti!N:N)+SUPPORTO_pareggi!K29</f>
        <v>50</v>
      </c>
      <c r="C57" s="44">
        <f t="shared" si="17"/>
        <v>32</v>
      </c>
      <c r="D57" s="44">
        <v>5</v>
      </c>
      <c r="E57" s="43">
        <f t="shared" si="20"/>
        <v>0.52459016393442626</v>
      </c>
      <c r="F57" s="43">
        <f t="shared" si="18"/>
        <v>0.81967213114754101</v>
      </c>
      <c r="G57" s="45">
        <f t="shared" si="19"/>
        <v>3.278688524590164</v>
      </c>
      <c r="I57" s="1" t="s">
        <v>4</v>
      </c>
      <c r="J57" s="3"/>
      <c r="K57" s="4"/>
      <c r="L57" s="4"/>
      <c r="M57" s="4"/>
      <c r="N57" s="4"/>
      <c r="O57" s="108" t="s">
        <v>91</v>
      </c>
      <c r="P57" s="108" t="s">
        <v>100</v>
      </c>
      <c r="Q57" s="108" t="s">
        <v>91</v>
      </c>
      <c r="R57" s="108">
        <v>1</v>
      </c>
      <c r="S57" s="134" t="s">
        <v>100</v>
      </c>
      <c r="U57" s="1" t="s">
        <v>4</v>
      </c>
      <c r="V57" s="3"/>
      <c r="W57" s="4"/>
      <c r="X57" s="4"/>
      <c r="Y57" s="4"/>
      <c r="Z57" s="4"/>
      <c r="AA57" s="108">
        <v>1</v>
      </c>
      <c r="AB57" s="108" t="s">
        <v>100</v>
      </c>
      <c r="AC57" s="108" t="s">
        <v>91</v>
      </c>
      <c r="AD57" s="108" t="s">
        <v>91</v>
      </c>
      <c r="AE57" s="134" t="s">
        <v>91</v>
      </c>
      <c r="AG57" s="1" t="s">
        <v>4</v>
      </c>
      <c r="AH57" s="3"/>
      <c r="AI57" s="4"/>
      <c r="AJ57" s="4"/>
      <c r="AK57" s="4"/>
      <c r="AL57" s="4"/>
      <c r="AM57" s="108" t="s">
        <v>92</v>
      </c>
      <c r="AN57" s="108" t="s">
        <v>100</v>
      </c>
      <c r="AO57" s="108" t="s">
        <v>91</v>
      </c>
      <c r="AP57" s="108" t="s">
        <v>91</v>
      </c>
      <c r="AQ57" s="134" t="s">
        <v>91</v>
      </c>
    </row>
    <row r="58" spans="1:43" outlineLevel="1" x14ac:dyDescent="0.2">
      <c r="A58" s="28" t="s">
        <v>5</v>
      </c>
      <c r="B58" s="43">
        <f>SUMIF(SUPPORTO_punti!M:M,A58,SUPPORTO_punti!N:N)+SUPPORTO_pareggi!K35</f>
        <v>53</v>
      </c>
      <c r="C58" s="44">
        <f t="shared" si="17"/>
        <v>27</v>
      </c>
      <c r="D58" s="44">
        <v>6</v>
      </c>
      <c r="E58" s="43">
        <f>(C58/$C$53)*$E$53</f>
        <v>0.44262295081967212</v>
      </c>
      <c r="F58" s="43">
        <f t="shared" si="18"/>
        <v>0.86885245901639341</v>
      </c>
      <c r="G58" s="45">
        <f t="shared" si="19"/>
        <v>3.4754098360655736</v>
      </c>
      <c r="I58" s="1" t="s">
        <v>5</v>
      </c>
      <c r="J58" s="3"/>
      <c r="K58" s="4"/>
      <c r="L58" s="4"/>
      <c r="M58" s="4"/>
      <c r="N58" s="4"/>
      <c r="O58" s="4"/>
      <c r="P58" s="108" t="s">
        <v>92</v>
      </c>
      <c r="Q58" s="108">
        <v>1</v>
      </c>
      <c r="R58" s="108" t="s">
        <v>95</v>
      </c>
      <c r="S58" s="134" t="s">
        <v>92</v>
      </c>
      <c r="U58" s="1" t="s">
        <v>5</v>
      </c>
      <c r="V58" s="3"/>
      <c r="W58" s="4"/>
      <c r="X58" s="4"/>
      <c r="Y58" s="4"/>
      <c r="Z58" s="4"/>
      <c r="AA58" s="4"/>
      <c r="AB58" s="108" t="s">
        <v>101</v>
      </c>
      <c r="AC58" s="108" t="s">
        <v>92</v>
      </c>
      <c r="AD58" s="108" t="s">
        <v>101</v>
      </c>
      <c r="AE58" s="134" t="s">
        <v>92</v>
      </c>
      <c r="AG58" s="1" t="s">
        <v>5</v>
      </c>
      <c r="AH58" s="3"/>
      <c r="AI58" s="4"/>
      <c r="AJ58" s="4"/>
      <c r="AK58" s="4"/>
      <c r="AL58" s="4"/>
      <c r="AM58" s="4"/>
      <c r="AN58" s="108" t="s">
        <v>101</v>
      </c>
      <c r="AO58" s="108" t="s">
        <v>92</v>
      </c>
      <c r="AP58" s="108" t="s">
        <v>101</v>
      </c>
      <c r="AQ58" s="134" t="s">
        <v>92</v>
      </c>
    </row>
    <row r="59" spans="1:43" outlineLevel="1" x14ac:dyDescent="0.2">
      <c r="A59" s="28" t="s">
        <v>6</v>
      </c>
      <c r="B59" s="43">
        <f>SUMIF(SUPPORTO_punti!M:M,A59,SUPPORTO_punti!N:N)+SUPPORTO_pareggi!K41</f>
        <v>15</v>
      </c>
      <c r="C59" s="44">
        <f t="shared" si="17"/>
        <v>25</v>
      </c>
      <c r="D59" s="44">
        <v>7</v>
      </c>
      <c r="E59" s="43">
        <f t="shared" si="20"/>
        <v>0.4098360655737705</v>
      </c>
      <c r="F59" s="43">
        <f t="shared" si="18"/>
        <v>0.24590163934426229</v>
      </c>
      <c r="G59" s="45">
        <f t="shared" si="19"/>
        <v>0.98360655737704916</v>
      </c>
      <c r="I59" s="1" t="s">
        <v>6</v>
      </c>
      <c r="J59" s="3"/>
      <c r="K59" s="4"/>
      <c r="L59" s="4"/>
      <c r="M59" s="4"/>
      <c r="N59" s="4"/>
      <c r="O59" s="4"/>
      <c r="P59" s="4"/>
      <c r="Q59" s="108" t="s">
        <v>94</v>
      </c>
      <c r="R59" s="108" t="s">
        <v>95</v>
      </c>
      <c r="S59" s="134">
        <v>1</v>
      </c>
      <c r="U59" s="1" t="s">
        <v>6</v>
      </c>
      <c r="V59" s="3"/>
      <c r="W59" s="4"/>
      <c r="X59" s="4"/>
      <c r="Y59" s="4"/>
      <c r="Z59" s="4"/>
      <c r="AA59" s="4"/>
      <c r="AB59" s="4"/>
      <c r="AC59" s="108" t="s">
        <v>103</v>
      </c>
      <c r="AD59" s="108" t="s">
        <v>95</v>
      </c>
      <c r="AE59" s="134" t="s">
        <v>132</v>
      </c>
      <c r="AG59" s="1" t="s">
        <v>6</v>
      </c>
      <c r="AH59" s="3"/>
      <c r="AI59" s="4"/>
      <c r="AJ59" s="4"/>
      <c r="AK59" s="4"/>
      <c r="AL59" s="4"/>
      <c r="AM59" s="4"/>
      <c r="AN59" s="4"/>
      <c r="AO59" s="108" t="s">
        <v>94</v>
      </c>
      <c r="AP59" s="108">
        <v>1</v>
      </c>
      <c r="AQ59" s="134" t="s">
        <v>132</v>
      </c>
    </row>
    <row r="60" spans="1:43" outlineLevel="1" x14ac:dyDescent="0.2">
      <c r="A60" s="28" t="s">
        <v>7</v>
      </c>
      <c r="B60" s="43">
        <f>SUMIF(SUPPORTO_punti!M:M,A60,SUPPORTO_punti!N:N)+SUPPORTO_pareggi!K47</f>
        <v>32</v>
      </c>
      <c r="C60" s="44">
        <f t="shared" si="17"/>
        <v>23</v>
      </c>
      <c r="D60" s="44">
        <v>8</v>
      </c>
      <c r="E60" s="43">
        <f t="shared" si="20"/>
        <v>0.37704918032786883</v>
      </c>
      <c r="F60" s="43">
        <f t="shared" si="18"/>
        <v>0.52459016393442626</v>
      </c>
      <c r="G60" s="45">
        <f t="shared" si="19"/>
        <v>2.098360655737705</v>
      </c>
      <c r="I60" s="1" t="s">
        <v>7</v>
      </c>
      <c r="J60" s="3"/>
      <c r="K60" s="4"/>
      <c r="L60" s="4"/>
      <c r="M60" s="4"/>
      <c r="N60" s="4"/>
      <c r="O60" s="4"/>
      <c r="P60" s="4"/>
      <c r="Q60" s="4"/>
      <c r="R60" s="108" t="s">
        <v>95</v>
      </c>
      <c r="S60" s="134" t="s">
        <v>94</v>
      </c>
      <c r="U60" s="1" t="s">
        <v>7</v>
      </c>
      <c r="V60" s="3"/>
      <c r="W60" s="4"/>
      <c r="X60" s="4"/>
      <c r="Y60" s="4"/>
      <c r="Z60" s="4"/>
      <c r="AA60" s="4"/>
      <c r="AB60" s="4"/>
      <c r="AC60" s="4"/>
      <c r="AD60" s="108" t="s">
        <v>94</v>
      </c>
      <c r="AE60" s="134" t="s">
        <v>132</v>
      </c>
      <c r="AG60" s="1" t="s">
        <v>7</v>
      </c>
      <c r="AH60" s="3"/>
      <c r="AI60" s="4"/>
      <c r="AJ60" s="4"/>
      <c r="AK60" s="4"/>
      <c r="AL60" s="4"/>
      <c r="AM60" s="4"/>
      <c r="AN60" s="4"/>
      <c r="AO60" s="4"/>
      <c r="AP60" s="108" t="s">
        <v>94</v>
      </c>
      <c r="AQ60" s="134" t="s">
        <v>94</v>
      </c>
    </row>
    <row r="61" spans="1:43" outlineLevel="1" x14ac:dyDescent="0.2">
      <c r="A61" s="28" t="s">
        <v>8</v>
      </c>
      <c r="B61" s="43">
        <f>SUMIF(SUPPORTO_punti!M:M,A61,SUPPORTO_punti!N:N)+SUPPORTO_pareggi!K53</f>
        <v>25</v>
      </c>
      <c r="C61" s="44">
        <f t="shared" si="17"/>
        <v>15</v>
      </c>
      <c r="D61" s="44">
        <v>9</v>
      </c>
      <c r="E61" s="43">
        <f t="shared" si="20"/>
        <v>0.24590163934426229</v>
      </c>
      <c r="F61" s="43">
        <f t="shared" si="18"/>
        <v>0.4098360655737705</v>
      </c>
      <c r="G61" s="45">
        <f t="shared" si="19"/>
        <v>1.639344262295082</v>
      </c>
      <c r="I61" s="1" t="s">
        <v>8</v>
      </c>
      <c r="J61" s="3"/>
      <c r="K61" s="4"/>
      <c r="L61" s="4"/>
      <c r="M61" s="4"/>
      <c r="N61" s="4"/>
      <c r="O61" s="4"/>
      <c r="P61" s="4"/>
      <c r="Q61" s="4"/>
      <c r="R61" s="4"/>
      <c r="S61" s="134" t="s">
        <v>95</v>
      </c>
      <c r="U61" s="1" t="s">
        <v>8</v>
      </c>
      <c r="V61" s="3"/>
      <c r="W61" s="4"/>
      <c r="X61" s="4"/>
      <c r="Y61" s="4"/>
      <c r="Z61" s="4"/>
      <c r="AA61" s="4"/>
      <c r="AB61" s="4"/>
      <c r="AC61" s="4"/>
      <c r="AD61" s="4"/>
      <c r="AE61" s="134" t="s">
        <v>132</v>
      </c>
      <c r="AG61" s="1" t="s">
        <v>8</v>
      </c>
      <c r="AH61" s="3"/>
      <c r="AI61" s="4"/>
      <c r="AJ61" s="4"/>
      <c r="AK61" s="4"/>
      <c r="AL61" s="4"/>
      <c r="AM61" s="4"/>
      <c r="AN61" s="4"/>
      <c r="AO61" s="4"/>
      <c r="AP61" s="4"/>
      <c r="AQ61" s="134" t="s">
        <v>132</v>
      </c>
    </row>
    <row r="62" spans="1:43" outlineLevel="1" x14ac:dyDescent="0.2">
      <c r="A62" s="29" t="s">
        <v>9</v>
      </c>
      <c r="B62" s="43">
        <f>SUMIF(SUPPORTO_punti!M:M,A62,SUPPORTO_punti!N:N)+SUPPORTO_pareggi!K59</f>
        <v>23</v>
      </c>
      <c r="C62" s="44">
        <f t="shared" si="17"/>
        <v>0</v>
      </c>
      <c r="D62" s="44">
        <v>10</v>
      </c>
      <c r="E62" s="43">
        <f t="shared" si="20"/>
        <v>0</v>
      </c>
      <c r="F62" s="43">
        <f t="shared" si="18"/>
        <v>0.37704918032786883</v>
      </c>
      <c r="G62" s="45">
        <f t="shared" si="19"/>
        <v>1.5081967213114753</v>
      </c>
      <c r="I62" s="1" t="s">
        <v>9</v>
      </c>
      <c r="J62" s="3"/>
      <c r="K62" s="4"/>
      <c r="L62" s="4"/>
      <c r="M62" s="4"/>
      <c r="N62" s="4"/>
      <c r="O62" s="4"/>
      <c r="P62" s="4"/>
      <c r="Q62" s="4"/>
      <c r="R62" s="4"/>
      <c r="S62" s="4"/>
      <c r="U62" s="1" t="s">
        <v>9</v>
      </c>
      <c r="V62" s="3"/>
      <c r="W62" s="4"/>
      <c r="X62" s="4"/>
      <c r="Y62" s="4"/>
      <c r="Z62" s="4"/>
      <c r="AA62" s="4"/>
      <c r="AB62" s="4"/>
      <c r="AC62" s="4"/>
      <c r="AD62" s="4"/>
      <c r="AE62" s="4"/>
      <c r="AG62" s="1" t="s">
        <v>9</v>
      </c>
      <c r="AH62" s="3"/>
      <c r="AI62" s="4"/>
      <c r="AJ62" s="4"/>
      <c r="AK62" s="4"/>
      <c r="AL62" s="4"/>
      <c r="AM62" s="4"/>
      <c r="AN62" s="4"/>
      <c r="AO62" s="4"/>
      <c r="AP62" s="4"/>
      <c r="AQ62" s="4"/>
    </row>
    <row r="63" spans="1:43" x14ac:dyDescent="0.2">
      <c r="A63" s="24" t="str">
        <f>'MAIN REPORT'!A11</f>
        <v>1. Quality aspect 6</v>
      </c>
      <c r="B63" s="5"/>
      <c r="C63" s="5"/>
      <c r="D63" s="5"/>
      <c r="E63" s="5"/>
      <c r="F63" s="22"/>
      <c r="G63" s="23">
        <f>'MAIN REPORT'!B11</f>
        <v>4</v>
      </c>
      <c r="I63" s="24" t="str">
        <f>A63</f>
        <v>1. Quality aspect 6</v>
      </c>
      <c r="J63" s="5"/>
      <c r="K63" s="5"/>
      <c r="L63" s="5"/>
      <c r="M63" s="5"/>
      <c r="N63" s="5"/>
      <c r="O63" s="5"/>
      <c r="P63" s="5"/>
      <c r="Q63" s="5"/>
      <c r="R63" s="5"/>
      <c r="S63" s="5"/>
      <c r="U63" s="24" t="str">
        <f>A63</f>
        <v>1. Quality aspect 6</v>
      </c>
      <c r="V63" s="5"/>
      <c r="W63" s="5"/>
      <c r="X63" s="5"/>
      <c r="Y63" s="5"/>
      <c r="Z63" s="5"/>
      <c r="AA63" s="5"/>
      <c r="AB63" s="5"/>
      <c r="AC63" s="5"/>
      <c r="AD63" s="5"/>
      <c r="AE63" s="5"/>
      <c r="AG63" s="24" t="str">
        <f>A63</f>
        <v>1. Quality aspect 6</v>
      </c>
      <c r="AH63" s="5"/>
      <c r="AI63" s="5"/>
      <c r="AJ63" s="5"/>
      <c r="AK63" s="5"/>
      <c r="AL63" s="5"/>
      <c r="AM63" s="5"/>
      <c r="AN63" s="5"/>
      <c r="AO63" s="5"/>
      <c r="AP63" s="5"/>
      <c r="AQ63" s="5"/>
    </row>
    <row r="64" spans="1:43" ht="16" outlineLevel="1" thickBot="1" x14ac:dyDescent="0.25">
      <c r="A64" s="40" t="s">
        <v>139</v>
      </c>
      <c r="B64" s="41" t="s">
        <v>138</v>
      </c>
      <c r="C64" s="41"/>
      <c r="D64" s="41"/>
      <c r="E64" s="41"/>
      <c r="F64" s="41" t="s">
        <v>218</v>
      </c>
      <c r="G64" s="42" t="s">
        <v>217</v>
      </c>
      <c r="I64" s="39"/>
      <c r="J64" s="1" t="s">
        <v>1</v>
      </c>
      <c r="K64" s="1" t="s">
        <v>2</v>
      </c>
      <c r="L64" s="1" t="s">
        <v>3</v>
      </c>
      <c r="M64" s="1" t="s">
        <v>0</v>
      </c>
      <c r="N64" s="1" t="s">
        <v>4</v>
      </c>
      <c r="O64" s="1" t="s">
        <v>5</v>
      </c>
      <c r="P64" s="1" t="s">
        <v>6</v>
      </c>
      <c r="Q64" s="1" t="s">
        <v>7</v>
      </c>
      <c r="R64" s="1" t="s">
        <v>8</v>
      </c>
      <c r="S64" s="1" t="s">
        <v>9</v>
      </c>
      <c r="U64" s="39"/>
      <c r="V64" s="1" t="s">
        <v>1</v>
      </c>
      <c r="W64" s="1" t="s">
        <v>2</v>
      </c>
      <c r="X64" s="1" t="s">
        <v>3</v>
      </c>
      <c r="Y64" s="1" t="s">
        <v>0</v>
      </c>
      <c r="Z64" s="1" t="s">
        <v>4</v>
      </c>
      <c r="AA64" s="1" t="s">
        <v>5</v>
      </c>
      <c r="AB64" s="1" t="s">
        <v>6</v>
      </c>
      <c r="AC64" s="1" t="s">
        <v>7</v>
      </c>
      <c r="AD64" s="1" t="s">
        <v>8</v>
      </c>
      <c r="AE64" s="1" t="s">
        <v>9</v>
      </c>
      <c r="AG64" s="39"/>
      <c r="AH64" s="1" t="s">
        <v>1</v>
      </c>
      <c r="AI64" s="1" t="s">
        <v>2</v>
      </c>
      <c r="AJ64" s="1" t="s">
        <v>3</v>
      </c>
      <c r="AK64" s="1" t="s">
        <v>0</v>
      </c>
      <c r="AL64" s="1" t="s">
        <v>4</v>
      </c>
      <c r="AM64" s="1" t="s">
        <v>5</v>
      </c>
      <c r="AN64" s="1" t="s">
        <v>6</v>
      </c>
      <c r="AO64" s="1" t="s">
        <v>7</v>
      </c>
      <c r="AP64" s="1" t="s">
        <v>8</v>
      </c>
      <c r="AQ64" s="1" t="s">
        <v>9</v>
      </c>
    </row>
    <row r="65" spans="1:43" outlineLevel="1" x14ac:dyDescent="0.2">
      <c r="A65" s="28" t="s">
        <v>1</v>
      </c>
      <c r="B65" s="43">
        <f>SUMIF(SUPPORTO_punti!O:O,A65,SUPPORTO_punti!P:P)+SUPPORTO_pareggi!M5</f>
        <v>61</v>
      </c>
      <c r="C65" s="44">
        <f t="shared" ref="C65:C74" si="21">LARGE($B$65:$B$74,D65)</f>
        <v>61</v>
      </c>
      <c r="D65" s="44">
        <v>1</v>
      </c>
      <c r="E65" s="43">
        <f>IF(SUM(B65:B74)=0,0,D65)</f>
        <v>1</v>
      </c>
      <c r="F65" s="43">
        <f t="shared" ref="F65:F74" si="22">VLOOKUP(B65,$C$65:$E$74,3,FALSE)</f>
        <v>1</v>
      </c>
      <c r="G65" s="45">
        <f>G$63*F65</f>
        <v>4</v>
      </c>
      <c r="I65" s="1" t="s">
        <v>1</v>
      </c>
      <c r="J65" s="2"/>
      <c r="K65" s="107">
        <v>1</v>
      </c>
      <c r="L65" s="107" t="s">
        <v>96</v>
      </c>
      <c r="M65" s="107">
        <v>1</v>
      </c>
      <c r="N65" s="107" t="s">
        <v>87</v>
      </c>
      <c r="O65" s="107" t="s">
        <v>87</v>
      </c>
      <c r="P65" s="107" t="s">
        <v>96</v>
      </c>
      <c r="Q65" s="107" t="s">
        <v>94</v>
      </c>
      <c r="R65" s="107" t="s">
        <v>87</v>
      </c>
      <c r="S65" s="133">
        <v>1</v>
      </c>
      <c r="U65" s="1" t="s">
        <v>1</v>
      </c>
      <c r="V65" s="2"/>
      <c r="W65" s="107">
        <v>1</v>
      </c>
      <c r="X65" s="107" t="s">
        <v>105</v>
      </c>
      <c r="Y65" s="107" t="s">
        <v>87</v>
      </c>
      <c r="Z65" s="107">
        <v>1</v>
      </c>
      <c r="AA65" s="107">
        <v>1</v>
      </c>
      <c r="AB65" s="107" t="s">
        <v>96</v>
      </c>
      <c r="AC65" s="107" t="s">
        <v>87</v>
      </c>
      <c r="AD65" s="107" t="s">
        <v>87</v>
      </c>
      <c r="AE65" s="133" t="s">
        <v>96</v>
      </c>
      <c r="AG65" s="1" t="s">
        <v>1</v>
      </c>
      <c r="AH65" s="2"/>
      <c r="AI65" s="107" t="s">
        <v>96</v>
      </c>
      <c r="AJ65" s="107" t="s">
        <v>123</v>
      </c>
      <c r="AK65" s="107" t="s">
        <v>87</v>
      </c>
      <c r="AL65" s="107">
        <v>1</v>
      </c>
      <c r="AM65" s="107">
        <v>1</v>
      </c>
      <c r="AN65" s="107" t="s">
        <v>114</v>
      </c>
      <c r="AO65" s="107" t="s">
        <v>96</v>
      </c>
      <c r="AP65" s="107" t="s">
        <v>96</v>
      </c>
      <c r="AQ65" s="133" t="s">
        <v>96</v>
      </c>
    </row>
    <row r="66" spans="1:43" outlineLevel="1" x14ac:dyDescent="0.2">
      <c r="A66" s="28" t="s">
        <v>2</v>
      </c>
      <c r="B66" s="43">
        <f>SUMIF(SUPPORTO_punti!O:O,A66,SUPPORTO_punti!P:P)+SUPPORTO_pareggi!M11</f>
        <v>35</v>
      </c>
      <c r="C66" s="44">
        <f t="shared" si="21"/>
        <v>52</v>
      </c>
      <c r="D66" s="44">
        <v>2</v>
      </c>
      <c r="E66" s="43">
        <f>(C66/$C$65)*$E$65</f>
        <v>0.85245901639344257</v>
      </c>
      <c r="F66" s="43">
        <f t="shared" si="22"/>
        <v>0.57377049180327866</v>
      </c>
      <c r="G66" s="45">
        <f t="shared" ref="G66:G74" si="23">G$63*F66</f>
        <v>2.2950819672131146</v>
      </c>
      <c r="I66" s="1" t="s">
        <v>2</v>
      </c>
      <c r="J66" s="3"/>
      <c r="K66" s="4"/>
      <c r="L66" s="108" t="s">
        <v>97</v>
      </c>
      <c r="M66" s="108">
        <v>1</v>
      </c>
      <c r="N66" s="108" t="s">
        <v>88</v>
      </c>
      <c r="O66" s="108" t="s">
        <v>88</v>
      </c>
      <c r="P66" s="108" t="s">
        <v>88</v>
      </c>
      <c r="Q66" s="108">
        <v>1</v>
      </c>
      <c r="R66" s="108">
        <v>1</v>
      </c>
      <c r="S66" s="134" t="s">
        <v>88</v>
      </c>
      <c r="U66" s="1" t="s">
        <v>2</v>
      </c>
      <c r="V66" s="3"/>
      <c r="W66" s="4"/>
      <c r="X66" s="108" t="s">
        <v>97</v>
      </c>
      <c r="Y66" s="108">
        <v>1</v>
      </c>
      <c r="Z66" s="108" t="s">
        <v>100</v>
      </c>
      <c r="AA66" s="108" t="s">
        <v>101</v>
      </c>
      <c r="AB66" s="108">
        <v>1</v>
      </c>
      <c r="AC66" s="108" t="s">
        <v>94</v>
      </c>
      <c r="AD66" s="108">
        <v>1</v>
      </c>
      <c r="AE66" s="134">
        <v>1</v>
      </c>
      <c r="AG66" s="1" t="s">
        <v>2</v>
      </c>
      <c r="AH66" s="3"/>
      <c r="AI66" s="4"/>
      <c r="AJ66" s="108" t="s">
        <v>124</v>
      </c>
      <c r="AK66" s="108" t="s">
        <v>90</v>
      </c>
      <c r="AL66" s="108" t="s">
        <v>109</v>
      </c>
      <c r="AM66" s="108" t="s">
        <v>110</v>
      </c>
      <c r="AN66" s="108" t="s">
        <v>97</v>
      </c>
      <c r="AO66" s="108">
        <v>1</v>
      </c>
      <c r="AP66" s="108">
        <v>1</v>
      </c>
      <c r="AQ66" s="134">
        <v>1</v>
      </c>
    </row>
    <row r="67" spans="1:43" outlineLevel="1" x14ac:dyDescent="0.2">
      <c r="A67" s="28" t="s">
        <v>3</v>
      </c>
      <c r="B67" s="43">
        <f>SUMIF(SUPPORTO_punti!O:O,A67,SUPPORTO_punti!P:P)+SUPPORTO_pareggi!M17</f>
        <v>1</v>
      </c>
      <c r="C67" s="44">
        <f t="shared" si="21"/>
        <v>52</v>
      </c>
      <c r="D67" s="44">
        <v>3</v>
      </c>
      <c r="E67" s="43">
        <f t="shared" ref="E67:E74" si="24">(C67/$C$65)*$E$65</f>
        <v>0.85245901639344257</v>
      </c>
      <c r="F67" s="43">
        <f t="shared" si="22"/>
        <v>1.6393442622950821E-2</v>
      </c>
      <c r="G67" s="45">
        <f t="shared" si="23"/>
        <v>6.5573770491803282E-2</v>
      </c>
      <c r="I67" s="1" t="s">
        <v>3</v>
      </c>
      <c r="J67" s="3"/>
      <c r="K67" s="4"/>
      <c r="L67" s="4"/>
      <c r="M67" s="108" t="s">
        <v>99</v>
      </c>
      <c r="N67" s="108" t="s">
        <v>100</v>
      </c>
      <c r="O67" s="108" t="s">
        <v>101</v>
      </c>
      <c r="P67" s="108" t="s">
        <v>93</v>
      </c>
      <c r="Q67" s="108" t="s">
        <v>112</v>
      </c>
      <c r="R67" s="108" t="s">
        <v>104</v>
      </c>
      <c r="S67" s="134" t="s">
        <v>133</v>
      </c>
      <c r="U67" s="1" t="s">
        <v>3</v>
      </c>
      <c r="V67" s="3"/>
      <c r="W67" s="4"/>
      <c r="X67" s="4"/>
      <c r="Y67" s="108" t="s">
        <v>99</v>
      </c>
      <c r="Z67" s="108" t="s">
        <v>109</v>
      </c>
      <c r="AA67" s="108" t="s">
        <v>110</v>
      </c>
      <c r="AB67" s="108">
        <v>1</v>
      </c>
      <c r="AC67" s="108" t="s">
        <v>103</v>
      </c>
      <c r="AD67" s="108" t="s">
        <v>104</v>
      </c>
      <c r="AE67" s="134" t="s">
        <v>133</v>
      </c>
      <c r="AG67" s="1" t="s">
        <v>3</v>
      </c>
      <c r="AH67" s="3"/>
      <c r="AI67" s="4"/>
      <c r="AJ67" s="4"/>
      <c r="AK67" s="108" t="s">
        <v>117</v>
      </c>
      <c r="AL67" s="108" t="s">
        <v>118</v>
      </c>
      <c r="AM67" s="108" t="s">
        <v>119</v>
      </c>
      <c r="AN67" s="108" t="s">
        <v>102</v>
      </c>
      <c r="AO67" s="108" t="s">
        <v>121</v>
      </c>
      <c r="AP67" s="108" t="s">
        <v>122</v>
      </c>
      <c r="AQ67" s="134" t="s">
        <v>135</v>
      </c>
    </row>
    <row r="68" spans="1:43" outlineLevel="1" x14ac:dyDescent="0.2">
      <c r="A68" s="28" t="s">
        <v>0</v>
      </c>
      <c r="B68" s="43">
        <f>SUMIF(SUPPORTO_punti!O:O,A68,SUPPORTO_punti!P:P)+SUPPORTO_pareggi!M23</f>
        <v>46</v>
      </c>
      <c r="C68" s="44">
        <f t="shared" si="21"/>
        <v>46</v>
      </c>
      <c r="D68" s="44">
        <v>4</v>
      </c>
      <c r="E68" s="43">
        <f t="shared" si="24"/>
        <v>0.75409836065573765</v>
      </c>
      <c r="F68" s="43">
        <f t="shared" si="22"/>
        <v>0.75409836065573765</v>
      </c>
      <c r="G68" s="45">
        <f t="shared" si="23"/>
        <v>3.0163934426229506</v>
      </c>
      <c r="I68" s="1" t="s">
        <v>0</v>
      </c>
      <c r="J68" s="3"/>
      <c r="K68" s="4"/>
      <c r="L68" s="4"/>
      <c r="M68" s="4"/>
      <c r="N68" s="108" t="s">
        <v>90</v>
      </c>
      <c r="O68" s="108" t="s">
        <v>90</v>
      </c>
      <c r="P68" s="108" t="s">
        <v>99</v>
      </c>
      <c r="Q68" s="108" t="s">
        <v>94</v>
      </c>
      <c r="R68" s="108" t="s">
        <v>90</v>
      </c>
      <c r="S68" s="134">
        <v>1</v>
      </c>
      <c r="U68" s="1" t="s">
        <v>0</v>
      </c>
      <c r="V68" s="3"/>
      <c r="W68" s="4"/>
      <c r="X68" s="4"/>
      <c r="Y68" s="4"/>
      <c r="Z68" s="108" t="s">
        <v>91</v>
      </c>
      <c r="AA68" s="108" t="s">
        <v>92</v>
      </c>
      <c r="AB68" s="108" t="s">
        <v>99</v>
      </c>
      <c r="AC68" s="108" t="s">
        <v>90</v>
      </c>
      <c r="AD68" s="108" t="s">
        <v>99</v>
      </c>
      <c r="AE68" s="134" t="s">
        <v>90</v>
      </c>
      <c r="AG68" s="1" t="s">
        <v>0</v>
      </c>
      <c r="AH68" s="3"/>
      <c r="AI68" s="4"/>
      <c r="AJ68" s="4"/>
      <c r="AK68" s="4"/>
      <c r="AL68" s="108" t="s">
        <v>91</v>
      </c>
      <c r="AM68" s="108" t="s">
        <v>92</v>
      </c>
      <c r="AN68" s="108" t="s">
        <v>108</v>
      </c>
      <c r="AO68" s="108" t="s">
        <v>90</v>
      </c>
      <c r="AP68" s="108" t="s">
        <v>90</v>
      </c>
      <c r="AQ68" s="134" t="s">
        <v>90</v>
      </c>
    </row>
    <row r="69" spans="1:43" outlineLevel="1" x14ac:dyDescent="0.2">
      <c r="A69" s="28" t="s">
        <v>4</v>
      </c>
      <c r="B69" s="43">
        <f>SUMIF(SUPPORTO_punti!O:O,A69,SUPPORTO_punti!P:P)+SUPPORTO_pareggi!M29</f>
        <v>52</v>
      </c>
      <c r="C69" s="44">
        <f t="shared" si="21"/>
        <v>41</v>
      </c>
      <c r="D69" s="44">
        <v>5</v>
      </c>
      <c r="E69" s="43">
        <f t="shared" si="24"/>
        <v>0.67213114754098358</v>
      </c>
      <c r="F69" s="43">
        <f t="shared" si="22"/>
        <v>0.85245901639344257</v>
      </c>
      <c r="G69" s="45">
        <f t="shared" si="23"/>
        <v>3.4098360655737703</v>
      </c>
      <c r="I69" s="1" t="s">
        <v>4</v>
      </c>
      <c r="J69" s="3"/>
      <c r="K69" s="4"/>
      <c r="L69" s="4"/>
      <c r="M69" s="4"/>
      <c r="N69" s="4"/>
      <c r="O69" s="108">
        <v>1</v>
      </c>
      <c r="P69" s="108" t="s">
        <v>91</v>
      </c>
      <c r="Q69" s="108" t="s">
        <v>94</v>
      </c>
      <c r="R69" s="108">
        <v>1</v>
      </c>
      <c r="S69" s="134" t="s">
        <v>132</v>
      </c>
      <c r="U69" s="1" t="s">
        <v>4</v>
      </c>
      <c r="V69" s="3"/>
      <c r="W69" s="4"/>
      <c r="X69" s="4"/>
      <c r="Y69" s="4"/>
      <c r="Z69" s="4"/>
      <c r="AA69" s="108">
        <v>1</v>
      </c>
      <c r="AB69" s="108" t="s">
        <v>100</v>
      </c>
      <c r="AC69" s="108" t="s">
        <v>91</v>
      </c>
      <c r="AD69" s="108" t="s">
        <v>100</v>
      </c>
      <c r="AE69" s="134" t="s">
        <v>91</v>
      </c>
      <c r="AG69" s="1" t="s">
        <v>4</v>
      </c>
      <c r="AH69" s="3"/>
      <c r="AI69" s="4"/>
      <c r="AJ69" s="4"/>
      <c r="AK69" s="4"/>
      <c r="AL69" s="4"/>
      <c r="AM69" s="108" t="s">
        <v>91</v>
      </c>
      <c r="AN69" s="108" t="s">
        <v>100</v>
      </c>
      <c r="AO69" s="108" t="s">
        <v>100</v>
      </c>
      <c r="AP69" s="108" t="s">
        <v>109</v>
      </c>
      <c r="AQ69" s="134" t="s">
        <v>134</v>
      </c>
    </row>
    <row r="70" spans="1:43" outlineLevel="1" x14ac:dyDescent="0.2">
      <c r="A70" s="28" t="s">
        <v>5</v>
      </c>
      <c r="B70" s="43">
        <f>SUMIF(SUPPORTO_punti!O:O,A70,SUPPORTO_punti!P:P)+SUPPORTO_pareggi!M35</f>
        <v>52</v>
      </c>
      <c r="C70" s="44">
        <f t="shared" si="21"/>
        <v>39</v>
      </c>
      <c r="D70" s="44">
        <v>6</v>
      </c>
      <c r="E70" s="43">
        <f t="shared" si="24"/>
        <v>0.63934426229508201</v>
      </c>
      <c r="F70" s="43">
        <f t="shared" si="22"/>
        <v>0.85245901639344257</v>
      </c>
      <c r="G70" s="45">
        <f t="shared" si="23"/>
        <v>3.4098360655737703</v>
      </c>
      <c r="I70" s="1" t="s">
        <v>5</v>
      </c>
      <c r="J70" s="3"/>
      <c r="K70" s="4"/>
      <c r="L70" s="4"/>
      <c r="M70" s="4"/>
      <c r="N70" s="4"/>
      <c r="O70" s="4"/>
      <c r="P70" s="108" t="s">
        <v>92</v>
      </c>
      <c r="Q70" s="108" t="s">
        <v>94</v>
      </c>
      <c r="R70" s="108">
        <v>1</v>
      </c>
      <c r="S70" s="134" t="s">
        <v>132</v>
      </c>
      <c r="U70" s="1" t="s">
        <v>5</v>
      </c>
      <c r="V70" s="3"/>
      <c r="W70" s="4"/>
      <c r="X70" s="4"/>
      <c r="Y70" s="4"/>
      <c r="Z70" s="4"/>
      <c r="AA70" s="4"/>
      <c r="AB70" s="108" t="s">
        <v>92</v>
      </c>
      <c r="AC70" s="108" t="s">
        <v>92</v>
      </c>
      <c r="AD70" s="108" t="s">
        <v>101</v>
      </c>
      <c r="AE70" s="134" t="s">
        <v>92</v>
      </c>
      <c r="AG70" s="1" t="s">
        <v>5</v>
      </c>
      <c r="AH70" s="3"/>
      <c r="AI70" s="4"/>
      <c r="AJ70" s="4"/>
      <c r="AK70" s="4"/>
      <c r="AL70" s="4"/>
      <c r="AM70" s="4"/>
      <c r="AN70" s="108" t="s">
        <v>110</v>
      </c>
      <c r="AO70" s="108" t="s">
        <v>101</v>
      </c>
      <c r="AP70" s="108" t="s">
        <v>101</v>
      </c>
      <c r="AQ70" s="134" t="s">
        <v>101</v>
      </c>
    </row>
    <row r="71" spans="1:43" outlineLevel="1" x14ac:dyDescent="0.2">
      <c r="A71" s="28" t="s">
        <v>6</v>
      </c>
      <c r="B71" s="43">
        <f>SUMIF(SUPPORTO_punti!O:O,A71,SUPPORTO_punti!P:P)+SUPPORTO_pareggi!M41</f>
        <v>7</v>
      </c>
      <c r="C71" s="44">
        <f t="shared" si="21"/>
        <v>35</v>
      </c>
      <c r="D71" s="44">
        <v>7</v>
      </c>
      <c r="E71" s="43">
        <f t="shared" si="24"/>
        <v>0.57377049180327866</v>
      </c>
      <c r="F71" s="43">
        <f t="shared" si="22"/>
        <v>0.11475409836065574</v>
      </c>
      <c r="G71" s="45">
        <f t="shared" si="23"/>
        <v>0.45901639344262296</v>
      </c>
      <c r="I71" s="1" t="s">
        <v>6</v>
      </c>
      <c r="J71" s="3"/>
      <c r="K71" s="4"/>
      <c r="L71" s="4"/>
      <c r="M71" s="4"/>
      <c r="N71" s="4"/>
      <c r="O71" s="4"/>
      <c r="P71" s="4"/>
      <c r="Q71" s="108" t="s">
        <v>103</v>
      </c>
      <c r="R71" s="108" t="s">
        <v>95</v>
      </c>
      <c r="S71" s="134" t="s">
        <v>133</v>
      </c>
      <c r="U71" s="1" t="s">
        <v>6</v>
      </c>
      <c r="V71" s="3"/>
      <c r="W71" s="4"/>
      <c r="X71" s="4"/>
      <c r="Y71" s="4"/>
      <c r="Z71" s="4"/>
      <c r="AA71" s="4"/>
      <c r="AB71" s="4"/>
      <c r="AC71" s="108" t="s">
        <v>103</v>
      </c>
      <c r="AD71" s="108" t="s">
        <v>95</v>
      </c>
      <c r="AE71" s="134" t="s">
        <v>133</v>
      </c>
      <c r="AG71" s="1" t="s">
        <v>6</v>
      </c>
      <c r="AH71" s="3"/>
      <c r="AI71" s="4"/>
      <c r="AJ71" s="4"/>
      <c r="AK71" s="4"/>
      <c r="AL71" s="4"/>
      <c r="AM71" s="4"/>
      <c r="AN71" s="4"/>
      <c r="AO71" s="108" t="s">
        <v>103</v>
      </c>
      <c r="AP71" s="108" t="s">
        <v>95</v>
      </c>
      <c r="AQ71" s="134" t="s">
        <v>132</v>
      </c>
    </row>
    <row r="72" spans="1:43" outlineLevel="1" x14ac:dyDescent="0.2">
      <c r="A72" s="28" t="s">
        <v>7</v>
      </c>
      <c r="B72" s="43">
        <f>SUMIF(SUPPORTO_punti!O:O,A72,SUPPORTO_punti!P:P)+SUPPORTO_pareggi!M47</f>
        <v>41</v>
      </c>
      <c r="C72" s="44">
        <f t="shared" si="21"/>
        <v>24</v>
      </c>
      <c r="D72" s="44">
        <v>8</v>
      </c>
      <c r="E72" s="43">
        <f t="shared" si="24"/>
        <v>0.39344262295081966</v>
      </c>
      <c r="F72" s="43">
        <f t="shared" si="22"/>
        <v>0.67213114754098358</v>
      </c>
      <c r="G72" s="45">
        <f t="shared" si="23"/>
        <v>2.6885245901639343</v>
      </c>
      <c r="I72" s="1" t="s">
        <v>7</v>
      </c>
      <c r="J72" s="3"/>
      <c r="K72" s="4"/>
      <c r="L72" s="4"/>
      <c r="M72" s="4"/>
      <c r="N72" s="4"/>
      <c r="O72" s="4"/>
      <c r="P72" s="4"/>
      <c r="Q72" s="4"/>
      <c r="R72" s="108" t="s">
        <v>94</v>
      </c>
      <c r="S72" s="134" t="s">
        <v>94</v>
      </c>
      <c r="U72" s="1" t="s">
        <v>7</v>
      </c>
      <c r="V72" s="3"/>
      <c r="W72" s="4"/>
      <c r="X72" s="4"/>
      <c r="Y72" s="4"/>
      <c r="Z72" s="4"/>
      <c r="AA72" s="4"/>
      <c r="AB72" s="4"/>
      <c r="AC72" s="4"/>
      <c r="AD72" s="108" t="s">
        <v>94</v>
      </c>
      <c r="AE72" s="134" t="s">
        <v>132</v>
      </c>
      <c r="AG72" s="1" t="s">
        <v>7</v>
      </c>
      <c r="AH72" s="3"/>
      <c r="AI72" s="4"/>
      <c r="AJ72" s="4"/>
      <c r="AK72" s="4"/>
      <c r="AL72" s="4"/>
      <c r="AM72" s="4"/>
      <c r="AN72" s="4"/>
      <c r="AO72" s="4"/>
      <c r="AP72" s="108">
        <v>1</v>
      </c>
      <c r="AQ72" s="134">
        <v>1</v>
      </c>
    </row>
    <row r="73" spans="1:43" outlineLevel="1" x14ac:dyDescent="0.2">
      <c r="A73" s="28" t="s">
        <v>8</v>
      </c>
      <c r="B73" s="43">
        <f>SUMIF(SUPPORTO_punti!O:O,A73,SUPPORTO_punti!P:P)+SUPPORTO_pareggi!M53</f>
        <v>24</v>
      </c>
      <c r="C73" s="44">
        <f t="shared" si="21"/>
        <v>7</v>
      </c>
      <c r="D73" s="44">
        <v>9</v>
      </c>
      <c r="E73" s="43">
        <f t="shared" si="24"/>
        <v>0.11475409836065574</v>
      </c>
      <c r="F73" s="43">
        <f t="shared" si="22"/>
        <v>0.39344262295081966</v>
      </c>
      <c r="G73" s="45">
        <f t="shared" si="23"/>
        <v>1.5737704918032787</v>
      </c>
      <c r="I73" s="1" t="s">
        <v>8</v>
      </c>
      <c r="J73" s="3"/>
      <c r="K73" s="4"/>
      <c r="L73" s="4"/>
      <c r="M73" s="4"/>
      <c r="N73" s="4"/>
      <c r="O73" s="4"/>
      <c r="P73" s="4"/>
      <c r="Q73" s="4"/>
      <c r="R73" s="4"/>
      <c r="S73" s="134" t="s">
        <v>132</v>
      </c>
      <c r="U73" s="1" t="s">
        <v>8</v>
      </c>
      <c r="V73" s="3"/>
      <c r="W73" s="4"/>
      <c r="X73" s="4"/>
      <c r="Y73" s="4"/>
      <c r="Z73" s="4"/>
      <c r="AA73" s="4"/>
      <c r="AB73" s="4"/>
      <c r="AC73" s="4"/>
      <c r="AD73" s="4"/>
      <c r="AE73" s="134" t="s">
        <v>132</v>
      </c>
      <c r="AG73" s="1" t="s">
        <v>8</v>
      </c>
      <c r="AH73" s="3"/>
      <c r="AI73" s="4"/>
      <c r="AJ73" s="4"/>
      <c r="AK73" s="4"/>
      <c r="AL73" s="4"/>
      <c r="AM73" s="4"/>
      <c r="AN73" s="4"/>
      <c r="AO73" s="4"/>
      <c r="AP73" s="4"/>
      <c r="AQ73" s="134">
        <v>1</v>
      </c>
    </row>
    <row r="74" spans="1:43" outlineLevel="1" x14ac:dyDescent="0.2">
      <c r="A74" s="29" t="s">
        <v>9</v>
      </c>
      <c r="B74" s="43">
        <f>SUMIF(SUPPORTO_punti!O:O,A74,SUPPORTO_punti!P:P)+SUPPORTO_pareggi!M59</f>
        <v>39</v>
      </c>
      <c r="C74" s="44">
        <f t="shared" si="21"/>
        <v>1</v>
      </c>
      <c r="D74" s="44">
        <v>10</v>
      </c>
      <c r="E74" s="43">
        <f t="shared" si="24"/>
        <v>1.6393442622950821E-2</v>
      </c>
      <c r="F74" s="43">
        <f t="shared" si="22"/>
        <v>0.63934426229508201</v>
      </c>
      <c r="G74" s="45">
        <f t="shared" si="23"/>
        <v>2.557377049180328</v>
      </c>
      <c r="I74" s="1" t="s">
        <v>9</v>
      </c>
      <c r="J74" s="3"/>
      <c r="K74" s="4"/>
      <c r="L74" s="4"/>
      <c r="M74" s="4"/>
      <c r="N74" s="4"/>
      <c r="O74" s="4"/>
      <c r="P74" s="4"/>
      <c r="Q74" s="4"/>
      <c r="R74" s="4"/>
      <c r="S74" s="4"/>
      <c r="U74" s="1" t="s">
        <v>9</v>
      </c>
      <c r="V74" s="3"/>
      <c r="W74" s="4"/>
      <c r="X74" s="4"/>
      <c r="Y74" s="4"/>
      <c r="Z74" s="4"/>
      <c r="AA74" s="4"/>
      <c r="AB74" s="4"/>
      <c r="AC74" s="4"/>
      <c r="AD74" s="4"/>
      <c r="AE74" s="4"/>
      <c r="AG74" s="1" t="s">
        <v>9</v>
      </c>
      <c r="AH74" s="3"/>
      <c r="AI74" s="4"/>
      <c r="AJ74" s="4"/>
      <c r="AK74" s="4"/>
      <c r="AL74" s="4"/>
      <c r="AM74" s="4"/>
      <c r="AN74" s="4"/>
      <c r="AO74" s="4"/>
      <c r="AP74" s="4"/>
      <c r="AQ74" s="4"/>
    </row>
    <row r="75" spans="1:43" x14ac:dyDescent="0.2">
      <c r="A75" s="24" t="str">
        <f>'MAIN REPORT'!A12</f>
        <v>1. Quality aspect 7</v>
      </c>
      <c r="B75" s="5"/>
      <c r="C75" s="5"/>
      <c r="D75" s="5"/>
      <c r="E75" s="5"/>
      <c r="F75" s="22"/>
      <c r="G75" s="23">
        <f>'MAIN REPORT'!B12</f>
        <v>4</v>
      </c>
      <c r="I75" s="24" t="str">
        <f>A75</f>
        <v>1. Quality aspect 7</v>
      </c>
      <c r="J75" s="5"/>
      <c r="K75" s="5"/>
      <c r="L75" s="5"/>
      <c r="M75" s="5"/>
      <c r="N75" s="5"/>
      <c r="O75" s="5"/>
      <c r="P75" s="5"/>
      <c r="Q75" s="5"/>
      <c r="R75" s="5"/>
      <c r="S75" s="5"/>
      <c r="U75" s="24" t="str">
        <f>A75</f>
        <v>1. Quality aspect 7</v>
      </c>
      <c r="V75" s="5"/>
      <c r="W75" s="5"/>
      <c r="X75" s="5"/>
      <c r="Y75" s="5"/>
      <c r="Z75" s="5"/>
      <c r="AA75" s="5"/>
      <c r="AB75" s="5"/>
      <c r="AC75" s="5"/>
      <c r="AD75" s="5"/>
      <c r="AE75" s="5"/>
      <c r="AG75" s="24" t="str">
        <f>A75</f>
        <v>1. Quality aspect 7</v>
      </c>
      <c r="AH75" s="5"/>
      <c r="AI75" s="5"/>
      <c r="AJ75" s="5"/>
      <c r="AK75" s="5"/>
      <c r="AL75" s="5"/>
      <c r="AM75" s="5"/>
      <c r="AN75" s="5"/>
      <c r="AO75" s="5"/>
      <c r="AP75" s="5"/>
      <c r="AQ75" s="5"/>
    </row>
    <row r="76" spans="1:43" ht="16" outlineLevel="1" thickBot="1" x14ac:dyDescent="0.25">
      <c r="A76" s="40" t="s">
        <v>139</v>
      </c>
      <c r="B76" s="41" t="s">
        <v>138</v>
      </c>
      <c r="C76" s="41"/>
      <c r="D76" s="41"/>
      <c r="E76" s="41"/>
      <c r="F76" s="41" t="s">
        <v>218</v>
      </c>
      <c r="G76" s="42" t="s">
        <v>217</v>
      </c>
      <c r="I76" s="39"/>
      <c r="J76" s="1" t="s">
        <v>1</v>
      </c>
      <c r="K76" s="1" t="s">
        <v>2</v>
      </c>
      <c r="L76" s="1" t="s">
        <v>3</v>
      </c>
      <c r="M76" s="1" t="s">
        <v>0</v>
      </c>
      <c r="N76" s="1" t="s">
        <v>4</v>
      </c>
      <c r="O76" s="1" t="s">
        <v>5</v>
      </c>
      <c r="P76" s="1" t="s">
        <v>6</v>
      </c>
      <c r="Q76" s="1" t="s">
        <v>7</v>
      </c>
      <c r="R76" s="1" t="s">
        <v>8</v>
      </c>
      <c r="S76" s="1" t="s">
        <v>9</v>
      </c>
      <c r="U76" s="39"/>
      <c r="V76" s="1" t="s">
        <v>1</v>
      </c>
      <c r="W76" s="1" t="s">
        <v>2</v>
      </c>
      <c r="X76" s="1" t="s">
        <v>3</v>
      </c>
      <c r="Y76" s="1" t="s">
        <v>0</v>
      </c>
      <c r="Z76" s="1" t="s">
        <v>4</v>
      </c>
      <c r="AA76" s="1" t="s">
        <v>5</v>
      </c>
      <c r="AB76" s="1" t="s">
        <v>6</v>
      </c>
      <c r="AC76" s="1" t="s">
        <v>7</v>
      </c>
      <c r="AD76" s="1" t="s">
        <v>8</v>
      </c>
      <c r="AE76" s="1" t="s">
        <v>9</v>
      </c>
      <c r="AG76" s="39"/>
      <c r="AH76" s="1" t="s">
        <v>1</v>
      </c>
      <c r="AI76" s="1" t="s">
        <v>2</v>
      </c>
      <c r="AJ76" s="1" t="s">
        <v>3</v>
      </c>
      <c r="AK76" s="1" t="s">
        <v>0</v>
      </c>
      <c r="AL76" s="1" t="s">
        <v>4</v>
      </c>
      <c r="AM76" s="1" t="s">
        <v>5</v>
      </c>
      <c r="AN76" s="1" t="s">
        <v>6</v>
      </c>
      <c r="AO76" s="1" t="s">
        <v>7</v>
      </c>
      <c r="AP76" s="1" t="s">
        <v>8</v>
      </c>
      <c r="AQ76" s="1" t="s">
        <v>9</v>
      </c>
    </row>
    <row r="77" spans="1:43" outlineLevel="1" x14ac:dyDescent="0.2">
      <c r="A77" s="28" t="s">
        <v>1</v>
      </c>
      <c r="B77" s="43">
        <f>SUMIF(SUPPORTO_punti!Q:Q,A77,SUPPORTO_punti!R:R)+SUPPORTO_pareggi!O5</f>
        <v>78</v>
      </c>
      <c r="C77" s="44">
        <f t="shared" ref="C77:C86" si="25">LARGE($B$77:$B$86,D77)</f>
        <v>84</v>
      </c>
      <c r="D77" s="44">
        <v>1</v>
      </c>
      <c r="E77" s="43">
        <f>IF(SUM(B77:B86)=0,0,D77)</f>
        <v>1</v>
      </c>
      <c r="F77" s="43">
        <f t="shared" ref="F77:F86" si="26">VLOOKUP(B77,$C$77:$E$86,3,FALSE)</f>
        <v>0.9285714285714286</v>
      </c>
      <c r="G77" s="45">
        <f>G$75*F77</f>
        <v>3.7142857142857144</v>
      </c>
      <c r="I77" s="1" t="s">
        <v>1</v>
      </c>
      <c r="J77" s="2"/>
      <c r="K77" s="107">
        <v>1</v>
      </c>
      <c r="L77" s="107" t="s">
        <v>96</v>
      </c>
      <c r="M77" s="107" t="s">
        <v>90</v>
      </c>
      <c r="N77" s="107" t="s">
        <v>91</v>
      </c>
      <c r="O77" s="107" t="s">
        <v>87</v>
      </c>
      <c r="P77" s="107" t="s">
        <v>87</v>
      </c>
      <c r="Q77" s="107" t="s">
        <v>96</v>
      </c>
      <c r="R77" s="107" t="s">
        <v>96</v>
      </c>
      <c r="S77" s="133" t="s">
        <v>96</v>
      </c>
      <c r="U77" s="1" t="s">
        <v>1</v>
      </c>
      <c r="V77" s="2"/>
      <c r="W77" s="107" t="s">
        <v>87</v>
      </c>
      <c r="X77" s="107" t="s">
        <v>105</v>
      </c>
      <c r="Y77" s="107" t="s">
        <v>87</v>
      </c>
      <c r="Z77" s="107" t="s">
        <v>87</v>
      </c>
      <c r="AA77" s="107" t="s">
        <v>87</v>
      </c>
      <c r="AB77" s="107" t="s">
        <v>96</v>
      </c>
      <c r="AC77" s="107" t="s">
        <v>87</v>
      </c>
      <c r="AD77" s="107" t="s">
        <v>87</v>
      </c>
      <c r="AE77" s="133" t="s">
        <v>96</v>
      </c>
      <c r="AG77" s="1" t="s">
        <v>1</v>
      </c>
      <c r="AH77" s="2"/>
      <c r="AI77" s="107" t="s">
        <v>123</v>
      </c>
      <c r="AJ77" s="107" t="s">
        <v>123</v>
      </c>
      <c r="AK77" s="107" t="s">
        <v>96</v>
      </c>
      <c r="AL77" s="107" t="s">
        <v>87</v>
      </c>
      <c r="AM77" s="107" t="s">
        <v>87</v>
      </c>
      <c r="AN77" s="107" t="s">
        <v>123</v>
      </c>
      <c r="AO77" s="107" t="s">
        <v>105</v>
      </c>
      <c r="AP77" s="107" t="s">
        <v>114</v>
      </c>
      <c r="AQ77" s="133" t="s">
        <v>114</v>
      </c>
    </row>
    <row r="78" spans="1:43" outlineLevel="1" x14ac:dyDescent="0.2">
      <c r="A78" s="28" t="s">
        <v>2</v>
      </c>
      <c r="B78" s="43">
        <f>SUMIF(SUPPORTO_punti!Q:Q,A78,SUPPORTO_punti!R:R)+SUPPORTO_pareggi!O11</f>
        <v>24</v>
      </c>
      <c r="C78" s="44">
        <f t="shared" si="25"/>
        <v>78</v>
      </c>
      <c r="D78" s="44">
        <v>2</v>
      </c>
      <c r="E78" s="43">
        <f>(C78/$C$77)*$E$77</f>
        <v>0.9285714285714286</v>
      </c>
      <c r="F78" s="43">
        <f t="shared" si="26"/>
        <v>0.2857142857142857</v>
      </c>
      <c r="G78" s="45">
        <f t="shared" ref="G78:G86" si="27">G$75*F78</f>
        <v>1.1428571428571428</v>
      </c>
      <c r="I78" s="1" t="s">
        <v>2</v>
      </c>
      <c r="J78" s="3"/>
      <c r="K78" s="4"/>
      <c r="L78" s="108" t="s">
        <v>97</v>
      </c>
      <c r="M78" s="108" t="s">
        <v>90</v>
      </c>
      <c r="N78" s="108" t="s">
        <v>100</v>
      </c>
      <c r="O78" s="108">
        <v>1</v>
      </c>
      <c r="P78" s="108">
        <v>1</v>
      </c>
      <c r="Q78" s="108" t="s">
        <v>97</v>
      </c>
      <c r="R78" s="108" t="s">
        <v>88</v>
      </c>
      <c r="S78" s="134" t="s">
        <v>88</v>
      </c>
      <c r="U78" s="1" t="s">
        <v>2</v>
      </c>
      <c r="V78" s="3"/>
      <c r="W78" s="4"/>
      <c r="X78" s="108" t="s">
        <v>97</v>
      </c>
      <c r="Y78" s="108">
        <v>1</v>
      </c>
      <c r="Z78" s="108" t="s">
        <v>91</v>
      </c>
      <c r="AA78" s="108" t="s">
        <v>92</v>
      </c>
      <c r="AB78" s="108" t="s">
        <v>88</v>
      </c>
      <c r="AC78" s="108" t="s">
        <v>94</v>
      </c>
      <c r="AD78" s="108">
        <v>1</v>
      </c>
      <c r="AE78" s="134">
        <v>1</v>
      </c>
      <c r="AG78" s="1" t="s">
        <v>2</v>
      </c>
      <c r="AH78" s="3"/>
      <c r="AI78" s="4"/>
      <c r="AJ78" s="108" t="s">
        <v>88</v>
      </c>
      <c r="AK78" s="108" t="s">
        <v>99</v>
      </c>
      <c r="AL78" s="108" t="s">
        <v>118</v>
      </c>
      <c r="AM78" s="108" t="s">
        <v>119</v>
      </c>
      <c r="AN78" s="108" t="s">
        <v>93</v>
      </c>
      <c r="AO78" s="108" t="s">
        <v>103</v>
      </c>
      <c r="AP78" s="108">
        <v>1</v>
      </c>
      <c r="AQ78" s="134" t="s">
        <v>135</v>
      </c>
    </row>
    <row r="79" spans="1:43" outlineLevel="1" x14ac:dyDescent="0.2">
      <c r="A79" s="28" t="s">
        <v>3</v>
      </c>
      <c r="B79" s="43">
        <f>SUMIF(SUPPORTO_punti!Q:Q,A79,SUPPORTO_punti!R:R)+SUPPORTO_pareggi!O17</f>
        <v>4</v>
      </c>
      <c r="C79" s="44">
        <f t="shared" si="25"/>
        <v>59</v>
      </c>
      <c r="D79" s="44">
        <v>3</v>
      </c>
      <c r="E79" s="43">
        <f t="shared" ref="E79:E86" si="28">(C79/$C$77)*$E$77</f>
        <v>0.70238095238095233</v>
      </c>
      <c r="F79" s="43">
        <f t="shared" si="26"/>
        <v>4.7619047619047616E-2</v>
      </c>
      <c r="G79" s="45">
        <f t="shared" si="27"/>
        <v>0.19047619047619047</v>
      </c>
      <c r="I79" s="1" t="s">
        <v>3</v>
      </c>
      <c r="J79" s="3"/>
      <c r="K79" s="4"/>
      <c r="L79" s="4"/>
      <c r="M79" s="108" t="s">
        <v>99</v>
      </c>
      <c r="N79" s="108" t="s">
        <v>109</v>
      </c>
      <c r="O79" s="108" t="s">
        <v>92</v>
      </c>
      <c r="P79" s="108" t="s">
        <v>93</v>
      </c>
      <c r="Q79" s="108">
        <v>1</v>
      </c>
      <c r="R79" s="108">
        <v>1</v>
      </c>
      <c r="S79" s="134">
        <v>1</v>
      </c>
      <c r="U79" s="1" t="s">
        <v>3</v>
      </c>
      <c r="V79" s="3"/>
      <c r="W79" s="4"/>
      <c r="X79" s="4"/>
      <c r="Y79" s="108" t="s">
        <v>108</v>
      </c>
      <c r="Z79" s="108" t="s">
        <v>118</v>
      </c>
      <c r="AA79" s="108" t="s">
        <v>110</v>
      </c>
      <c r="AB79" s="108">
        <v>1</v>
      </c>
      <c r="AC79" s="108" t="s">
        <v>103</v>
      </c>
      <c r="AD79" s="108" t="s">
        <v>104</v>
      </c>
      <c r="AE79" s="134" t="s">
        <v>133</v>
      </c>
      <c r="AG79" s="1" t="s">
        <v>3</v>
      </c>
      <c r="AH79" s="3"/>
      <c r="AI79" s="4"/>
      <c r="AJ79" s="4"/>
      <c r="AK79" s="108" t="s">
        <v>117</v>
      </c>
      <c r="AL79" s="108" t="s">
        <v>118</v>
      </c>
      <c r="AM79" s="108" t="s">
        <v>119</v>
      </c>
      <c r="AN79" s="108" t="s">
        <v>120</v>
      </c>
      <c r="AO79" s="108" t="s">
        <v>121</v>
      </c>
      <c r="AP79" s="108" t="s">
        <v>122</v>
      </c>
      <c r="AQ79" s="134" t="s">
        <v>134</v>
      </c>
    </row>
    <row r="80" spans="1:43" outlineLevel="1" x14ac:dyDescent="0.2">
      <c r="A80" s="28" t="s">
        <v>0</v>
      </c>
      <c r="B80" s="43">
        <f>SUMIF(SUPPORTO_punti!Q:Q,A80,SUPPORTO_punti!R:R)+SUPPORTO_pareggi!O23</f>
        <v>51</v>
      </c>
      <c r="C80" s="44">
        <f t="shared" si="25"/>
        <v>51</v>
      </c>
      <c r="D80" s="44">
        <v>4</v>
      </c>
      <c r="E80" s="43">
        <f t="shared" si="28"/>
        <v>0.6071428571428571</v>
      </c>
      <c r="F80" s="43">
        <f t="shared" si="26"/>
        <v>0.6071428571428571</v>
      </c>
      <c r="G80" s="45">
        <f t="shared" si="27"/>
        <v>2.4285714285714284</v>
      </c>
      <c r="I80" s="1" t="s">
        <v>0</v>
      </c>
      <c r="J80" s="3"/>
      <c r="K80" s="4"/>
      <c r="L80" s="4"/>
      <c r="M80" s="4"/>
      <c r="N80" s="108" t="s">
        <v>91</v>
      </c>
      <c r="O80" s="108" t="s">
        <v>90</v>
      </c>
      <c r="P80" s="108" t="s">
        <v>99</v>
      </c>
      <c r="Q80" s="108" t="s">
        <v>99</v>
      </c>
      <c r="R80" s="108" t="s">
        <v>99</v>
      </c>
      <c r="S80" s="134" t="s">
        <v>99</v>
      </c>
      <c r="U80" s="1" t="s">
        <v>0</v>
      </c>
      <c r="V80" s="3"/>
      <c r="W80" s="4"/>
      <c r="X80" s="4"/>
      <c r="Y80" s="4"/>
      <c r="Z80" s="108" t="s">
        <v>91</v>
      </c>
      <c r="AA80" s="108" t="s">
        <v>92</v>
      </c>
      <c r="AB80" s="108" t="s">
        <v>90</v>
      </c>
      <c r="AC80" s="108" t="s">
        <v>90</v>
      </c>
      <c r="AD80" s="108" t="s">
        <v>99</v>
      </c>
      <c r="AE80" s="134">
        <v>1</v>
      </c>
      <c r="AG80" s="1" t="s">
        <v>0</v>
      </c>
      <c r="AH80" s="3"/>
      <c r="AI80" s="4"/>
      <c r="AJ80" s="4"/>
      <c r="AK80" s="4"/>
      <c r="AL80" s="108" t="s">
        <v>100</v>
      </c>
      <c r="AM80" s="108" t="s">
        <v>101</v>
      </c>
      <c r="AN80" s="108" t="s">
        <v>108</v>
      </c>
      <c r="AO80" s="108" t="s">
        <v>90</v>
      </c>
      <c r="AP80" s="108" t="s">
        <v>90</v>
      </c>
      <c r="AQ80" s="134">
        <v>1</v>
      </c>
    </row>
    <row r="81" spans="1:43" outlineLevel="1" x14ac:dyDescent="0.2">
      <c r="A81" s="28" t="s">
        <v>4</v>
      </c>
      <c r="B81" s="43">
        <f>SUMIF(SUPPORTO_punti!Q:Q,A81,SUPPORTO_punti!R:R)+SUPPORTO_pareggi!O29</f>
        <v>84</v>
      </c>
      <c r="C81" s="44">
        <f t="shared" si="25"/>
        <v>29</v>
      </c>
      <c r="D81" s="44">
        <v>5</v>
      </c>
      <c r="E81" s="43">
        <f t="shared" si="28"/>
        <v>0.34523809523809523</v>
      </c>
      <c r="F81" s="43">
        <f t="shared" si="26"/>
        <v>1</v>
      </c>
      <c r="G81" s="45">
        <f t="shared" si="27"/>
        <v>4</v>
      </c>
      <c r="I81" s="1" t="s">
        <v>4</v>
      </c>
      <c r="J81" s="3"/>
      <c r="K81" s="4"/>
      <c r="L81" s="4"/>
      <c r="M81" s="4"/>
      <c r="N81" s="4"/>
      <c r="O81" s="108" t="s">
        <v>100</v>
      </c>
      <c r="P81" s="108" t="s">
        <v>109</v>
      </c>
      <c r="Q81" s="108" t="s">
        <v>109</v>
      </c>
      <c r="R81" s="108" t="s">
        <v>118</v>
      </c>
      <c r="S81" s="134" t="s">
        <v>109</v>
      </c>
      <c r="U81" s="1" t="s">
        <v>4</v>
      </c>
      <c r="V81" s="3"/>
      <c r="W81" s="4"/>
      <c r="X81" s="4"/>
      <c r="Y81" s="4"/>
      <c r="Z81" s="4"/>
      <c r="AA81" s="108" t="s">
        <v>91</v>
      </c>
      <c r="AB81" s="108" t="s">
        <v>109</v>
      </c>
      <c r="AC81" s="108" t="s">
        <v>100</v>
      </c>
      <c r="AD81" s="108" t="s">
        <v>100</v>
      </c>
      <c r="AE81" s="134" t="s">
        <v>91</v>
      </c>
      <c r="AG81" s="1" t="s">
        <v>4</v>
      </c>
      <c r="AH81" s="3"/>
      <c r="AI81" s="4"/>
      <c r="AJ81" s="4"/>
      <c r="AK81" s="4"/>
      <c r="AL81" s="4"/>
      <c r="AM81" s="108">
        <v>1</v>
      </c>
      <c r="AN81" s="108" t="s">
        <v>109</v>
      </c>
      <c r="AO81" s="108" t="s">
        <v>100</v>
      </c>
      <c r="AP81" s="108" t="s">
        <v>118</v>
      </c>
      <c r="AQ81" s="134" t="s">
        <v>109</v>
      </c>
    </row>
    <row r="82" spans="1:43" outlineLevel="1" x14ac:dyDescent="0.2">
      <c r="A82" s="28" t="s">
        <v>5</v>
      </c>
      <c r="B82" s="43">
        <f>SUMIF(SUPPORTO_punti!Q:Q,A82,SUPPORTO_punti!R:R)+SUPPORTO_pareggi!O35</f>
        <v>59</v>
      </c>
      <c r="C82" s="44">
        <f t="shared" si="25"/>
        <v>26</v>
      </c>
      <c r="D82" s="44">
        <v>6</v>
      </c>
      <c r="E82" s="43">
        <f t="shared" si="28"/>
        <v>0.30952380952380953</v>
      </c>
      <c r="F82" s="43">
        <f t="shared" si="26"/>
        <v>0.70238095238095233</v>
      </c>
      <c r="G82" s="45">
        <f t="shared" si="27"/>
        <v>2.8095238095238093</v>
      </c>
      <c r="I82" s="1" t="s">
        <v>5</v>
      </c>
      <c r="J82" s="3"/>
      <c r="K82" s="4"/>
      <c r="L82" s="4"/>
      <c r="M82" s="4"/>
      <c r="N82" s="4"/>
      <c r="O82" s="4"/>
      <c r="P82" s="108" t="s">
        <v>92</v>
      </c>
      <c r="Q82" s="108" t="s">
        <v>92</v>
      </c>
      <c r="R82" s="108" t="s">
        <v>92</v>
      </c>
      <c r="S82" s="134" t="s">
        <v>92</v>
      </c>
      <c r="U82" s="1" t="s">
        <v>5</v>
      </c>
      <c r="V82" s="3"/>
      <c r="W82" s="4"/>
      <c r="X82" s="4"/>
      <c r="Y82" s="4"/>
      <c r="Z82" s="4"/>
      <c r="AA82" s="4"/>
      <c r="AB82" s="108" t="s">
        <v>101</v>
      </c>
      <c r="AC82" s="108" t="s">
        <v>92</v>
      </c>
      <c r="AD82" s="108" t="s">
        <v>101</v>
      </c>
      <c r="AE82" s="134" t="s">
        <v>92</v>
      </c>
      <c r="AG82" s="1" t="s">
        <v>5</v>
      </c>
      <c r="AH82" s="3"/>
      <c r="AI82" s="4"/>
      <c r="AJ82" s="4"/>
      <c r="AK82" s="4"/>
      <c r="AL82" s="4"/>
      <c r="AM82" s="4"/>
      <c r="AN82" s="108" t="s">
        <v>119</v>
      </c>
      <c r="AO82" s="108" t="s">
        <v>101</v>
      </c>
      <c r="AP82" s="108" t="s">
        <v>110</v>
      </c>
      <c r="AQ82" s="134" t="s">
        <v>110</v>
      </c>
    </row>
    <row r="83" spans="1:43" outlineLevel="1" x14ac:dyDescent="0.2">
      <c r="A83" s="28" t="s">
        <v>6</v>
      </c>
      <c r="B83" s="43">
        <f>SUMIF(SUPPORTO_punti!Q:Q,A83,SUPPORTO_punti!R:R)+SUPPORTO_pareggi!O41</f>
        <v>19</v>
      </c>
      <c r="C83" s="44">
        <f t="shared" si="25"/>
        <v>24</v>
      </c>
      <c r="D83" s="44">
        <v>7</v>
      </c>
      <c r="E83" s="43">
        <f t="shared" si="28"/>
        <v>0.2857142857142857</v>
      </c>
      <c r="F83" s="43">
        <f t="shared" si="26"/>
        <v>0.22619047619047619</v>
      </c>
      <c r="G83" s="45">
        <f t="shared" si="27"/>
        <v>0.90476190476190477</v>
      </c>
      <c r="I83" s="1" t="s">
        <v>6</v>
      </c>
      <c r="J83" s="3"/>
      <c r="K83" s="4"/>
      <c r="L83" s="4"/>
      <c r="M83" s="4"/>
      <c r="N83" s="4"/>
      <c r="O83" s="4"/>
      <c r="P83" s="4"/>
      <c r="Q83" s="108" t="s">
        <v>93</v>
      </c>
      <c r="R83" s="108" t="s">
        <v>93</v>
      </c>
      <c r="S83" s="134" t="s">
        <v>93</v>
      </c>
      <c r="U83" s="1" t="s">
        <v>6</v>
      </c>
      <c r="V83" s="3"/>
      <c r="W83" s="4"/>
      <c r="X83" s="4"/>
      <c r="Y83" s="4"/>
      <c r="Z83" s="4"/>
      <c r="AA83" s="4"/>
      <c r="AB83" s="4"/>
      <c r="AC83" s="108" t="s">
        <v>103</v>
      </c>
      <c r="AD83" s="108" t="s">
        <v>104</v>
      </c>
      <c r="AE83" s="134" t="s">
        <v>133</v>
      </c>
      <c r="AG83" s="1" t="s">
        <v>6</v>
      </c>
      <c r="AH83" s="3"/>
      <c r="AI83" s="4"/>
      <c r="AJ83" s="4"/>
      <c r="AK83" s="4"/>
      <c r="AL83" s="4"/>
      <c r="AM83" s="4"/>
      <c r="AN83" s="4"/>
      <c r="AO83" s="108" t="s">
        <v>103</v>
      </c>
      <c r="AP83" s="108">
        <v>1</v>
      </c>
      <c r="AQ83" s="134">
        <v>1</v>
      </c>
    </row>
    <row r="84" spans="1:43" outlineLevel="1" x14ac:dyDescent="0.2">
      <c r="A84" s="28" t="s">
        <v>7</v>
      </c>
      <c r="B84" s="43">
        <f>SUMIF(SUPPORTO_punti!Q:Q,A84,SUPPORTO_punti!R:R)+SUPPORTO_pareggi!O47</f>
        <v>29</v>
      </c>
      <c r="C84" s="44">
        <f t="shared" si="25"/>
        <v>19</v>
      </c>
      <c r="D84" s="44">
        <v>8</v>
      </c>
      <c r="E84" s="43">
        <f t="shared" si="28"/>
        <v>0.22619047619047619</v>
      </c>
      <c r="F84" s="43">
        <f t="shared" si="26"/>
        <v>0.34523809523809523</v>
      </c>
      <c r="G84" s="45">
        <f t="shared" si="27"/>
        <v>1.3809523809523809</v>
      </c>
      <c r="I84" s="1" t="s">
        <v>7</v>
      </c>
      <c r="J84" s="3"/>
      <c r="K84" s="4"/>
      <c r="L84" s="4"/>
      <c r="M84" s="4"/>
      <c r="N84" s="4"/>
      <c r="O84" s="4"/>
      <c r="P84" s="4"/>
      <c r="Q84" s="4"/>
      <c r="R84" s="108">
        <v>1</v>
      </c>
      <c r="S84" s="134">
        <v>1</v>
      </c>
      <c r="U84" s="1" t="s">
        <v>7</v>
      </c>
      <c r="V84" s="3"/>
      <c r="W84" s="4"/>
      <c r="X84" s="4"/>
      <c r="Y84" s="4"/>
      <c r="Z84" s="4"/>
      <c r="AA84" s="4"/>
      <c r="AB84" s="4"/>
      <c r="AC84" s="4"/>
      <c r="AD84" s="108" t="s">
        <v>94</v>
      </c>
      <c r="AE84" s="134" t="s">
        <v>132</v>
      </c>
      <c r="AG84" s="1" t="s">
        <v>7</v>
      </c>
      <c r="AH84" s="3"/>
      <c r="AI84" s="4"/>
      <c r="AJ84" s="4"/>
      <c r="AK84" s="4"/>
      <c r="AL84" s="4"/>
      <c r="AM84" s="4"/>
      <c r="AN84" s="4"/>
      <c r="AO84" s="4"/>
      <c r="AP84" s="108" t="s">
        <v>94</v>
      </c>
      <c r="AQ84" s="134" t="s">
        <v>103</v>
      </c>
    </row>
    <row r="85" spans="1:43" outlineLevel="1" x14ac:dyDescent="0.2">
      <c r="A85" s="28" t="s">
        <v>8</v>
      </c>
      <c r="B85" s="43">
        <f>SUMIF(SUPPORTO_punti!Q:Q,A85,SUPPORTO_punti!R:R)+SUPPORTO_pareggi!O53</f>
        <v>19</v>
      </c>
      <c r="C85" s="44">
        <f t="shared" si="25"/>
        <v>19</v>
      </c>
      <c r="D85" s="44">
        <v>9</v>
      </c>
      <c r="E85" s="43">
        <f t="shared" si="28"/>
        <v>0.22619047619047619</v>
      </c>
      <c r="F85" s="43">
        <f t="shared" si="26"/>
        <v>0.22619047619047619</v>
      </c>
      <c r="G85" s="45">
        <f t="shared" si="27"/>
        <v>0.90476190476190477</v>
      </c>
      <c r="I85" s="1" t="s">
        <v>8</v>
      </c>
      <c r="J85" s="3"/>
      <c r="K85" s="4"/>
      <c r="L85" s="4"/>
      <c r="M85" s="4"/>
      <c r="N85" s="4"/>
      <c r="O85" s="4"/>
      <c r="P85" s="4"/>
      <c r="Q85" s="4"/>
      <c r="R85" s="4"/>
      <c r="S85" s="134">
        <v>1</v>
      </c>
      <c r="U85" s="1" t="s">
        <v>8</v>
      </c>
      <c r="V85" s="3"/>
      <c r="W85" s="4"/>
      <c r="X85" s="4"/>
      <c r="Y85" s="4"/>
      <c r="Z85" s="4"/>
      <c r="AA85" s="4"/>
      <c r="AB85" s="4"/>
      <c r="AC85" s="4"/>
      <c r="AD85" s="4"/>
      <c r="AE85" s="134">
        <v>1</v>
      </c>
      <c r="AG85" s="1" t="s">
        <v>8</v>
      </c>
      <c r="AH85" s="3"/>
      <c r="AI85" s="4"/>
      <c r="AJ85" s="4"/>
      <c r="AK85" s="4"/>
      <c r="AL85" s="4"/>
      <c r="AM85" s="4"/>
      <c r="AN85" s="4"/>
      <c r="AO85" s="4"/>
      <c r="AP85" s="4"/>
      <c r="AQ85" s="134">
        <v>1</v>
      </c>
    </row>
    <row r="86" spans="1:43" outlineLevel="1" x14ac:dyDescent="0.2">
      <c r="A86" s="29" t="s">
        <v>9</v>
      </c>
      <c r="B86" s="43">
        <f>SUMIF(SUPPORTO_punti!Q:Q,A86,SUPPORTO_punti!R:R)+SUPPORTO_pareggi!O59</f>
        <v>26</v>
      </c>
      <c r="C86" s="44">
        <f t="shared" si="25"/>
        <v>4</v>
      </c>
      <c r="D86" s="44">
        <v>10</v>
      </c>
      <c r="E86" s="43">
        <f t="shared" si="28"/>
        <v>4.7619047619047616E-2</v>
      </c>
      <c r="F86" s="43">
        <f t="shared" si="26"/>
        <v>0.30952380952380953</v>
      </c>
      <c r="G86" s="45">
        <f t="shared" si="27"/>
        <v>1.2380952380952381</v>
      </c>
      <c r="I86" s="1" t="s">
        <v>9</v>
      </c>
      <c r="J86" s="3"/>
      <c r="K86" s="4"/>
      <c r="L86" s="4"/>
      <c r="M86" s="4"/>
      <c r="N86" s="4"/>
      <c r="O86" s="4"/>
      <c r="P86" s="4"/>
      <c r="Q86" s="4"/>
      <c r="R86" s="4"/>
      <c r="S86" s="4"/>
      <c r="U86" s="1" t="s">
        <v>9</v>
      </c>
      <c r="V86" s="3"/>
      <c r="W86" s="4"/>
      <c r="X86" s="4"/>
      <c r="Y86" s="4"/>
      <c r="Z86" s="4"/>
      <c r="AA86" s="4"/>
      <c r="AB86" s="4"/>
      <c r="AC86" s="4"/>
      <c r="AD86" s="4"/>
      <c r="AE86" s="4"/>
      <c r="AG86" s="1" t="s">
        <v>9</v>
      </c>
      <c r="AH86" s="3"/>
      <c r="AI86" s="4"/>
      <c r="AJ86" s="4"/>
      <c r="AK86" s="4"/>
      <c r="AL86" s="4"/>
      <c r="AM86" s="4"/>
      <c r="AN86" s="4"/>
      <c r="AO86" s="4"/>
      <c r="AP86" s="4"/>
      <c r="AQ86" s="4"/>
    </row>
    <row r="87" spans="1:43" x14ac:dyDescent="0.2">
      <c r="A87" s="24" t="str">
        <f>'MAIN REPORT'!A13</f>
        <v>1. Quality aspect 8</v>
      </c>
      <c r="B87" s="5"/>
      <c r="C87" s="5"/>
      <c r="D87" s="5"/>
      <c r="E87" s="5"/>
      <c r="F87" s="22"/>
      <c r="G87" s="23">
        <f>'MAIN REPORT'!B13</f>
        <v>4</v>
      </c>
      <c r="I87" s="24" t="str">
        <f>A87</f>
        <v>1. Quality aspect 8</v>
      </c>
      <c r="J87" s="5"/>
      <c r="K87" s="5"/>
      <c r="L87" s="5"/>
      <c r="M87" s="5"/>
      <c r="N87" s="5"/>
      <c r="O87" s="5"/>
      <c r="P87" s="5"/>
      <c r="Q87" s="5"/>
      <c r="R87" s="5"/>
      <c r="S87" s="5"/>
      <c r="U87" s="24" t="str">
        <f>A87</f>
        <v>1. Quality aspect 8</v>
      </c>
      <c r="V87" s="5"/>
      <c r="W87" s="5"/>
      <c r="X87" s="5"/>
      <c r="Y87" s="5"/>
      <c r="Z87" s="5"/>
      <c r="AA87" s="5"/>
      <c r="AB87" s="5"/>
      <c r="AC87" s="5"/>
      <c r="AD87" s="5"/>
      <c r="AE87" s="5"/>
      <c r="AG87" s="24" t="str">
        <f>A87</f>
        <v>1. Quality aspect 8</v>
      </c>
      <c r="AH87" s="5"/>
      <c r="AI87" s="5"/>
      <c r="AJ87" s="5"/>
      <c r="AK87" s="5"/>
      <c r="AL87" s="5"/>
      <c r="AM87" s="5"/>
      <c r="AN87" s="5"/>
      <c r="AO87" s="5"/>
      <c r="AP87" s="5"/>
      <c r="AQ87" s="5"/>
    </row>
    <row r="88" spans="1:43" ht="16" outlineLevel="1" thickBot="1" x14ac:dyDescent="0.25">
      <c r="A88" s="40" t="s">
        <v>139</v>
      </c>
      <c r="B88" s="41" t="s">
        <v>138</v>
      </c>
      <c r="C88" s="41"/>
      <c r="D88" s="41"/>
      <c r="E88" s="41"/>
      <c r="F88" s="41" t="s">
        <v>218</v>
      </c>
      <c r="G88" s="42" t="s">
        <v>217</v>
      </c>
      <c r="I88" s="39"/>
      <c r="J88" s="1" t="s">
        <v>1</v>
      </c>
      <c r="K88" s="1" t="s">
        <v>2</v>
      </c>
      <c r="L88" s="1" t="s">
        <v>3</v>
      </c>
      <c r="M88" s="1" t="s">
        <v>0</v>
      </c>
      <c r="N88" s="1" t="s">
        <v>4</v>
      </c>
      <c r="O88" s="1" t="s">
        <v>5</v>
      </c>
      <c r="P88" s="1" t="s">
        <v>6</v>
      </c>
      <c r="Q88" s="1" t="s">
        <v>7</v>
      </c>
      <c r="R88" s="1" t="s">
        <v>8</v>
      </c>
      <c r="S88" s="1" t="s">
        <v>9</v>
      </c>
      <c r="U88" s="39"/>
      <c r="V88" s="1" t="s">
        <v>1</v>
      </c>
      <c r="W88" s="1" t="s">
        <v>2</v>
      </c>
      <c r="X88" s="1" t="s">
        <v>3</v>
      </c>
      <c r="Y88" s="1" t="s">
        <v>0</v>
      </c>
      <c r="Z88" s="1" t="s">
        <v>4</v>
      </c>
      <c r="AA88" s="1" t="s">
        <v>5</v>
      </c>
      <c r="AB88" s="1" t="s">
        <v>6</v>
      </c>
      <c r="AC88" s="1" t="s">
        <v>7</v>
      </c>
      <c r="AD88" s="1" t="s">
        <v>8</v>
      </c>
      <c r="AE88" s="1" t="s">
        <v>9</v>
      </c>
      <c r="AG88" s="39"/>
      <c r="AH88" s="1" t="s">
        <v>1</v>
      </c>
      <c r="AI88" s="1" t="s">
        <v>2</v>
      </c>
      <c r="AJ88" s="1" t="s">
        <v>3</v>
      </c>
      <c r="AK88" s="1" t="s">
        <v>0</v>
      </c>
      <c r="AL88" s="1" t="s">
        <v>4</v>
      </c>
      <c r="AM88" s="1" t="s">
        <v>5</v>
      </c>
      <c r="AN88" s="1" t="s">
        <v>6</v>
      </c>
      <c r="AO88" s="1" t="s">
        <v>7</v>
      </c>
      <c r="AP88" s="1" t="s">
        <v>8</v>
      </c>
      <c r="AQ88" s="1" t="s">
        <v>9</v>
      </c>
    </row>
    <row r="89" spans="1:43" outlineLevel="1" x14ac:dyDescent="0.2">
      <c r="A89" s="28" t="s">
        <v>1</v>
      </c>
      <c r="B89" s="43">
        <f>SUMIF(SUPPORTO_punti!S:S,A89,SUPPORTO_punti!T:T)+SUPPORTO_pareggi!Q5</f>
        <v>62</v>
      </c>
      <c r="C89" s="44">
        <f t="shared" ref="C89:C98" si="29">LARGE($B$89:$B$98,D89)</f>
        <v>74</v>
      </c>
      <c r="D89" s="44">
        <v>1</v>
      </c>
      <c r="E89" s="43">
        <f>IF(SUM(B89:B98)=0,0,D89)</f>
        <v>1</v>
      </c>
      <c r="F89" s="43">
        <f t="shared" ref="F89:F98" si="30">VLOOKUP(B89,$C$89:$E$98,3,FALSE)</f>
        <v>0.83783783783783783</v>
      </c>
      <c r="G89" s="45">
        <f>G$87*F89</f>
        <v>3.3513513513513513</v>
      </c>
      <c r="I89" s="1" t="s">
        <v>1</v>
      </c>
      <c r="J89" s="2"/>
      <c r="K89" s="107" t="s">
        <v>88</v>
      </c>
      <c r="L89" s="107" t="s">
        <v>87</v>
      </c>
      <c r="M89" s="107" t="s">
        <v>99</v>
      </c>
      <c r="N89" s="107">
        <v>1</v>
      </c>
      <c r="O89" s="107" t="s">
        <v>87</v>
      </c>
      <c r="P89" s="107" t="s">
        <v>123</v>
      </c>
      <c r="Q89" s="107" t="s">
        <v>87</v>
      </c>
      <c r="R89" s="107" t="s">
        <v>87</v>
      </c>
      <c r="S89" s="133" t="s">
        <v>96</v>
      </c>
      <c r="U89" s="1" t="s">
        <v>1</v>
      </c>
      <c r="V89" s="2"/>
      <c r="W89" s="107" t="s">
        <v>87</v>
      </c>
      <c r="X89" s="107" t="s">
        <v>96</v>
      </c>
      <c r="Y89" s="107" t="s">
        <v>87</v>
      </c>
      <c r="Z89" s="107">
        <v>1</v>
      </c>
      <c r="AA89" s="107" t="s">
        <v>87</v>
      </c>
      <c r="AB89" s="107" t="s">
        <v>123</v>
      </c>
      <c r="AC89" s="107">
        <v>1</v>
      </c>
      <c r="AD89" s="107" t="s">
        <v>96</v>
      </c>
      <c r="AE89" s="133">
        <v>1</v>
      </c>
      <c r="AG89" s="1" t="s">
        <v>1</v>
      </c>
      <c r="AH89" s="2"/>
      <c r="AI89" s="107" t="s">
        <v>96</v>
      </c>
      <c r="AJ89" s="107" t="s">
        <v>96</v>
      </c>
      <c r="AK89" s="107">
        <v>1</v>
      </c>
      <c r="AL89" s="107" t="s">
        <v>87</v>
      </c>
      <c r="AM89" s="107" t="s">
        <v>96</v>
      </c>
      <c r="AN89" s="107" t="s">
        <v>123</v>
      </c>
      <c r="AO89" s="107">
        <v>1</v>
      </c>
      <c r="AP89" s="107" t="s">
        <v>96</v>
      </c>
      <c r="AQ89" s="133">
        <v>1</v>
      </c>
    </row>
    <row r="90" spans="1:43" outlineLevel="1" x14ac:dyDescent="0.2">
      <c r="A90" s="28" t="s">
        <v>2</v>
      </c>
      <c r="B90" s="43">
        <f>SUMIF(SUPPORTO_punti!S:S,A90,SUPPORTO_punti!T:T)+SUPPORTO_pareggi!Q11</f>
        <v>37</v>
      </c>
      <c r="C90" s="44">
        <f t="shared" si="29"/>
        <v>62</v>
      </c>
      <c r="D90" s="44">
        <v>2</v>
      </c>
      <c r="E90" s="43">
        <f>(C90/$C$89)*$E$89</f>
        <v>0.83783783783783783</v>
      </c>
      <c r="F90" s="43">
        <f t="shared" si="30"/>
        <v>0.5</v>
      </c>
      <c r="G90" s="45">
        <f t="shared" ref="G90:G98" si="31">G$87*F90</f>
        <v>2</v>
      </c>
      <c r="I90" s="1" t="s">
        <v>2</v>
      </c>
      <c r="J90" s="3"/>
      <c r="K90" s="4"/>
      <c r="L90" s="108" t="s">
        <v>88</v>
      </c>
      <c r="M90" s="108" t="s">
        <v>99</v>
      </c>
      <c r="N90" s="108">
        <v>1</v>
      </c>
      <c r="O90" s="108" t="s">
        <v>88</v>
      </c>
      <c r="P90" s="108" t="s">
        <v>124</v>
      </c>
      <c r="Q90" s="108" t="s">
        <v>88</v>
      </c>
      <c r="R90" s="108">
        <v>1</v>
      </c>
      <c r="S90" s="134" t="s">
        <v>88</v>
      </c>
      <c r="U90" s="1" t="s">
        <v>2</v>
      </c>
      <c r="V90" s="3"/>
      <c r="W90" s="4"/>
      <c r="X90" s="108">
        <v>1</v>
      </c>
      <c r="Y90" s="108" t="s">
        <v>99</v>
      </c>
      <c r="Z90" s="108" t="s">
        <v>91</v>
      </c>
      <c r="AA90" s="108">
        <v>1</v>
      </c>
      <c r="AB90" s="108" t="s">
        <v>124</v>
      </c>
      <c r="AC90" s="108" t="s">
        <v>94</v>
      </c>
      <c r="AD90" s="108" t="s">
        <v>88</v>
      </c>
      <c r="AE90" s="134" t="s">
        <v>133</v>
      </c>
      <c r="AG90" s="1" t="s">
        <v>2</v>
      </c>
      <c r="AH90" s="3"/>
      <c r="AI90" s="4"/>
      <c r="AJ90" s="108">
        <v>1</v>
      </c>
      <c r="AK90" s="108" t="s">
        <v>99</v>
      </c>
      <c r="AL90" s="108" t="s">
        <v>91</v>
      </c>
      <c r="AM90" s="108">
        <v>1</v>
      </c>
      <c r="AN90" s="108" t="s">
        <v>124</v>
      </c>
      <c r="AO90" s="108" t="s">
        <v>103</v>
      </c>
      <c r="AP90" s="108">
        <v>1</v>
      </c>
      <c r="AQ90" s="134" t="s">
        <v>133</v>
      </c>
    </row>
    <row r="91" spans="1:43" outlineLevel="1" x14ac:dyDescent="0.2">
      <c r="A91" s="28" t="s">
        <v>3</v>
      </c>
      <c r="B91" s="43">
        <f>SUMIF(SUPPORTO_punti!S:S,A91,SUPPORTO_punti!T:T)+SUPPORTO_pareggi!Q17</f>
        <v>31</v>
      </c>
      <c r="C91" s="44">
        <f t="shared" si="29"/>
        <v>60</v>
      </c>
      <c r="D91" s="44">
        <v>3</v>
      </c>
      <c r="E91" s="43">
        <f t="shared" ref="E91:E98" si="32">(C91/$C$89)*$E$89</f>
        <v>0.81081081081081086</v>
      </c>
      <c r="F91" s="43">
        <f t="shared" si="30"/>
        <v>0.41891891891891891</v>
      </c>
      <c r="G91" s="45">
        <f t="shared" si="31"/>
        <v>1.6756756756756757</v>
      </c>
      <c r="I91" s="1" t="s">
        <v>3</v>
      </c>
      <c r="J91" s="3"/>
      <c r="K91" s="4"/>
      <c r="L91" s="4"/>
      <c r="M91" s="108" t="s">
        <v>99</v>
      </c>
      <c r="N91" s="108" t="s">
        <v>91</v>
      </c>
      <c r="O91" s="108">
        <v>1</v>
      </c>
      <c r="P91" s="108" t="s">
        <v>125</v>
      </c>
      <c r="Q91" s="108">
        <v>1</v>
      </c>
      <c r="R91" s="108" t="s">
        <v>89</v>
      </c>
      <c r="S91" s="134" t="s">
        <v>89</v>
      </c>
      <c r="U91" s="1" t="s">
        <v>3</v>
      </c>
      <c r="V91" s="3"/>
      <c r="W91" s="4"/>
      <c r="X91" s="4"/>
      <c r="Y91" s="108" t="s">
        <v>99</v>
      </c>
      <c r="Z91" s="108" t="s">
        <v>91</v>
      </c>
      <c r="AA91" s="108">
        <v>1</v>
      </c>
      <c r="AB91" s="108" t="s">
        <v>125</v>
      </c>
      <c r="AC91" s="108" t="s">
        <v>103</v>
      </c>
      <c r="AD91" s="108" t="s">
        <v>89</v>
      </c>
      <c r="AE91" s="134" t="s">
        <v>133</v>
      </c>
      <c r="AG91" s="1" t="s">
        <v>3</v>
      </c>
      <c r="AH91" s="3"/>
      <c r="AI91" s="4"/>
      <c r="AJ91" s="4"/>
      <c r="AK91" s="108" t="s">
        <v>99</v>
      </c>
      <c r="AL91" s="108" t="s">
        <v>91</v>
      </c>
      <c r="AM91" s="108">
        <v>1</v>
      </c>
      <c r="AN91" s="108" t="s">
        <v>125</v>
      </c>
      <c r="AO91" s="108" t="s">
        <v>103</v>
      </c>
      <c r="AP91" s="108">
        <v>1</v>
      </c>
      <c r="AQ91" s="134" t="s">
        <v>133</v>
      </c>
    </row>
    <row r="92" spans="1:43" outlineLevel="1" x14ac:dyDescent="0.2">
      <c r="A92" s="28" t="s">
        <v>0</v>
      </c>
      <c r="B92" s="43">
        <f>SUMIF(SUPPORTO_punti!S:S,A92,SUPPORTO_punti!T:T)+SUPPORTO_pareggi!Q23</f>
        <v>74</v>
      </c>
      <c r="C92" s="44">
        <f t="shared" si="29"/>
        <v>52</v>
      </c>
      <c r="D92" s="44">
        <v>4</v>
      </c>
      <c r="E92" s="43">
        <f t="shared" si="32"/>
        <v>0.70270270270270274</v>
      </c>
      <c r="F92" s="43">
        <f t="shared" si="30"/>
        <v>1</v>
      </c>
      <c r="G92" s="45">
        <f t="shared" si="31"/>
        <v>4</v>
      </c>
      <c r="I92" s="1" t="s">
        <v>0</v>
      </c>
      <c r="J92" s="3"/>
      <c r="K92" s="4"/>
      <c r="L92" s="4"/>
      <c r="M92" s="4"/>
      <c r="N92" s="108" t="s">
        <v>99</v>
      </c>
      <c r="O92" s="108" t="s">
        <v>99</v>
      </c>
      <c r="P92" s="108" t="s">
        <v>126</v>
      </c>
      <c r="Q92" s="108" t="s">
        <v>99</v>
      </c>
      <c r="R92" s="108" t="s">
        <v>108</v>
      </c>
      <c r="S92" s="134" t="s">
        <v>108</v>
      </c>
      <c r="U92" s="1" t="s">
        <v>0</v>
      </c>
      <c r="V92" s="3"/>
      <c r="W92" s="4"/>
      <c r="X92" s="4"/>
      <c r="Y92" s="4"/>
      <c r="Z92" s="108">
        <v>1</v>
      </c>
      <c r="AA92" s="108" t="s">
        <v>99</v>
      </c>
      <c r="AB92" s="108" t="s">
        <v>126</v>
      </c>
      <c r="AC92" s="108" t="s">
        <v>94</v>
      </c>
      <c r="AD92" s="108" t="s">
        <v>99</v>
      </c>
      <c r="AE92" s="134" t="s">
        <v>132</v>
      </c>
      <c r="AG92" s="1" t="s">
        <v>0</v>
      </c>
      <c r="AH92" s="3"/>
      <c r="AI92" s="4"/>
      <c r="AJ92" s="4"/>
      <c r="AK92" s="4"/>
      <c r="AL92" s="108" t="s">
        <v>90</v>
      </c>
      <c r="AM92" s="108" t="s">
        <v>99</v>
      </c>
      <c r="AN92" s="108" t="s">
        <v>126</v>
      </c>
      <c r="AO92" s="108">
        <v>1</v>
      </c>
      <c r="AP92" s="108" t="s">
        <v>99</v>
      </c>
      <c r="AQ92" s="134">
        <v>1</v>
      </c>
    </row>
    <row r="93" spans="1:43" outlineLevel="1" x14ac:dyDescent="0.2">
      <c r="A93" s="28" t="s">
        <v>4</v>
      </c>
      <c r="B93" s="43">
        <f>SUMIF(SUPPORTO_punti!S:S,A93,SUPPORTO_punti!T:T)+SUPPORTO_pareggi!Q29</f>
        <v>51</v>
      </c>
      <c r="C93" s="44">
        <f t="shared" si="29"/>
        <v>51</v>
      </c>
      <c r="D93" s="44">
        <v>5</v>
      </c>
      <c r="E93" s="43">
        <f t="shared" si="32"/>
        <v>0.68918918918918914</v>
      </c>
      <c r="F93" s="43">
        <f t="shared" si="30"/>
        <v>0.68918918918918914</v>
      </c>
      <c r="G93" s="45">
        <f t="shared" si="31"/>
        <v>2.7567567567567566</v>
      </c>
      <c r="I93" s="1" t="s">
        <v>4</v>
      </c>
      <c r="J93" s="3"/>
      <c r="K93" s="4"/>
      <c r="L93" s="4"/>
      <c r="M93" s="4"/>
      <c r="N93" s="4"/>
      <c r="O93" s="108" t="s">
        <v>91</v>
      </c>
      <c r="P93" s="108" t="s">
        <v>127</v>
      </c>
      <c r="Q93" s="108" t="s">
        <v>91</v>
      </c>
      <c r="R93" s="108" t="s">
        <v>91</v>
      </c>
      <c r="S93" s="134" t="s">
        <v>91</v>
      </c>
      <c r="U93" s="1" t="s">
        <v>4</v>
      </c>
      <c r="V93" s="3"/>
      <c r="W93" s="4"/>
      <c r="X93" s="4"/>
      <c r="Y93" s="4"/>
      <c r="Z93" s="4"/>
      <c r="AA93" s="108" t="s">
        <v>91</v>
      </c>
      <c r="AB93" s="108" t="s">
        <v>127</v>
      </c>
      <c r="AC93" s="108">
        <v>1</v>
      </c>
      <c r="AD93" s="108" t="s">
        <v>100</v>
      </c>
      <c r="AE93" s="134">
        <v>1</v>
      </c>
      <c r="AG93" s="1" t="s">
        <v>4</v>
      </c>
      <c r="AH93" s="3"/>
      <c r="AI93" s="4"/>
      <c r="AJ93" s="4"/>
      <c r="AK93" s="4"/>
      <c r="AL93" s="4"/>
      <c r="AM93" s="108" t="s">
        <v>91</v>
      </c>
      <c r="AN93" s="108" t="s">
        <v>127</v>
      </c>
      <c r="AO93" s="108" t="s">
        <v>94</v>
      </c>
      <c r="AP93" s="108" t="s">
        <v>91</v>
      </c>
      <c r="AQ93" s="134" t="s">
        <v>132</v>
      </c>
    </row>
    <row r="94" spans="1:43" outlineLevel="1" x14ac:dyDescent="0.2">
      <c r="A94" s="28" t="s">
        <v>5</v>
      </c>
      <c r="B94" s="43">
        <f>SUMIF(SUPPORTO_punti!S:S,A94,SUPPORTO_punti!T:T)+SUPPORTO_pareggi!Q35</f>
        <v>33</v>
      </c>
      <c r="C94" s="44">
        <f t="shared" si="29"/>
        <v>37</v>
      </c>
      <c r="D94" s="44">
        <v>6</v>
      </c>
      <c r="E94" s="43">
        <f t="shared" si="32"/>
        <v>0.5</v>
      </c>
      <c r="F94" s="43">
        <f t="shared" si="30"/>
        <v>0.44594594594594594</v>
      </c>
      <c r="G94" s="45">
        <f t="shared" si="31"/>
        <v>1.7837837837837838</v>
      </c>
      <c r="I94" s="1" t="s">
        <v>5</v>
      </c>
      <c r="J94" s="3"/>
      <c r="K94" s="4"/>
      <c r="L94" s="4"/>
      <c r="M94" s="4"/>
      <c r="N94" s="4"/>
      <c r="O94" s="4"/>
      <c r="P94" s="108" t="s">
        <v>128</v>
      </c>
      <c r="Q94" s="108">
        <v>1</v>
      </c>
      <c r="R94" s="108" t="s">
        <v>92</v>
      </c>
      <c r="S94" s="134" t="s">
        <v>101</v>
      </c>
      <c r="U94" s="1" t="s">
        <v>5</v>
      </c>
      <c r="V94" s="3"/>
      <c r="W94" s="4"/>
      <c r="X94" s="4"/>
      <c r="Y94" s="4"/>
      <c r="Z94" s="4"/>
      <c r="AA94" s="4"/>
      <c r="AB94" s="108" t="s">
        <v>128</v>
      </c>
      <c r="AC94" s="108" t="s">
        <v>103</v>
      </c>
      <c r="AD94" s="108" t="s">
        <v>92</v>
      </c>
      <c r="AE94" s="134" t="s">
        <v>132</v>
      </c>
      <c r="AG94" s="1" t="s">
        <v>5</v>
      </c>
      <c r="AH94" s="3"/>
      <c r="AI94" s="4"/>
      <c r="AJ94" s="4"/>
      <c r="AK94" s="4"/>
      <c r="AL94" s="4"/>
      <c r="AM94" s="4"/>
      <c r="AN94" s="108" t="s">
        <v>128</v>
      </c>
      <c r="AO94" s="108" t="s">
        <v>103</v>
      </c>
      <c r="AP94" s="108" t="s">
        <v>92</v>
      </c>
      <c r="AQ94" s="134" t="s">
        <v>133</v>
      </c>
    </row>
    <row r="95" spans="1:43" outlineLevel="1" x14ac:dyDescent="0.2">
      <c r="A95" s="28" t="s">
        <v>6</v>
      </c>
      <c r="B95" s="43">
        <f>SUMIF(SUPPORTO_punti!S:S,A95,SUPPORTO_punti!T:T)+SUPPORTO_pareggi!Q41</f>
        <v>0</v>
      </c>
      <c r="C95" s="44">
        <f t="shared" si="29"/>
        <v>33</v>
      </c>
      <c r="D95" s="44">
        <v>7</v>
      </c>
      <c r="E95" s="43">
        <f t="shared" si="32"/>
        <v>0.44594594594594594</v>
      </c>
      <c r="F95" s="43">
        <f t="shared" si="30"/>
        <v>0</v>
      </c>
      <c r="G95" s="45">
        <f t="shared" si="31"/>
        <v>0</v>
      </c>
      <c r="I95" s="1" t="s">
        <v>6</v>
      </c>
      <c r="J95" s="3"/>
      <c r="K95" s="4"/>
      <c r="L95" s="4"/>
      <c r="M95" s="4"/>
      <c r="N95" s="4"/>
      <c r="O95" s="4"/>
      <c r="P95" s="4"/>
      <c r="Q95" s="108" t="s">
        <v>130</v>
      </c>
      <c r="R95" s="108" t="s">
        <v>131</v>
      </c>
      <c r="S95" s="134" t="s">
        <v>136</v>
      </c>
      <c r="U95" s="1" t="s">
        <v>6</v>
      </c>
      <c r="V95" s="3"/>
      <c r="W95" s="4"/>
      <c r="X95" s="4"/>
      <c r="Y95" s="4"/>
      <c r="Z95" s="4"/>
      <c r="AA95" s="4"/>
      <c r="AB95" s="4"/>
      <c r="AC95" s="108" t="s">
        <v>130</v>
      </c>
      <c r="AD95" s="108" t="s">
        <v>131</v>
      </c>
      <c r="AE95" s="134" t="s">
        <v>136</v>
      </c>
      <c r="AG95" s="1" t="s">
        <v>6</v>
      </c>
      <c r="AH95" s="3"/>
      <c r="AI95" s="4"/>
      <c r="AJ95" s="4"/>
      <c r="AK95" s="4"/>
      <c r="AL95" s="4"/>
      <c r="AM95" s="4"/>
      <c r="AN95" s="4"/>
      <c r="AO95" s="108" t="s">
        <v>130</v>
      </c>
      <c r="AP95" s="108" t="s">
        <v>131</v>
      </c>
      <c r="AQ95" s="134" t="s">
        <v>136</v>
      </c>
    </row>
    <row r="96" spans="1:43" outlineLevel="1" x14ac:dyDescent="0.2">
      <c r="A96" s="28" t="s">
        <v>7</v>
      </c>
      <c r="B96" s="43">
        <f>SUMIF(SUPPORTO_punti!S:S,A96,SUPPORTO_punti!T:T)+SUPPORTO_pareggi!Q47</f>
        <v>60</v>
      </c>
      <c r="C96" s="44">
        <f t="shared" si="29"/>
        <v>31</v>
      </c>
      <c r="D96" s="44">
        <v>8</v>
      </c>
      <c r="E96" s="43">
        <f t="shared" si="32"/>
        <v>0.41891891891891891</v>
      </c>
      <c r="F96" s="43">
        <f t="shared" si="30"/>
        <v>0.81081081081081086</v>
      </c>
      <c r="G96" s="45">
        <f t="shared" si="31"/>
        <v>3.2432432432432434</v>
      </c>
      <c r="I96" s="1" t="s">
        <v>7</v>
      </c>
      <c r="J96" s="3"/>
      <c r="K96" s="4"/>
      <c r="L96" s="4"/>
      <c r="M96" s="4"/>
      <c r="N96" s="4"/>
      <c r="O96" s="4"/>
      <c r="P96" s="4"/>
      <c r="Q96" s="4"/>
      <c r="R96" s="108" t="s">
        <v>94</v>
      </c>
      <c r="S96" s="134" t="s">
        <v>103</v>
      </c>
      <c r="U96" s="1" t="s">
        <v>7</v>
      </c>
      <c r="V96" s="3"/>
      <c r="W96" s="4"/>
      <c r="X96" s="4"/>
      <c r="Y96" s="4"/>
      <c r="Z96" s="4"/>
      <c r="AA96" s="4"/>
      <c r="AB96" s="4"/>
      <c r="AC96" s="4"/>
      <c r="AD96" s="108" t="s">
        <v>112</v>
      </c>
      <c r="AE96" s="134">
        <v>1</v>
      </c>
      <c r="AG96" s="1" t="s">
        <v>7</v>
      </c>
      <c r="AH96" s="3"/>
      <c r="AI96" s="4"/>
      <c r="AJ96" s="4"/>
      <c r="AK96" s="4"/>
      <c r="AL96" s="4"/>
      <c r="AM96" s="4"/>
      <c r="AN96" s="4"/>
      <c r="AO96" s="4"/>
      <c r="AP96" s="108" t="s">
        <v>112</v>
      </c>
      <c r="AQ96" s="134">
        <v>1</v>
      </c>
    </row>
    <row r="97" spans="1:43" outlineLevel="1" x14ac:dyDescent="0.2">
      <c r="A97" s="28" t="s">
        <v>8</v>
      </c>
      <c r="B97" s="43">
        <f>SUMIF(SUPPORTO_punti!S:S,A97,SUPPORTO_punti!T:T)+SUPPORTO_pareggi!Q53</f>
        <v>23</v>
      </c>
      <c r="C97" s="44">
        <f t="shared" si="29"/>
        <v>23</v>
      </c>
      <c r="D97" s="44">
        <v>9</v>
      </c>
      <c r="E97" s="43">
        <f t="shared" si="32"/>
        <v>0.3108108108108108</v>
      </c>
      <c r="F97" s="43">
        <f t="shared" si="30"/>
        <v>0.3108108108108108</v>
      </c>
      <c r="G97" s="45">
        <f t="shared" si="31"/>
        <v>1.2432432432432432</v>
      </c>
      <c r="I97" s="1" t="s">
        <v>8</v>
      </c>
      <c r="J97" s="3"/>
      <c r="K97" s="4"/>
      <c r="L97" s="4"/>
      <c r="M97" s="4"/>
      <c r="N97" s="4"/>
      <c r="O97" s="4"/>
      <c r="P97" s="4"/>
      <c r="Q97" s="4"/>
      <c r="R97" s="4"/>
      <c r="S97" s="134" t="s">
        <v>95</v>
      </c>
      <c r="U97" s="1" t="s">
        <v>8</v>
      </c>
      <c r="V97" s="3"/>
      <c r="W97" s="4"/>
      <c r="X97" s="4"/>
      <c r="Y97" s="4"/>
      <c r="Z97" s="4"/>
      <c r="AA97" s="4"/>
      <c r="AB97" s="4"/>
      <c r="AC97" s="4"/>
      <c r="AD97" s="4"/>
      <c r="AE97" s="134" t="s">
        <v>133</v>
      </c>
      <c r="AG97" s="1" t="s">
        <v>8</v>
      </c>
      <c r="AH97" s="3"/>
      <c r="AI97" s="4"/>
      <c r="AJ97" s="4"/>
      <c r="AK97" s="4"/>
      <c r="AL97" s="4"/>
      <c r="AM97" s="4"/>
      <c r="AN97" s="4"/>
      <c r="AO97" s="4"/>
      <c r="AP97" s="4"/>
      <c r="AQ97" s="134" t="s">
        <v>134</v>
      </c>
    </row>
    <row r="98" spans="1:43" outlineLevel="1" x14ac:dyDescent="0.2">
      <c r="A98" s="29" t="s">
        <v>9</v>
      </c>
      <c r="B98" s="43">
        <f>SUMIF(SUPPORTO_punti!S:S,A98,SUPPORTO_punti!T:T)+SUPPORTO_pareggi!Q59</f>
        <v>52</v>
      </c>
      <c r="C98" s="44">
        <f t="shared" si="29"/>
        <v>0</v>
      </c>
      <c r="D98" s="44">
        <v>10</v>
      </c>
      <c r="E98" s="43">
        <f t="shared" si="32"/>
        <v>0</v>
      </c>
      <c r="F98" s="43">
        <f t="shared" si="30"/>
        <v>0.70270270270270274</v>
      </c>
      <c r="G98" s="45">
        <f t="shared" si="31"/>
        <v>2.810810810810811</v>
      </c>
      <c r="I98" s="1" t="s">
        <v>9</v>
      </c>
      <c r="J98" s="3"/>
      <c r="K98" s="4"/>
      <c r="L98" s="4"/>
      <c r="M98" s="4"/>
      <c r="N98" s="4"/>
      <c r="O98" s="4"/>
      <c r="P98" s="4"/>
      <c r="Q98" s="4"/>
      <c r="R98" s="4"/>
      <c r="S98" s="4"/>
      <c r="U98" s="1" t="s">
        <v>9</v>
      </c>
      <c r="V98" s="3"/>
      <c r="W98" s="4"/>
      <c r="X98" s="4"/>
      <c r="Y98" s="4"/>
      <c r="Z98" s="4"/>
      <c r="AA98" s="4"/>
      <c r="AB98" s="4" t="s">
        <v>168</v>
      </c>
      <c r="AC98" s="4"/>
      <c r="AD98" s="4"/>
      <c r="AE98" s="4"/>
      <c r="AG98" s="1" t="s">
        <v>9</v>
      </c>
      <c r="AH98" s="3"/>
      <c r="AI98" s="4"/>
      <c r="AJ98" s="4"/>
      <c r="AK98" s="4"/>
      <c r="AL98" s="4"/>
      <c r="AM98" s="4"/>
      <c r="AN98" s="4"/>
      <c r="AO98" s="4"/>
      <c r="AP98" s="4"/>
      <c r="AQ98" s="4"/>
    </row>
    <row r="99" spans="1:43" x14ac:dyDescent="0.2">
      <c r="A99" s="24" t="str">
        <f>'MAIN REPORT'!A14</f>
        <v>1. Quality aspect 9</v>
      </c>
      <c r="B99" s="5"/>
      <c r="C99" s="5"/>
      <c r="D99" s="5"/>
      <c r="E99" s="5"/>
      <c r="F99" s="22"/>
      <c r="G99" s="23">
        <f>'MAIN REPORT'!B14</f>
        <v>4</v>
      </c>
      <c r="I99" s="24" t="str">
        <f>A99</f>
        <v>1. Quality aspect 9</v>
      </c>
      <c r="J99" s="5"/>
      <c r="K99" s="5"/>
      <c r="L99" s="5"/>
      <c r="M99" s="5"/>
      <c r="N99" s="5"/>
      <c r="O99" s="5"/>
      <c r="P99" s="5"/>
      <c r="Q99" s="5"/>
      <c r="R99" s="5"/>
      <c r="S99" s="5"/>
      <c r="U99" s="24" t="str">
        <f>A99</f>
        <v>1. Quality aspect 9</v>
      </c>
      <c r="V99" s="5"/>
      <c r="W99" s="5"/>
      <c r="X99" s="5"/>
      <c r="Y99" s="5"/>
      <c r="Z99" s="5"/>
      <c r="AA99" s="5"/>
      <c r="AB99" s="5"/>
      <c r="AC99" s="5"/>
      <c r="AD99" s="5"/>
      <c r="AE99" s="5"/>
      <c r="AG99" s="24" t="str">
        <f>A99</f>
        <v>1. Quality aspect 9</v>
      </c>
      <c r="AH99" s="5"/>
      <c r="AI99" s="5"/>
      <c r="AJ99" s="5"/>
      <c r="AK99" s="5"/>
      <c r="AL99" s="5"/>
      <c r="AM99" s="5"/>
      <c r="AN99" s="5"/>
      <c r="AO99" s="5"/>
      <c r="AP99" s="5"/>
      <c r="AQ99" s="5"/>
    </row>
    <row r="100" spans="1:43" ht="16" outlineLevel="1" thickBot="1" x14ac:dyDescent="0.25">
      <c r="A100" s="40" t="s">
        <v>139</v>
      </c>
      <c r="B100" s="41" t="s">
        <v>138</v>
      </c>
      <c r="C100" s="41"/>
      <c r="D100" s="41"/>
      <c r="E100" s="41"/>
      <c r="F100" s="41" t="s">
        <v>218</v>
      </c>
      <c r="G100" s="42" t="s">
        <v>217</v>
      </c>
      <c r="I100" s="39"/>
      <c r="J100" s="1" t="s">
        <v>1</v>
      </c>
      <c r="K100" s="1" t="s">
        <v>2</v>
      </c>
      <c r="L100" s="1" t="s">
        <v>3</v>
      </c>
      <c r="M100" s="1" t="s">
        <v>0</v>
      </c>
      <c r="N100" s="1" t="s">
        <v>4</v>
      </c>
      <c r="O100" s="1" t="s">
        <v>5</v>
      </c>
      <c r="P100" s="1" t="s">
        <v>6</v>
      </c>
      <c r="Q100" s="1" t="s">
        <v>7</v>
      </c>
      <c r="R100" s="1" t="s">
        <v>8</v>
      </c>
      <c r="S100" s="1" t="s">
        <v>9</v>
      </c>
      <c r="U100" s="39"/>
      <c r="V100" s="1" t="s">
        <v>1</v>
      </c>
      <c r="W100" s="1" t="s">
        <v>2</v>
      </c>
      <c r="X100" s="1" t="s">
        <v>3</v>
      </c>
      <c r="Y100" s="1" t="s">
        <v>0</v>
      </c>
      <c r="Z100" s="1" t="s">
        <v>4</v>
      </c>
      <c r="AA100" s="1" t="s">
        <v>5</v>
      </c>
      <c r="AB100" s="1" t="s">
        <v>6</v>
      </c>
      <c r="AC100" s="1" t="s">
        <v>7</v>
      </c>
      <c r="AD100" s="1" t="s">
        <v>8</v>
      </c>
      <c r="AE100" s="1" t="s">
        <v>9</v>
      </c>
      <c r="AG100" s="39"/>
      <c r="AH100" s="1" t="s">
        <v>1</v>
      </c>
      <c r="AI100" s="1" t="s">
        <v>2</v>
      </c>
      <c r="AJ100" s="1" t="s">
        <v>3</v>
      </c>
      <c r="AK100" s="1" t="s">
        <v>0</v>
      </c>
      <c r="AL100" s="1" t="s">
        <v>4</v>
      </c>
      <c r="AM100" s="1" t="s">
        <v>5</v>
      </c>
      <c r="AN100" s="1" t="s">
        <v>6</v>
      </c>
      <c r="AO100" s="1" t="s">
        <v>7</v>
      </c>
      <c r="AP100" s="1" t="s">
        <v>8</v>
      </c>
      <c r="AQ100" s="1" t="s">
        <v>9</v>
      </c>
    </row>
    <row r="101" spans="1:43" outlineLevel="1" x14ac:dyDescent="0.2">
      <c r="A101" s="28" t="s">
        <v>1</v>
      </c>
      <c r="B101" s="43">
        <f>SUMIF(SUPPORTO_punti!U:U,A101,SUPPORTO_punti!V:V)+SUPPORTO_pareggi!S5</f>
        <v>39</v>
      </c>
      <c r="C101" s="44">
        <f t="shared" ref="C101:C110" si="33">LARGE($B$101:$B$110,D101)</f>
        <v>61</v>
      </c>
      <c r="D101" s="44">
        <v>1</v>
      </c>
      <c r="E101" s="43">
        <f>IF(SUM(B101:B110)=0,0,D101)</f>
        <v>1</v>
      </c>
      <c r="F101" s="43">
        <f t="shared" ref="F101:F110" si="34">VLOOKUP(B101,$C$101:$E$110,3,FALSE)</f>
        <v>0.63934426229508201</v>
      </c>
      <c r="G101" s="45">
        <f>G$99*F101</f>
        <v>2.557377049180328</v>
      </c>
      <c r="I101" s="1" t="s">
        <v>1</v>
      </c>
      <c r="J101" s="2"/>
      <c r="K101" s="107" t="s">
        <v>88</v>
      </c>
      <c r="L101" s="107" t="s">
        <v>89</v>
      </c>
      <c r="M101" s="107" t="s">
        <v>90</v>
      </c>
      <c r="N101" s="107" t="s">
        <v>91</v>
      </c>
      <c r="O101" s="107" t="s">
        <v>92</v>
      </c>
      <c r="P101" s="107" t="s">
        <v>87</v>
      </c>
      <c r="Q101" s="107" t="s">
        <v>103</v>
      </c>
      <c r="R101" s="107" t="s">
        <v>96</v>
      </c>
      <c r="S101" s="133" t="s">
        <v>96</v>
      </c>
      <c r="U101" s="1" t="s">
        <v>1</v>
      </c>
      <c r="V101" s="2"/>
      <c r="W101" s="107">
        <v>1</v>
      </c>
      <c r="X101" s="107" t="s">
        <v>87</v>
      </c>
      <c r="Y101" s="107">
        <v>1</v>
      </c>
      <c r="Z101" s="107" t="s">
        <v>87</v>
      </c>
      <c r="AA101" s="107" t="s">
        <v>87</v>
      </c>
      <c r="AB101" s="107" t="s">
        <v>96</v>
      </c>
      <c r="AC101" s="107">
        <v>1</v>
      </c>
      <c r="AD101" s="107" t="s">
        <v>87</v>
      </c>
      <c r="AE101" s="133" t="s">
        <v>87</v>
      </c>
      <c r="AG101" s="1" t="s">
        <v>1</v>
      </c>
      <c r="AH101" s="2"/>
      <c r="AI101" s="107" t="s">
        <v>87</v>
      </c>
      <c r="AJ101" s="107">
        <v>1</v>
      </c>
      <c r="AK101" s="107" t="s">
        <v>90</v>
      </c>
      <c r="AL101" s="107">
        <v>1</v>
      </c>
      <c r="AM101" s="107" t="s">
        <v>87</v>
      </c>
      <c r="AN101" s="107" t="s">
        <v>105</v>
      </c>
      <c r="AO101" s="107">
        <v>1</v>
      </c>
      <c r="AP101" s="107" t="s">
        <v>96</v>
      </c>
      <c r="AQ101" s="133">
        <v>1</v>
      </c>
    </row>
    <row r="102" spans="1:43" outlineLevel="1" x14ac:dyDescent="0.2">
      <c r="A102" s="28" t="s">
        <v>2</v>
      </c>
      <c r="B102" s="43">
        <f>SUMIF(SUPPORTO_punti!U:U,A102,SUPPORTO_punti!V:V)+SUPPORTO_pareggi!S11</f>
        <v>35</v>
      </c>
      <c r="C102" s="44">
        <f t="shared" si="33"/>
        <v>56</v>
      </c>
      <c r="D102" s="44">
        <v>2</v>
      </c>
      <c r="E102" s="43">
        <f>(C102/$C$101)*$E$101</f>
        <v>0.91803278688524592</v>
      </c>
      <c r="F102" s="43">
        <f t="shared" si="34"/>
        <v>0.57377049180327866</v>
      </c>
      <c r="G102" s="45">
        <f t="shared" ref="G102:G110" si="35">G$99*F102</f>
        <v>2.2950819672131146</v>
      </c>
      <c r="I102" s="1" t="s">
        <v>2</v>
      </c>
      <c r="J102" s="3"/>
      <c r="K102" s="4"/>
      <c r="L102" s="108" t="s">
        <v>88</v>
      </c>
      <c r="M102" s="108" t="s">
        <v>90</v>
      </c>
      <c r="N102" s="108" t="s">
        <v>88</v>
      </c>
      <c r="O102" s="108">
        <v>1</v>
      </c>
      <c r="P102" s="108" t="s">
        <v>97</v>
      </c>
      <c r="Q102" s="108" t="s">
        <v>94</v>
      </c>
      <c r="R102" s="108" t="s">
        <v>88</v>
      </c>
      <c r="S102" s="134" t="s">
        <v>88</v>
      </c>
      <c r="U102" s="1" t="s">
        <v>2</v>
      </c>
      <c r="V102" s="3"/>
      <c r="W102" s="4"/>
      <c r="X102" s="108" t="s">
        <v>88</v>
      </c>
      <c r="Y102" s="108" t="s">
        <v>90</v>
      </c>
      <c r="Z102" s="108" t="s">
        <v>88</v>
      </c>
      <c r="AA102" s="108" t="s">
        <v>88</v>
      </c>
      <c r="AB102" s="108" t="s">
        <v>106</v>
      </c>
      <c r="AC102" s="108" t="s">
        <v>94</v>
      </c>
      <c r="AD102" s="108" t="s">
        <v>88</v>
      </c>
      <c r="AE102" s="134" t="s">
        <v>88</v>
      </c>
      <c r="AG102" s="1" t="s">
        <v>2</v>
      </c>
      <c r="AH102" s="3"/>
      <c r="AI102" s="4"/>
      <c r="AJ102" s="108" t="s">
        <v>89</v>
      </c>
      <c r="AK102" s="108" t="s">
        <v>99</v>
      </c>
      <c r="AL102" s="108" t="s">
        <v>91</v>
      </c>
      <c r="AM102" s="108">
        <v>1</v>
      </c>
      <c r="AN102" s="108" t="s">
        <v>97</v>
      </c>
      <c r="AO102" s="108" t="s">
        <v>94</v>
      </c>
      <c r="AP102" s="108" t="s">
        <v>88</v>
      </c>
      <c r="AQ102" s="134" t="s">
        <v>132</v>
      </c>
    </row>
    <row r="103" spans="1:43" outlineLevel="1" x14ac:dyDescent="0.2">
      <c r="A103" s="28" t="s">
        <v>3</v>
      </c>
      <c r="B103" s="43">
        <f>SUMIF(SUPPORTO_punti!U:U,A103,SUPPORTO_punti!V:V)+SUPPORTO_pareggi!S17</f>
        <v>43</v>
      </c>
      <c r="C103" s="44">
        <f t="shared" si="33"/>
        <v>43</v>
      </c>
      <c r="D103" s="44">
        <v>3</v>
      </c>
      <c r="E103" s="43">
        <f t="shared" ref="E103:E110" si="36">(C103/$C$101)*$E$101</f>
        <v>0.70491803278688525</v>
      </c>
      <c r="F103" s="43">
        <f t="shared" si="34"/>
        <v>0.70491803278688525</v>
      </c>
      <c r="G103" s="45">
        <f t="shared" si="35"/>
        <v>2.819672131147541</v>
      </c>
      <c r="I103" s="1" t="s">
        <v>3</v>
      </c>
      <c r="J103" s="3"/>
      <c r="K103" s="4"/>
      <c r="L103" s="4"/>
      <c r="M103" s="108" t="s">
        <v>90</v>
      </c>
      <c r="N103" s="108">
        <v>1</v>
      </c>
      <c r="O103" s="108" t="s">
        <v>92</v>
      </c>
      <c r="P103" s="108" t="s">
        <v>98</v>
      </c>
      <c r="Q103" s="108" t="s">
        <v>94</v>
      </c>
      <c r="R103" s="108" t="s">
        <v>107</v>
      </c>
      <c r="S103" s="134" t="s">
        <v>98</v>
      </c>
      <c r="U103" s="1" t="s">
        <v>3</v>
      </c>
      <c r="V103" s="3"/>
      <c r="W103" s="4"/>
      <c r="X103" s="4"/>
      <c r="Y103" s="108">
        <v>1</v>
      </c>
      <c r="Z103" s="108">
        <v>1</v>
      </c>
      <c r="AA103" s="108" t="s">
        <v>89</v>
      </c>
      <c r="AB103" s="108" t="s">
        <v>107</v>
      </c>
      <c r="AC103" s="108" t="s">
        <v>94</v>
      </c>
      <c r="AD103" s="108" t="s">
        <v>89</v>
      </c>
      <c r="AE103" s="134" t="s">
        <v>98</v>
      </c>
      <c r="AG103" s="1" t="s">
        <v>3</v>
      </c>
      <c r="AH103" s="3"/>
      <c r="AI103" s="4"/>
      <c r="AJ103" s="4"/>
      <c r="AK103" s="108" t="s">
        <v>89</v>
      </c>
      <c r="AL103" s="108">
        <v>1</v>
      </c>
      <c r="AM103" s="108" t="s">
        <v>89</v>
      </c>
      <c r="AN103" s="108" t="s">
        <v>107</v>
      </c>
      <c r="AO103" s="108">
        <v>1</v>
      </c>
      <c r="AP103" s="108" t="s">
        <v>98</v>
      </c>
      <c r="AQ103" s="134">
        <v>1</v>
      </c>
    </row>
    <row r="104" spans="1:43" outlineLevel="1" x14ac:dyDescent="0.2">
      <c r="A104" s="28" t="s">
        <v>0</v>
      </c>
      <c r="B104" s="43">
        <f>SUMIF(SUPPORTO_punti!U:U,A104,SUPPORTO_punti!V:V)+SUPPORTO_pareggi!S23</f>
        <v>61</v>
      </c>
      <c r="C104" s="44">
        <f t="shared" si="33"/>
        <v>42</v>
      </c>
      <c r="D104" s="44">
        <v>4</v>
      </c>
      <c r="E104" s="43">
        <f t="shared" si="36"/>
        <v>0.68852459016393441</v>
      </c>
      <c r="F104" s="43">
        <f t="shared" si="34"/>
        <v>1</v>
      </c>
      <c r="G104" s="45">
        <f t="shared" si="35"/>
        <v>4</v>
      </c>
      <c r="I104" s="1" t="s">
        <v>0</v>
      </c>
      <c r="J104" s="3"/>
      <c r="K104" s="4"/>
      <c r="L104" s="4"/>
      <c r="M104" s="4"/>
      <c r="N104" s="108" t="s">
        <v>90</v>
      </c>
      <c r="O104" s="108">
        <v>1</v>
      </c>
      <c r="P104" s="108" t="s">
        <v>99</v>
      </c>
      <c r="Q104" s="108" t="s">
        <v>94</v>
      </c>
      <c r="R104" s="108" t="s">
        <v>108</v>
      </c>
      <c r="S104" s="134" t="s">
        <v>99</v>
      </c>
      <c r="U104" s="1" t="s">
        <v>0</v>
      </c>
      <c r="V104" s="3"/>
      <c r="W104" s="4"/>
      <c r="X104" s="4"/>
      <c r="Y104" s="4"/>
      <c r="Z104" s="108" t="s">
        <v>90</v>
      </c>
      <c r="AA104" s="108" t="s">
        <v>90</v>
      </c>
      <c r="AB104" s="108" t="s">
        <v>117</v>
      </c>
      <c r="AC104" s="108" t="s">
        <v>90</v>
      </c>
      <c r="AD104" s="108" t="s">
        <v>90</v>
      </c>
      <c r="AE104" s="134" t="s">
        <v>90</v>
      </c>
      <c r="AG104" s="1" t="s">
        <v>0</v>
      </c>
      <c r="AH104" s="3"/>
      <c r="AI104" s="4"/>
      <c r="AJ104" s="4"/>
      <c r="AK104" s="4"/>
      <c r="AL104" s="108" t="s">
        <v>90</v>
      </c>
      <c r="AM104" s="108" t="s">
        <v>99</v>
      </c>
      <c r="AN104" s="108" t="s">
        <v>117</v>
      </c>
      <c r="AO104" s="108" t="s">
        <v>90</v>
      </c>
      <c r="AP104" s="108" t="s">
        <v>108</v>
      </c>
      <c r="AQ104" s="134" t="s">
        <v>90</v>
      </c>
    </row>
    <row r="105" spans="1:43" outlineLevel="1" x14ac:dyDescent="0.2">
      <c r="A105" s="28" t="s">
        <v>4</v>
      </c>
      <c r="B105" s="43">
        <f>SUMIF(SUPPORTO_punti!U:U,A105,SUPPORTO_punti!V:V)+SUPPORTO_pareggi!S29</f>
        <v>42</v>
      </c>
      <c r="C105" s="44">
        <f t="shared" si="33"/>
        <v>39</v>
      </c>
      <c r="D105" s="44">
        <v>5</v>
      </c>
      <c r="E105" s="43">
        <f t="shared" si="36"/>
        <v>0.63934426229508201</v>
      </c>
      <c r="F105" s="43">
        <f t="shared" si="34"/>
        <v>0.68852459016393441</v>
      </c>
      <c r="G105" s="45">
        <f t="shared" si="35"/>
        <v>2.7540983606557377</v>
      </c>
      <c r="I105" s="1" t="s">
        <v>4</v>
      </c>
      <c r="J105" s="3"/>
      <c r="K105" s="4"/>
      <c r="L105" s="4"/>
      <c r="M105" s="4"/>
      <c r="N105" s="4"/>
      <c r="O105" s="108" t="s">
        <v>92</v>
      </c>
      <c r="P105" s="108" t="s">
        <v>100</v>
      </c>
      <c r="Q105" s="108" t="s">
        <v>94</v>
      </c>
      <c r="R105" s="108" t="s">
        <v>100</v>
      </c>
      <c r="S105" s="134" t="s">
        <v>100</v>
      </c>
      <c r="U105" s="1" t="s">
        <v>4</v>
      </c>
      <c r="V105" s="3"/>
      <c r="W105" s="4"/>
      <c r="X105" s="4"/>
      <c r="Y105" s="4"/>
      <c r="Z105" s="4"/>
      <c r="AA105" s="108" t="s">
        <v>100</v>
      </c>
      <c r="AB105" s="108" t="s">
        <v>109</v>
      </c>
      <c r="AC105" s="108">
        <v>1</v>
      </c>
      <c r="AD105" s="108" t="s">
        <v>100</v>
      </c>
      <c r="AE105" s="134" t="s">
        <v>100</v>
      </c>
      <c r="AG105" s="1" t="s">
        <v>4</v>
      </c>
      <c r="AH105" s="3"/>
      <c r="AI105" s="4"/>
      <c r="AJ105" s="4"/>
      <c r="AK105" s="4"/>
      <c r="AL105" s="4"/>
      <c r="AM105" s="108" t="s">
        <v>91</v>
      </c>
      <c r="AN105" s="108" t="s">
        <v>109</v>
      </c>
      <c r="AO105" s="108">
        <v>1</v>
      </c>
      <c r="AP105" s="108" t="s">
        <v>100</v>
      </c>
      <c r="AQ105" s="134">
        <v>1</v>
      </c>
    </row>
    <row r="106" spans="1:43" outlineLevel="1" x14ac:dyDescent="0.2">
      <c r="A106" s="28" t="s">
        <v>5</v>
      </c>
      <c r="B106" s="43">
        <f>SUMIF(SUPPORTO_punti!U:U,A106,SUPPORTO_punti!V:V)+SUPPORTO_pareggi!S35</f>
        <v>31</v>
      </c>
      <c r="C106" s="44">
        <f t="shared" si="33"/>
        <v>35</v>
      </c>
      <c r="D106" s="44">
        <v>6</v>
      </c>
      <c r="E106" s="43">
        <f t="shared" si="36"/>
        <v>0.57377049180327866</v>
      </c>
      <c r="F106" s="43">
        <f t="shared" si="34"/>
        <v>0.50819672131147542</v>
      </c>
      <c r="G106" s="45">
        <f t="shared" si="35"/>
        <v>2.0327868852459017</v>
      </c>
      <c r="I106" s="1" t="s">
        <v>5</v>
      </c>
      <c r="J106" s="3"/>
      <c r="K106" s="4"/>
      <c r="L106" s="4"/>
      <c r="M106" s="4"/>
      <c r="N106" s="4"/>
      <c r="O106" s="4"/>
      <c r="P106" s="108" t="s">
        <v>101</v>
      </c>
      <c r="Q106" s="108" t="s">
        <v>94</v>
      </c>
      <c r="R106" s="108" t="s">
        <v>110</v>
      </c>
      <c r="S106" s="134" t="s">
        <v>101</v>
      </c>
      <c r="U106" s="1" t="s">
        <v>5</v>
      </c>
      <c r="V106" s="3"/>
      <c r="W106" s="4"/>
      <c r="X106" s="4"/>
      <c r="Y106" s="4"/>
      <c r="Z106" s="4"/>
      <c r="AA106" s="4"/>
      <c r="AB106" s="108" t="s">
        <v>101</v>
      </c>
      <c r="AC106" s="108" t="s">
        <v>103</v>
      </c>
      <c r="AD106" s="108" t="s">
        <v>92</v>
      </c>
      <c r="AE106" s="134" t="s">
        <v>92</v>
      </c>
      <c r="AG106" s="1" t="s">
        <v>5</v>
      </c>
      <c r="AH106" s="3"/>
      <c r="AI106" s="4"/>
      <c r="AJ106" s="4"/>
      <c r="AK106" s="4"/>
      <c r="AL106" s="4"/>
      <c r="AM106" s="4"/>
      <c r="AN106" s="108" t="s">
        <v>101</v>
      </c>
      <c r="AO106" s="108" t="s">
        <v>94</v>
      </c>
      <c r="AP106" s="108" t="s">
        <v>92</v>
      </c>
      <c r="AQ106" s="134" t="s">
        <v>132</v>
      </c>
    </row>
    <row r="107" spans="1:43" outlineLevel="1" x14ac:dyDescent="0.2">
      <c r="A107" s="28" t="s">
        <v>6</v>
      </c>
      <c r="B107" s="43">
        <f>SUMIF(SUPPORTO_punti!U:U,A107,SUPPORTO_punti!V:V)+SUPPORTO_pareggi!S41</f>
        <v>3</v>
      </c>
      <c r="C107" s="44">
        <f t="shared" si="33"/>
        <v>31</v>
      </c>
      <c r="D107" s="44">
        <v>7</v>
      </c>
      <c r="E107" s="43">
        <f t="shared" si="36"/>
        <v>0.50819672131147542</v>
      </c>
      <c r="F107" s="43">
        <f t="shared" si="34"/>
        <v>4.9180327868852458E-2</v>
      </c>
      <c r="G107" s="45">
        <f t="shared" si="35"/>
        <v>0.19672131147540983</v>
      </c>
      <c r="I107" s="1" t="s">
        <v>6</v>
      </c>
      <c r="J107" s="3"/>
      <c r="K107" s="4"/>
      <c r="L107" s="4"/>
      <c r="M107" s="4"/>
      <c r="N107" s="4"/>
      <c r="O107" s="4"/>
      <c r="P107" s="4"/>
      <c r="Q107" s="108" t="s">
        <v>112</v>
      </c>
      <c r="R107" s="108" t="s">
        <v>93</v>
      </c>
      <c r="S107" s="134">
        <v>1</v>
      </c>
      <c r="U107" s="1" t="s">
        <v>6</v>
      </c>
      <c r="V107" s="3"/>
      <c r="W107" s="4"/>
      <c r="X107" s="4"/>
      <c r="Y107" s="4"/>
      <c r="Z107" s="4"/>
      <c r="AA107" s="4"/>
      <c r="AB107" s="4"/>
      <c r="AC107" s="108" t="s">
        <v>112</v>
      </c>
      <c r="AD107" s="108" t="s">
        <v>113</v>
      </c>
      <c r="AE107" s="134" t="s">
        <v>134</v>
      </c>
      <c r="AG107" s="1" t="s">
        <v>6</v>
      </c>
      <c r="AH107" s="3"/>
      <c r="AI107" s="4"/>
      <c r="AJ107" s="4"/>
      <c r="AK107" s="4"/>
      <c r="AL107" s="4"/>
      <c r="AM107" s="4"/>
      <c r="AN107" s="4"/>
      <c r="AO107" s="108" t="s">
        <v>112</v>
      </c>
      <c r="AP107" s="108" t="s">
        <v>95</v>
      </c>
      <c r="AQ107" s="134" t="s">
        <v>134</v>
      </c>
    </row>
    <row r="108" spans="1:43" outlineLevel="1" x14ac:dyDescent="0.2">
      <c r="A108" s="28" t="s">
        <v>7</v>
      </c>
      <c r="B108" s="43">
        <f>SUMIF(SUPPORTO_punti!U:U,A108,SUPPORTO_punti!V:V)+SUPPORTO_pareggi!S47</f>
        <v>56</v>
      </c>
      <c r="C108" s="44">
        <f t="shared" si="33"/>
        <v>23</v>
      </c>
      <c r="D108" s="44">
        <v>8</v>
      </c>
      <c r="E108" s="43">
        <f t="shared" si="36"/>
        <v>0.37704918032786883</v>
      </c>
      <c r="F108" s="43">
        <f t="shared" si="34"/>
        <v>0.91803278688524592</v>
      </c>
      <c r="G108" s="45">
        <f t="shared" si="35"/>
        <v>3.6721311475409837</v>
      </c>
      <c r="I108" s="1" t="s">
        <v>7</v>
      </c>
      <c r="J108" s="3"/>
      <c r="K108" s="4"/>
      <c r="L108" s="4"/>
      <c r="M108" s="4"/>
      <c r="N108" s="4"/>
      <c r="O108" s="4"/>
      <c r="P108" s="4"/>
      <c r="Q108" s="4"/>
      <c r="R108" s="108" t="s">
        <v>112</v>
      </c>
      <c r="S108" s="134" t="s">
        <v>103</v>
      </c>
      <c r="U108" s="1" t="s">
        <v>7</v>
      </c>
      <c r="V108" s="3"/>
      <c r="W108" s="4"/>
      <c r="X108" s="4"/>
      <c r="Y108" s="4"/>
      <c r="Z108" s="4"/>
      <c r="AA108" s="4"/>
      <c r="AB108" s="4"/>
      <c r="AC108" s="4"/>
      <c r="AD108" s="108" t="s">
        <v>94</v>
      </c>
      <c r="AE108" s="134" t="s">
        <v>94</v>
      </c>
      <c r="AG108" s="1" t="s">
        <v>7</v>
      </c>
      <c r="AH108" s="3"/>
      <c r="AI108" s="4"/>
      <c r="AJ108" s="4"/>
      <c r="AK108" s="4"/>
      <c r="AL108" s="4"/>
      <c r="AM108" s="4"/>
      <c r="AN108" s="4"/>
      <c r="AO108" s="4"/>
      <c r="AP108" s="108" t="s">
        <v>103</v>
      </c>
      <c r="AQ108" s="134">
        <v>1</v>
      </c>
    </row>
    <row r="109" spans="1:43" outlineLevel="1" x14ac:dyDescent="0.2">
      <c r="A109" s="28" t="s">
        <v>8</v>
      </c>
      <c r="B109" s="43">
        <f>SUMIF(SUPPORTO_punti!U:U,A109,SUPPORTO_punti!V:V)+SUPPORTO_pareggi!S53</f>
        <v>7</v>
      </c>
      <c r="C109" s="44">
        <f t="shared" si="33"/>
        <v>7</v>
      </c>
      <c r="D109" s="44">
        <v>9</v>
      </c>
      <c r="E109" s="43">
        <f t="shared" si="36"/>
        <v>0.11475409836065574</v>
      </c>
      <c r="F109" s="43">
        <f t="shared" si="34"/>
        <v>0.11475409836065574</v>
      </c>
      <c r="G109" s="45">
        <f t="shared" si="35"/>
        <v>0.45901639344262296</v>
      </c>
      <c r="I109" s="1" t="s">
        <v>8</v>
      </c>
      <c r="J109" s="3"/>
      <c r="K109" s="4"/>
      <c r="L109" s="4"/>
      <c r="M109" s="4"/>
      <c r="N109" s="4"/>
      <c r="O109" s="4"/>
      <c r="P109" s="4"/>
      <c r="Q109" s="4"/>
      <c r="R109" s="4"/>
      <c r="S109" s="134" t="s">
        <v>132</v>
      </c>
      <c r="U109" s="1" t="s">
        <v>8</v>
      </c>
      <c r="V109" s="3"/>
      <c r="W109" s="4"/>
      <c r="X109" s="4"/>
      <c r="Y109" s="4"/>
      <c r="Z109" s="4"/>
      <c r="AA109" s="4"/>
      <c r="AB109" s="4"/>
      <c r="AC109" s="4"/>
      <c r="AD109" s="4"/>
      <c r="AE109" s="134">
        <v>1</v>
      </c>
      <c r="AG109" s="1" t="s">
        <v>8</v>
      </c>
      <c r="AH109" s="3"/>
      <c r="AI109" s="4"/>
      <c r="AJ109" s="4"/>
      <c r="AK109" s="4"/>
      <c r="AL109" s="4"/>
      <c r="AM109" s="4"/>
      <c r="AN109" s="4"/>
      <c r="AO109" s="4"/>
      <c r="AP109" s="4"/>
      <c r="AQ109" s="134" t="s">
        <v>133</v>
      </c>
    </row>
    <row r="110" spans="1:43" outlineLevel="1" x14ac:dyDescent="0.2">
      <c r="A110" s="29" t="s">
        <v>9</v>
      </c>
      <c r="B110" s="43">
        <f>SUMIF(SUPPORTO_punti!U:U,A110,SUPPORTO_punti!V:V)+SUPPORTO_pareggi!S59</f>
        <v>23</v>
      </c>
      <c r="C110" s="44">
        <f t="shared" si="33"/>
        <v>3</v>
      </c>
      <c r="D110" s="44">
        <v>10</v>
      </c>
      <c r="E110" s="43">
        <f t="shared" si="36"/>
        <v>4.9180327868852458E-2</v>
      </c>
      <c r="F110" s="43">
        <f t="shared" si="34"/>
        <v>0.37704918032786883</v>
      </c>
      <c r="G110" s="45">
        <f t="shared" si="35"/>
        <v>1.5081967213114753</v>
      </c>
      <c r="I110" s="1" t="s">
        <v>9</v>
      </c>
      <c r="J110" s="3"/>
      <c r="K110" s="4"/>
      <c r="L110" s="4"/>
      <c r="M110" s="4"/>
      <c r="N110" s="4"/>
      <c r="O110" s="4"/>
      <c r="P110" s="4"/>
      <c r="Q110" s="4"/>
      <c r="R110" s="4"/>
      <c r="S110" s="4"/>
      <c r="U110" s="1" t="s">
        <v>9</v>
      </c>
      <c r="V110" s="3"/>
      <c r="W110" s="4"/>
      <c r="X110" s="4"/>
      <c r="Y110" s="4"/>
      <c r="Z110" s="4"/>
      <c r="AA110" s="4"/>
      <c r="AB110" s="4"/>
      <c r="AC110" s="4"/>
      <c r="AD110" s="4"/>
      <c r="AE110" s="4"/>
      <c r="AG110" s="1" t="s">
        <v>9</v>
      </c>
      <c r="AH110" s="3"/>
      <c r="AI110" s="4"/>
      <c r="AJ110" s="4"/>
      <c r="AK110" s="4"/>
      <c r="AL110" s="4"/>
      <c r="AM110" s="4"/>
      <c r="AN110" s="4"/>
      <c r="AO110" s="4"/>
      <c r="AP110" s="4"/>
      <c r="AQ110" s="4"/>
    </row>
    <row r="111" spans="1:43" x14ac:dyDescent="0.2">
      <c r="A111" s="24" t="str">
        <f>'MAIN REPORT'!A15</f>
        <v>1. Quality aspect 10</v>
      </c>
      <c r="B111" s="5"/>
      <c r="C111" s="5"/>
      <c r="D111" s="5"/>
      <c r="E111" s="5"/>
      <c r="F111" s="22"/>
      <c r="G111" s="23">
        <f>'MAIN REPORT'!B15</f>
        <v>4</v>
      </c>
      <c r="I111" s="24" t="str">
        <f>A111</f>
        <v>1. Quality aspect 10</v>
      </c>
      <c r="J111" s="5"/>
      <c r="K111" s="5"/>
      <c r="L111" s="5"/>
      <c r="M111" s="5"/>
      <c r="N111" s="5"/>
      <c r="O111" s="5"/>
      <c r="P111" s="5"/>
      <c r="Q111" s="5"/>
      <c r="R111" s="5"/>
      <c r="S111" s="5"/>
      <c r="U111" s="24" t="str">
        <f>A111</f>
        <v>1. Quality aspect 10</v>
      </c>
      <c r="V111" s="5"/>
      <c r="W111" s="5"/>
      <c r="X111" s="5"/>
      <c r="Y111" s="5"/>
      <c r="Z111" s="5"/>
      <c r="AA111" s="5"/>
      <c r="AB111" s="5"/>
      <c r="AC111" s="5"/>
      <c r="AD111" s="5"/>
      <c r="AE111" s="5"/>
      <c r="AG111" s="24" t="str">
        <f>A111</f>
        <v>1. Quality aspect 10</v>
      </c>
      <c r="AH111" s="5"/>
      <c r="AI111" s="5"/>
      <c r="AJ111" s="5"/>
      <c r="AK111" s="5"/>
      <c r="AL111" s="5"/>
      <c r="AM111" s="5"/>
      <c r="AN111" s="5"/>
      <c r="AO111" s="5"/>
      <c r="AP111" s="5"/>
      <c r="AQ111" s="5"/>
    </row>
    <row r="112" spans="1:43" ht="16" outlineLevel="1" thickBot="1" x14ac:dyDescent="0.25">
      <c r="A112" s="40" t="s">
        <v>139</v>
      </c>
      <c r="B112" s="41" t="s">
        <v>138</v>
      </c>
      <c r="C112" s="41"/>
      <c r="D112" s="41"/>
      <c r="E112" s="41"/>
      <c r="F112" s="41" t="s">
        <v>218</v>
      </c>
      <c r="G112" s="42" t="s">
        <v>217</v>
      </c>
      <c r="I112" s="39"/>
      <c r="J112" s="1" t="s">
        <v>1</v>
      </c>
      <c r="K112" s="1" t="s">
        <v>2</v>
      </c>
      <c r="L112" s="1" t="s">
        <v>3</v>
      </c>
      <c r="M112" s="1" t="s">
        <v>0</v>
      </c>
      <c r="N112" s="1" t="s">
        <v>4</v>
      </c>
      <c r="O112" s="1" t="s">
        <v>5</v>
      </c>
      <c r="P112" s="1" t="s">
        <v>6</v>
      </c>
      <c r="Q112" s="1" t="s">
        <v>7</v>
      </c>
      <c r="R112" s="1" t="s">
        <v>8</v>
      </c>
      <c r="S112" s="1" t="s">
        <v>9</v>
      </c>
      <c r="U112" s="39"/>
      <c r="V112" s="1" t="s">
        <v>1</v>
      </c>
      <c r="W112" s="1" t="s">
        <v>2</v>
      </c>
      <c r="X112" s="1" t="s">
        <v>3</v>
      </c>
      <c r="Y112" s="1" t="s">
        <v>0</v>
      </c>
      <c r="Z112" s="1" t="s">
        <v>4</v>
      </c>
      <c r="AA112" s="1" t="s">
        <v>5</v>
      </c>
      <c r="AB112" s="1" t="s">
        <v>6</v>
      </c>
      <c r="AC112" s="1" t="s">
        <v>7</v>
      </c>
      <c r="AD112" s="1" t="s">
        <v>8</v>
      </c>
      <c r="AE112" s="1" t="s">
        <v>9</v>
      </c>
      <c r="AG112" s="39"/>
      <c r="AH112" s="1" t="s">
        <v>1</v>
      </c>
      <c r="AI112" s="1" t="s">
        <v>2</v>
      </c>
      <c r="AJ112" s="1" t="s">
        <v>3</v>
      </c>
      <c r="AK112" s="1" t="s">
        <v>0</v>
      </c>
      <c r="AL112" s="1" t="s">
        <v>4</v>
      </c>
      <c r="AM112" s="1" t="s">
        <v>5</v>
      </c>
      <c r="AN112" s="1" t="s">
        <v>6</v>
      </c>
      <c r="AO112" s="1" t="s">
        <v>7</v>
      </c>
      <c r="AP112" s="1" t="s">
        <v>8</v>
      </c>
      <c r="AQ112" s="1" t="s">
        <v>9</v>
      </c>
    </row>
    <row r="113" spans="1:43" outlineLevel="1" x14ac:dyDescent="0.2">
      <c r="A113" s="28" t="s">
        <v>1</v>
      </c>
      <c r="B113" s="43">
        <f>SUMIF(SUPPORTO_punti!W:W,A113,SUPPORTO_punti!X:X)+SUPPORTO_pareggi!U5</f>
        <v>40</v>
      </c>
      <c r="C113" s="44">
        <f t="shared" ref="C113:C122" si="37">LARGE($B$113:$B$122,D113)</f>
        <v>57</v>
      </c>
      <c r="D113" s="44">
        <v>1</v>
      </c>
      <c r="E113" s="43">
        <f>IF(SUM(B113:B122)=0,0,D113)</f>
        <v>1</v>
      </c>
      <c r="F113" s="43">
        <f t="shared" ref="F113:F122" si="38">VLOOKUP(B113,$C$113:$E$122,3,FALSE)</f>
        <v>0.70175438596491224</v>
      </c>
      <c r="G113" s="45">
        <f>G$111*F113</f>
        <v>2.807017543859649</v>
      </c>
      <c r="I113" s="1" t="s">
        <v>1</v>
      </c>
      <c r="J113" s="2"/>
      <c r="K113" s="107">
        <v>1</v>
      </c>
      <c r="L113" s="107" t="s">
        <v>96</v>
      </c>
      <c r="M113" s="107">
        <v>1</v>
      </c>
      <c r="N113" s="107">
        <v>1</v>
      </c>
      <c r="O113" s="107" t="s">
        <v>87</v>
      </c>
      <c r="P113" s="107" t="s">
        <v>96</v>
      </c>
      <c r="Q113" s="107" t="s">
        <v>94</v>
      </c>
      <c r="R113" s="107">
        <v>1</v>
      </c>
      <c r="S113" s="133" t="s">
        <v>105</v>
      </c>
      <c r="U113" s="1" t="s">
        <v>1</v>
      </c>
      <c r="V113" s="2"/>
      <c r="W113" s="107" t="s">
        <v>87</v>
      </c>
      <c r="X113" s="107" t="s">
        <v>87</v>
      </c>
      <c r="Y113" s="107" t="s">
        <v>87</v>
      </c>
      <c r="Z113" s="107">
        <v>1</v>
      </c>
      <c r="AA113" s="107">
        <v>1</v>
      </c>
      <c r="AB113" s="107" t="s">
        <v>96</v>
      </c>
      <c r="AC113" s="107">
        <v>1</v>
      </c>
      <c r="AD113" s="107">
        <v>1</v>
      </c>
      <c r="AE113" s="133" t="s">
        <v>96</v>
      </c>
      <c r="AG113" s="1" t="s">
        <v>1</v>
      </c>
      <c r="AH113" s="2"/>
      <c r="AI113" s="107">
        <v>1</v>
      </c>
      <c r="AJ113" s="107" t="s">
        <v>87</v>
      </c>
      <c r="AK113" s="107" t="s">
        <v>90</v>
      </c>
      <c r="AL113" s="107" t="s">
        <v>87</v>
      </c>
      <c r="AM113" s="107">
        <v>1</v>
      </c>
      <c r="AN113" s="107">
        <v>1</v>
      </c>
      <c r="AO113" s="107" t="s">
        <v>94</v>
      </c>
      <c r="AP113" s="107" t="s">
        <v>95</v>
      </c>
      <c r="AQ113" s="133">
        <v>1</v>
      </c>
    </row>
    <row r="114" spans="1:43" outlineLevel="1" x14ac:dyDescent="0.2">
      <c r="A114" s="28" t="s">
        <v>2</v>
      </c>
      <c r="B114" s="43">
        <f>SUMIF(SUPPORTO_punti!W:W,A114,SUPPORTO_punti!X:X)+SUPPORTO_pareggi!U11</f>
        <v>32</v>
      </c>
      <c r="C114" s="44">
        <f t="shared" si="37"/>
        <v>48</v>
      </c>
      <c r="D114" s="44">
        <v>2</v>
      </c>
      <c r="E114" s="43">
        <f>(C114/$C$113)*$E$113</f>
        <v>0.84210526315789469</v>
      </c>
      <c r="F114" s="43">
        <f t="shared" si="38"/>
        <v>0.56140350877192979</v>
      </c>
      <c r="G114" s="45">
        <f t="shared" ref="G114:G122" si="39">G$111*F114</f>
        <v>2.2456140350877192</v>
      </c>
      <c r="I114" s="1" t="s">
        <v>2</v>
      </c>
      <c r="J114" s="3"/>
      <c r="K114" s="4"/>
      <c r="L114" s="108" t="s">
        <v>97</v>
      </c>
      <c r="M114" s="108">
        <v>1</v>
      </c>
      <c r="N114" s="108">
        <v>1</v>
      </c>
      <c r="O114" s="108" t="s">
        <v>88</v>
      </c>
      <c r="P114" s="108" t="s">
        <v>97</v>
      </c>
      <c r="Q114" s="108" t="s">
        <v>94</v>
      </c>
      <c r="R114" s="108">
        <v>1</v>
      </c>
      <c r="S114" s="134" t="s">
        <v>97</v>
      </c>
      <c r="U114" s="1" t="s">
        <v>2</v>
      </c>
      <c r="V114" s="3"/>
      <c r="W114" s="4"/>
      <c r="X114" s="108" t="s">
        <v>88</v>
      </c>
      <c r="Y114" s="108" t="s">
        <v>90</v>
      </c>
      <c r="Z114" s="108" t="s">
        <v>91</v>
      </c>
      <c r="AA114" s="108" t="s">
        <v>88</v>
      </c>
      <c r="AB114" s="108" t="s">
        <v>106</v>
      </c>
      <c r="AC114" s="108" t="s">
        <v>94</v>
      </c>
      <c r="AD114" s="108" t="s">
        <v>95</v>
      </c>
      <c r="AE114" s="134">
        <v>1</v>
      </c>
      <c r="AG114" s="1" t="s">
        <v>2</v>
      </c>
      <c r="AH114" s="3"/>
      <c r="AI114" s="4"/>
      <c r="AJ114" s="108" t="s">
        <v>88</v>
      </c>
      <c r="AK114" s="108" t="s">
        <v>90</v>
      </c>
      <c r="AL114" s="108" t="s">
        <v>88</v>
      </c>
      <c r="AM114" s="108">
        <v>1</v>
      </c>
      <c r="AN114" s="108">
        <v>1</v>
      </c>
      <c r="AO114" s="108" t="s">
        <v>94</v>
      </c>
      <c r="AP114" s="108" t="s">
        <v>95</v>
      </c>
      <c r="AQ114" s="134">
        <v>1</v>
      </c>
    </row>
    <row r="115" spans="1:43" outlineLevel="1" x14ac:dyDescent="0.2">
      <c r="A115" s="28" t="s">
        <v>3</v>
      </c>
      <c r="B115" s="43">
        <f>SUMIF(SUPPORTO_punti!W:W,A115,SUPPORTO_punti!X:X)+SUPPORTO_pareggi!U17</f>
        <v>6</v>
      </c>
      <c r="C115" s="44">
        <f t="shared" si="37"/>
        <v>40</v>
      </c>
      <c r="D115" s="44">
        <v>3</v>
      </c>
      <c r="E115" s="43">
        <f t="shared" ref="E115:E122" si="40">(C115/$C$113)*$E$113</f>
        <v>0.70175438596491224</v>
      </c>
      <c r="F115" s="43">
        <f t="shared" si="38"/>
        <v>0.10526315789473684</v>
      </c>
      <c r="G115" s="45">
        <f t="shared" si="39"/>
        <v>0.42105263157894735</v>
      </c>
      <c r="I115" s="1" t="s">
        <v>3</v>
      </c>
      <c r="J115" s="3"/>
      <c r="K115" s="4"/>
      <c r="L115" s="4"/>
      <c r="M115" s="108" t="s">
        <v>99</v>
      </c>
      <c r="N115" s="108" t="s">
        <v>91</v>
      </c>
      <c r="O115" s="108" t="s">
        <v>101</v>
      </c>
      <c r="P115" s="108" t="s">
        <v>93</v>
      </c>
      <c r="Q115" s="108" t="s">
        <v>103</v>
      </c>
      <c r="R115" s="108" t="s">
        <v>95</v>
      </c>
      <c r="S115" s="134" t="s">
        <v>89</v>
      </c>
      <c r="U115" s="1" t="s">
        <v>3</v>
      </c>
      <c r="V115" s="3"/>
      <c r="W115" s="4"/>
      <c r="X115" s="4"/>
      <c r="Y115" s="108">
        <v>1</v>
      </c>
      <c r="Z115" s="108" t="s">
        <v>91</v>
      </c>
      <c r="AA115" s="108">
        <v>1</v>
      </c>
      <c r="AB115" s="108">
        <v>1</v>
      </c>
      <c r="AC115" s="108" t="s">
        <v>94</v>
      </c>
      <c r="AD115" s="108" t="s">
        <v>95</v>
      </c>
      <c r="AE115" s="134" t="s">
        <v>132</v>
      </c>
      <c r="AG115" s="1" t="s">
        <v>3</v>
      </c>
      <c r="AH115" s="3"/>
      <c r="AI115" s="4"/>
      <c r="AJ115" s="4"/>
      <c r="AK115" s="108" t="s">
        <v>99</v>
      </c>
      <c r="AL115" s="108">
        <v>1</v>
      </c>
      <c r="AM115" s="108" t="s">
        <v>92</v>
      </c>
      <c r="AN115" s="108" t="s">
        <v>93</v>
      </c>
      <c r="AO115" s="108" t="s">
        <v>103</v>
      </c>
      <c r="AP115" s="108" t="s">
        <v>104</v>
      </c>
      <c r="AQ115" s="134" t="s">
        <v>132</v>
      </c>
    </row>
    <row r="116" spans="1:43" outlineLevel="1" x14ac:dyDescent="0.2">
      <c r="A116" s="28" t="s">
        <v>0</v>
      </c>
      <c r="B116" s="43">
        <f>SUMIF(SUPPORTO_punti!W:W,A116,SUPPORTO_punti!X:X)+SUPPORTO_pareggi!U23</f>
        <v>40</v>
      </c>
      <c r="C116" s="44">
        <f t="shared" si="37"/>
        <v>40</v>
      </c>
      <c r="D116" s="44">
        <v>4</v>
      </c>
      <c r="E116" s="43">
        <f t="shared" si="40"/>
        <v>0.70175438596491224</v>
      </c>
      <c r="F116" s="43">
        <f t="shared" si="38"/>
        <v>0.70175438596491224</v>
      </c>
      <c r="G116" s="45">
        <f t="shared" si="39"/>
        <v>2.807017543859649</v>
      </c>
      <c r="I116" s="1" t="s">
        <v>0</v>
      </c>
      <c r="J116" s="3"/>
      <c r="K116" s="4"/>
      <c r="L116" s="4"/>
      <c r="M116" s="4"/>
      <c r="N116" s="108">
        <v>1</v>
      </c>
      <c r="O116" s="108" t="s">
        <v>90</v>
      </c>
      <c r="P116" s="108" t="s">
        <v>90</v>
      </c>
      <c r="Q116" s="108" t="s">
        <v>94</v>
      </c>
      <c r="R116" s="108">
        <v>1</v>
      </c>
      <c r="S116" s="134" t="s">
        <v>99</v>
      </c>
      <c r="U116" s="1" t="s">
        <v>0</v>
      </c>
      <c r="V116" s="3"/>
      <c r="W116" s="4"/>
      <c r="X116" s="4"/>
      <c r="Y116" s="4"/>
      <c r="Z116" s="108">
        <v>1</v>
      </c>
      <c r="AA116" s="108">
        <v>1</v>
      </c>
      <c r="AB116" s="108" t="s">
        <v>90</v>
      </c>
      <c r="AC116" s="108" t="s">
        <v>94</v>
      </c>
      <c r="AD116" s="108" t="s">
        <v>95</v>
      </c>
      <c r="AE116" s="134">
        <v>1</v>
      </c>
      <c r="AG116" s="1" t="s">
        <v>0</v>
      </c>
      <c r="AH116" s="3"/>
      <c r="AI116" s="4"/>
      <c r="AJ116" s="4"/>
      <c r="AK116" s="4"/>
      <c r="AL116" s="108" t="s">
        <v>99</v>
      </c>
      <c r="AM116" s="108" t="s">
        <v>90</v>
      </c>
      <c r="AN116" s="108" t="s">
        <v>90</v>
      </c>
      <c r="AO116" s="108">
        <v>1</v>
      </c>
      <c r="AP116" s="108">
        <v>1</v>
      </c>
      <c r="AQ116" s="134" t="s">
        <v>90</v>
      </c>
    </row>
    <row r="117" spans="1:43" outlineLevel="1" x14ac:dyDescent="0.2">
      <c r="A117" s="28" t="s">
        <v>4</v>
      </c>
      <c r="B117" s="43">
        <f>SUMIF(SUPPORTO_punti!W:W,A117,SUPPORTO_punti!X:X)+SUPPORTO_pareggi!U29</f>
        <v>23</v>
      </c>
      <c r="C117" s="44">
        <f t="shared" si="37"/>
        <v>32</v>
      </c>
      <c r="D117" s="44">
        <v>5</v>
      </c>
      <c r="E117" s="43">
        <f t="shared" si="40"/>
        <v>0.56140350877192979</v>
      </c>
      <c r="F117" s="43">
        <f t="shared" si="38"/>
        <v>0.40350877192982454</v>
      </c>
      <c r="G117" s="45">
        <f t="shared" si="39"/>
        <v>1.6140350877192982</v>
      </c>
      <c r="I117" s="1" t="s">
        <v>4</v>
      </c>
      <c r="J117" s="3"/>
      <c r="K117" s="4"/>
      <c r="L117" s="4"/>
      <c r="M117" s="4"/>
      <c r="N117" s="4"/>
      <c r="O117" s="108" t="s">
        <v>91</v>
      </c>
      <c r="P117" s="108" t="s">
        <v>91</v>
      </c>
      <c r="Q117" s="108" t="s">
        <v>94</v>
      </c>
      <c r="R117" s="108">
        <v>1</v>
      </c>
      <c r="S117" s="134" t="s">
        <v>100</v>
      </c>
      <c r="U117" s="1" t="s">
        <v>4</v>
      </c>
      <c r="V117" s="3"/>
      <c r="W117" s="4"/>
      <c r="X117" s="4"/>
      <c r="Y117" s="4"/>
      <c r="Z117" s="4"/>
      <c r="AA117" s="108">
        <v>1</v>
      </c>
      <c r="AB117" s="108">
        <v>1</v>
      </c>
      <c r="AC117" s="108" t="s">
        <v>94</v>
      </c>
      <c r="AD117" s="108" t="s">
        <v>95</v>
      </c>
      <c r="AE117" s="134">
        <v>1</v>
      </c>
      <c r="AG117" s="1" t="s">
        <v>4</v>
      </c>
      <c r="AH117" s="3"/>
      <c r="AI117" s="4"/>
      <c r="AJ117" s="4"/>
      <c r="AK117" s="4"/>
      <c r="AL117" s="4"/>
      <c r="AM117" s="108" t="s">
        <v>92</v>
      </c>
      <c r="AN117" s="108" t="s">
        <v>93</v>
      </c>
      <c r="AO117" s="108" t="s">
        <v>103</v>
      </c>
      <c r="AP117" s="108" t="s">
        <v>104</v>
      </c>
      <c r="AQ117" s="134" t="s">
        <v>132</v>
      </c>
    </row>
    <row r="118" spans="1:43" outlineLevel="1" x14ac:dyDescent="0.2">
      <c r="A118" s="28" t="s">
        <v>5</v>
      </c>
      <c r="B118" s="43">
        <f>SUMIF(SUPPORTO_punti!W:W,A118,SUPPORTO_punti!X:X)+SUPPORTO_pareggi!U35</f>
        <v>23</v>
      </c>
      <c r="C118" s="44">
        <f t="shared" si="37"/>
        <v>23</v>
      </c>
      <c r="D118" s="44">
        <v>6</v>
      </c>
      <c r="E118" s="43">
        <f t="shared" si="40"/>
        <v>0.40350877192982454</v>
      </c>
      <c r="F118" s="43">
        <f t="shared" si="38"/>
        <v>0.40350877192982454</v>
      </c>
      <c r="G118" s="45">
        <f t="shared" si="39"/>
        <v>1.6140350877192982</v>
      </c>
      <c r="I118" s="1" t="s">
        <v>5</v>
      </c>
      <c r="J118" s="3"/>
      <c r="K118" s="4"/>
      <c r="L118" s="4"/>
      <c r="M118" s="4"/>
      <c r="N118" s="4"/>
      <c r="O118" s="4"/>
      <c r="P118" s="108" t="s">
        <v>92</v>
      </c>
      <c r="Q118" s="108" t="s">
        <v>94</v>
      </c>
      <c r="R118" s="108" t="s">
        <v>95</v>
      </c>
      <c r="S118" s="134" t="s">
        <v>101</v>
      </c>
      <c r="U118" s="1" t="s">
        <v>5</v>
      </c>
      <c r="V118" s="3"/>
      <c r="W118" s="4"/>
      <c r="X118" s="4"/>
      <c r="Y118" s="4"/>
      <c r="Z118" s="4"/>
      <c r="AA118" s="4"/>
      <c r="AB118" s="108" t="s">
        <v>92</v>
      </c>
      <c r="AC118" s="108" t="s">
        <v>94</v>
      </c>
      <c r="AD118" s="108" t="s">
        <v>95</v>
      </c>
      <c r="AE118" s="134">
        <v>1</v>
      </c>
      <c r="AG118" s="1" t="s">
        <v>5</v>
      </c>
      <c r="AH118" s="3"/>
      <c r="AI118" s="4"/>
      <c r="AJ118" s="4"/>
      <c r="AK118" s="4"/>
      <c r="AL118" s="4"/>
      <c r="AM118" s="4"/>
      <c r="AN118" s="108">
        <v>1</v>
      </c>
      <c r="AO118" s="108" t="s">
        <v>94</v>
      </c>
      <c r="AP118" s="108" t="s">
        <v>95</v>
      </c>
      <c r="AQ118" s="134">
        <v>1</v>
      </c>
    </row>
    <row r="119" spans="1:43" outlineLevel="1" x14ac:dyDescent="0.2">
      <c r="A119" s="28" t="s">
        <v>6</v>
      </c>
      <c r="B119" s="43">
        <f>SUMIF(SUPPORTO_punti!W:W,A119,SUPPORTO_punti!X:X)+SUPPORTO_pareggi!U41</f>
        <v>14</v>
      </c>
      <c r="C119" s="44">
        <f t="shared" si="37"/>
        <v>23</v>
      </c>
      <c r="D119" s="44">
        <v>7</v>
      </c>
      <c r="E119" s="43">
        <f t="shared" si="40"/>
        <v>0.40350877192982454</v>
      </c>
      <c r="F119" s="43">
        <f t="shared" si="38"/>
        <v>0.24561403508771928</v>
      </c>
      <c r="G119" s="45">
        <f t="shared" si="39"/>
        <v>0.98245614035087714</v>
      </c>
      <c r="I119" s="1" t="s">
        <v>6</v>
      </c>
      <c r="J119" s="3"/>
      <c r="K119" s="4"/>
      <c r="L119" s="4"/>
      <c r="M119" s="4"/>
      <c r="N119" s="4"/>
      <c r="O119" s="4"/>
      <c r="P119" s="4"/>
      <c r="Q119" s="108" t="s">
        <v>103</v>
      </c>
      <c r="R119" s="108" t="s">
        <v>95</v>
      </c>
      <c r="S119" s="134" t="s">
        <v>93</v>
      </c>
      <c r="U119" s="1" t="s">
        <v>6</v>
      </c>
      <c r="V119" s="3"/>
      <c r="W119" s="4"/>
      <c r="X119" s="4"/>
      <c r="Y119" s="4"/>
      <c r="Z119" s="4"/>
      <c r="AA119" s="4"/>
      <c r="AB119" s="4"/>
      <c r="AC119" s="108" t="s">
        <v>103</v>
      </c>
      <c r="AD119" s="108" t="s">
        <v>104</v>
      </c>
      <c r="AE119" s="134" t="s">
        <v>132</v>
      </c>
      <c r="AG119" s="1" t="s">
        <v>6</v>
      </c>
      <c r="AH119" s="3"/>
      <c r="AI119" s="4"/>
      <c r="AJ119" s="4"/>
      <c r="AK119" s="4"/>
      <c r="AL119" s="4"/>
      <c r="AM119" s="4"/>
      <c r="AN119" s="4"/>
      <c r="AO119" s="108" t="s">
        <v>94</v>
      </c>
      <c r="AP119" s="108" t="s">
        <v>95</v>
      </c>
      <c r="AQ119" s="134">
        <v>1</v>
      </c>
    </row>
    <row r="120" spans="1:43" outlineLevel="1" x14ac:dyDescent="0.2">
      <c r="A120" s="28" t="s">
        <v>7</v>
      </c>
      <c r="B120" s="43">
        <f>SUMIF(SUPPORTO_punti!W:W,A120,SUPPORTO_punti!X:X)+SUPPORTO_pareggi!U47</f>
        <v>57</v>
      </c>
      <c r="C120" s="44">
        <f t="shared" si="37"/>
        <v>16</v>
      </c>
      <c r="D120" s="44">
        <v>8</v>
      </c>
      <c r="E120" s="43">
        <f t="shared" si="40"/>
        <v>0.2807017543859649</v>
      </c>
      <c r="F120" s="43">
        <f t="shared" si="38"/>
        <v>1</v>
      </c>
      <c r="G120" s="45">
        <f t="shared" si="39"/>
        <v>4</v>
      </c>
      <c r="I120" s="1" t="s">
        <v>7</v>
      </c>
      <c r="J120" s="3"/>
      <c r="K120" s="4"/>
      <c r="L120" s="4"/>
      <c r="M120" s="4"/>
      <c r="N120" s="4"/>
      <c r="O120" s="4"/>
      <c r="P120" s="4"/>
      <c r="Q120" s="4"/>
      <c r="R120" s="108" t="s">
        <v>94</v>
      </c>
      <c r="S120" s="134" t="s">
        <v>112</v>
      </c>
      <c r="U120" s="1" t="s">
        <v>7</v>
      </c>
      <c r="V120" s="3"/>
      <c r="W120" s="4"/>
      <c r="X120" s="4"/>
      <c r="Y120" s="4"/>
      <c r="Z120" s="4"/>
      <c r="AA120" s="4"/>
      <c r="AB120" s="4"/>
      <c r="AC120" s="4"/>
      <c r="AD120" s="108">
        <v>1</v>
      </c>
      <c r="AE120" s="134" t="s">
        <v>94</v>
      </c>
      <c r="AG120" s="1" t="s">
        <v>7</v>
      </c>
      <c r="AH120" s="3"/>
      <c r="AI120" s="4"/>
      <c r="AJ120" s="4"/>
      <c r="AK120" s="4"/>
      <c r="AL120" s="4"/>
      <c r="AM120" s="4"/>
      <c r="AN120" s="4"/>
      <c r="AO120" s="4"/>
      <c r="AP120" s="108">
        <v>1</v>
      </c>
      <c r="AQ120" s="134" t="s">
        <v>94</v>
      </c>
    </row>
    <row r="121" spans="1:43" outlineLevel="1" x14ac:dyDescent="0.2">
      <c r="A121" s="28" t="s">
        <v>8</v>
      </c>
      <c r="B121" s="43">
        <f>SUMIF(SUPPORTO_punti!W:W,A121,SUPPORTO_punti!X:X)+SUPPORTO_pareggi!U53</f>
        <v>48</v>
      </c>
      <c r="C121" s="44">
        <f t="shared" si="37"/>
        <v>14</v>
      </c>
      <c r="D121" s="44">
        <v>9</v>
      </c>
      <c r="E121" s="43">
        <f t="shared" si="40"/>
        <v>0.24561403508771928</v>
      </c>
      <c r="F121" s="43">
        <f t="shared" si="38"/>
        <v>0.84210526315789469</v>
      </c>
      <c r="G121" s="45">
        <f t="shared" si="39"/>
        <v>3.3684210526315788</v>
      </c>
      <c r="I121" s="1" t="s">
        <v>8</v>
      </c>
      <c r="J121" s="3"/>
      <c r="K121" s="4"/>
      <c r="L121" s="4"/>
      <c r="M121" s="4"/>
      <c r="N121" s="4"/>
      <c r="O121" s="4"/>
      <c r="P121" s="4"/>
      <c r="Q121" s="4"/>
      <c r="R121" s="4"/>
      <c r="S121" s="134" t="s">
        <v>104</v>
      </c>
      <c r="U121" s="1" t="s">
        <v>8</v>
      </c>
      <c r="V121" s="3"/>
      <c r="W121" s="4"/>
      <c r="X121" s="4"/>
      <c r="Y121" s="4"/>
      <c r="Z121" s="4"/>
      <c r="AA121" s="4"/>
      <c r="AB121" s="4"/>
      <c r="AC121" s="4"/>
      <c r="AD121" s="4"/>
      <c r="AE121" s="134" t="s">
        <v>95</v>
      </c>
      <c r="AG121" s="1" t="s">
        <v>8</v>
      </c>
      <c r="AH121" s="3"/>
      <c r="AI121" s="4"/>
      <c r="AJ121" s="4"/>
      <c r="AK121" s="4"/>
      <c r="AL121" s="4"/>
      <c r="AM121" s="4"/>
      <c r="AN121" s="4"/>
      <c r="AO121" s="4"/>
      <c r="AP121" s="4"/>
      <c r="AQ121" s="134" t="s">
        <v>95</v>
      </c>
    </row>
    <row r="122" spans="1:43" outlineLevel="1" x14ac:dyDescent="0.2">
      <c r="A122" s="29" t="s">
        <v>9</v>
      </c>
      <c r="B122" s="43">
        <f>SUMIF(SUPPORTO_punti!W:W,A122,SUPPORTO_punti!X:X)+SUPPORTO_pareggi!U59</f>
        <v>16</v>
      </c>
      <c r="C122" s="44">
        <f t="shared" si="37"/>
        <v>6</v>
      </c>
      <c r="D122" s="44">
        <v>10</v>
      </c>
      <c r="E122" s="43">
        <f t="shared" si="40"/>
        <v>0.10526315789473684</v>
      </c>
      <c r="F122" s="43">
        <f t="shared" si="38"/>
        <v>0.2807017543859649</v>
      </c>
      <c r="G122" s="45">
        <f t="shared" si="39"/>
        <v>1.1228070175438596</v>
      </c>
      <c r="I122" s="1" t="s">
        <v>9</v>
      </c>
      <c r="J122" s="3"/>
      <c r="K122" s="4"/>
      <c r="L122" s="4"/>
      <c r="M122" s="4"/>
      <c r="N122" s="4"/>
      <c r="O122" s="4"/>
      <c r="P122" s="4"/>
      <c r="Q122" s="4"/>
      <c r="R122" s="4"/>
      <c r="S122" s="4"/>
      <c r="U122" s="1" t="s">
        <v>9</v>
      </c>
      <c r="V122" s="3"/>
      <c r="W122" s="4"/>
      <c r="X122" s="4"/>
      <c r="Y122" s="4"/>
      <c r="Z122" s="4"/>
      <c r="AA122" s="4"/>
      <c r="AB122" s="4"/>
      <c r="AC122" s="4"/>
      <c r="AD122" s="4"/>
      <c r="AE122" s="4"/>
      <c r="AG122" s="1" t="s">
        <v>9</v>
      </c>
      <c r="AH122" s="3"/>
      <c r="AI122" s="4"/>
      <c r="AJ122" s="4"/>
      <c r="AK122" s="4"/>
      <c r="AL122" s="4"/>
      <c r="AM122" s="4"/>
      <c r="AN122" s="4"/>
      <c r="AO122" s="4"/>
      <c r="AP122" s="4"/>
      <c r="AQ122" s="4"/>
    </row>
    <row r="123" spans="1:43" x14ac:dyDescent="0.2">
      <c r="A123" s="24" t="str">
        <f>'MAIN REPORT'!A16</f>
        <v>1. Quality aspect 11</v>
      </c>
      <c r="B123" s="5"/>
      <c r="C123" s="5"/>
      <c r="D123" s="5"/>
      <c r="E123" s="5"/>
      <c r="F123" s="22"/>
      <c r="G123" s="23">
        <f>'MAIN REPORT'!B16</f>
        <v>3</v>
      </c>
      <c r="I123" s="24" t="str">
        <f>A123</f>
        <v>1. Quality aspect 11</v>
      </c>
      <c r="J123" s="5"/>
      <c r="K123" s="5"/>
      <c r="L123" s="5"/>
      <c r="M123" s="5"/>
      <c r="N123" s="5"/>
      <c r="O123" s="5"/>
      <c r="P123" s="5"/>
      <c r="Q123" s="5"/>
      <c r="R123" s="5"/>
      <c r="S123" s="5"/>
      <c r="U123" s="24" t="str">
        <f>A123</f>
        <v>1. Quality aspect 11</v>
      </c>
      <c r="V123" s="5"/>
      <c r="W123" s="5"/>
      <c r="X123" s="5"/>
      <c r="Y123" s="5"/>
      <c r="Z123" s="5"/>
      <c r="AA123" s="5"/>
      <c r="AB123" s="5"/>
      <c r="AC123" s="5"/>
      <c r="AD123" s="5"/>
      <c r="AE123" s="5"/>
      <c r="AG123" s="24" t="str">
        <f>A123</f>
        <v>1. Quality aspect 11</v>
      </c>
      <c r="AH123" s="5"/>
      <c r="AI123" s="5"/>
      <c r="AJ123" s="5"/>
      <c r="AK123" s="5"/>
      <c r="AL123" s="5"/>
      <c r="AM123" s="5"/>
      <c r="AN123" s="5"/>
      <c r="AO123" s="5"/>
      <c r="AP123" s="5"/>
      <c r="AQ123" s="5"/>
    </row>
    <row r="124" spans="1:43" ht="16" outlineLevel="1" thickBot="1" x14ac:dyDescent="0.25">
      <c r="A124" s="40" t="s">
        <v>139</v>
      </c>
      <c r="B124" s="41" t="s">
        <v>138</v>
      </c>
      <c r="C124" s="41"/>
      <c r="D124" s="41"/>
      <c r="E124" s="41"/>
      <c r="F124" s="41" t="s">
        <v>218</v>
      </c>
      <c r="G124" s="42" t="s">
        <v>217</v>
      </c>
      <c r="I124" s="39"/>
      <c r="J124" s="1" t="s">
        <v>1</v>
      </c>
      <c r="K124" s="1" t="s">
        <v>2</v>
      </c>
      <c r="L124" s="1" t="s">
        <v>3</v>
      </c>
      <c r="M124" s="1" t="s">
        <v>0</v>
      </c>
      <c r="N124" s="1" t="s">
        <v>4</v>
      </c>
      <c r="O124" s="1" t="s">
        <v>5</v>
      </c>
      <c r="P124" s="1" t="s">
        <v>6</v>
      </c>
      <c r="Q124" s="1" t="s">
        <v>7</v>
      </c>
      <c r="R124" s="1" t="s">
        <v>8</v>
      </c>
      <c r="S124" s="1" t="s">
        <v>9</v>
      </c>
      <c r="U124" s="39"/>
      <c r="V124" s="1" t="s">
        <v>1</v>
      </c>
      <c r="W124" s="1" t="s">
        <v>2</v>
      </c>
      <c r="X124" s="1" t="s">
        <v>3</v>
      </c>
      <c r="Y124" s="1" t="s">
        <v>0</v>
      </c>
      <c r="Z124" s="1" t="s">
        <v>4</v>
      </c>
      <c r="AA124" s="1" t="s">
        <v>5</v>
      </c>
      <c r="AB124" s="1" t="s">
        <v>6</v>
      </c>
      <c r="AC124" s="1" t="s">
        <v>7</v>
      </c>
      <c r="AD124" s="1" t="s">
        <v>8</v>
      </c>
      <c r="AE124" s="1" t="s">
        <v>9</v>
      </c>
      <c r="AG124" s="39"/>
      <c r="AH124" s="1" t="s">
        <v>1</v>
      </c>
      <c r="AI124" s="1" t="s">
        <v>2</v>
      </c>
      <c r="AJ124" s="1" t="s">
        <v>3</v>
      </c>
      <c r="AK124" s="1" t="s">
        <v>0</v>
      </c>
      <c r="AL124" s="1" t="s">
        <v>4</v>
      </c>
      <c r="AM124" s="1" t="s">
        <v>5</v>
      </c>
      <c r="AN124" s="1" t="s">
        <v>6</v>
      </c>
      <c r="AO124" s="1" t="s">
        <v>7</v>
      </c>
      <c r="AP124" s="1" t="s">
        <v>8</v>
      </c>
      <c r="AQ124" s="1" t="s">
        <v>9</v>
      </c>
    </row>
    <row r="125" spans="1:43" outlineLevel="1" x14ac:dyDescent="0.2">
      <c r="A125" s="28" t="s">
        <v>1</v>
      </c>
      <c r="B125" s="43">
        <f>SUMIF(SUPPORTO_punti!Y:Y,A125,SUPPORTO_punti!Z:Z)+SUPPORTO_pareggi!W5</f>
        <v>47</v>
      </c>
      <c r="C125" s="44">
        <f t="shared" ref="C125:C134" si="41">LARGE($B$125:$B$134,D125)</f>
        <v>48</v>
      </c>
      <c r="D125" s="44">
        <v>1</v>
      </c>
      <c r="E125" s="43">
        <f>IF(SUM(B125:B134)=0,0,D125)</f>
        <v>1</v>
      </c>
      <c r="F125" s="43">
        <f t="shared" ref="F125:F134" si="42">VLOOKUP(B125,$C$125:$E$134,3,FALSE)</f>
        <v>0.97916666666666663</v>
      </c>
      <c r="G125" s="45">
        <f>G$123*F125</f>
        <v>2.9375</v>
      </c>
      <c r="I125" s="1" t="s">
        <v>1</v>
      </c>
      <c r="J125" s="2"/>
      <c r="K125" s="107">
        <v>1</v>
      </c>
      <c r="L125" s="107" t="s">
        <v>87</v>
      </c>
      <c r="M125" s="107">
        <v>1</v>
      </c>
      <c r="N125" s="107" t="s">
        <v>91</v>
      </c>
      <c r="O125" s="107" t="s">
        <v>92</v>
      </c>
      <c r="P125" s="107" t="s">
        <v>96</v>
      </c>
      <c r="Q125" s="107" t="s">
        <v>87</v>
      </c>
      <c r="R125" s="107" t="s">
        <v>87</v>
      </c>
      <c r="S125" s="133" t="s">
        <v>96</v>
      </c>
      <c r="U125" s="1" t="s">
        <v>1</v>
      </c>
      <c r="V125" s="2"/>
      <c r="W125" s="107">
        <v>1</v>
      </c>
      <c r="X125" s="107" t="s">
        <v>96</v>
      </c>
      <c r="Y125" s="107">
        <v>1</v>
      </c>
      <c r="Z125" s="107" t="s">
        <v>87</v>
      </c>
      <c r="AA125" s="107" t="s">
        <v>87</v>
      </c>
      <c r="AB125" s="107" t="s">
        <v>87</v>
      </c>
      <c r="AC125" s="107">
        <v>1</v>
      </c>
      <c r="AD125" s="107">
        <v>1</v>
      </c>
      <c r="AE125" s="133" t="s">
        <v>87</v>
      </c>
      <c r="AG125" s="1" t="s">
        <v>1</v>
      </c>
      <c r="AH125" s="2"/>
      <c r="AI125" s="107">
        <v>1</v>
      </c>
      <c r="AJ125" s="107" t="s">
        <v>87</v>
      </c>
      <c r="AK125" s="107">
        <v>1</v>
      </c>
      <c r="AL125" s="107">
        <v>1</v>
      </c>
      <c r="AM125" s="107" t="s">
        <v>87</v>
      </c>
      <c r="AN125" s="107" t="s">
        <v>105</v>
      </c>
      <c r="AO125" s="107" t="s">
        <v>87</v>
      </c>
      <c r="AP125" s="107" t="s">
        <v>87</v>
      </c>
      <c r="AQ125" s="133" t="s">
        <v>96</v>
      </c>
    </row>
    <row r="126" spans="1:43" outlineLevel="1" x14ac:dyDescent="0.2">
      <c r="A126" s="28" t="s">
        <v>2</v>
      </c>
      <c r="B126" s="43">
        <f>SUMIF(SUPPORTO_punti!Y:Y,A126,SUPPORTO_punti!Z:Z)+SUPPORTO_pareggi!W11</f>
        <v>48</v>
      </c>
      <c r="C126" s="44">
        <f t="shared" si="41"/>
        <v>47</v>
      </c>
      <c r="D126" s="44">
        <v>2</v>
      </c>
      <c r="E126" s="43">
        <f>(C126/$C$125)*$E$125</f>
        <v>0.97916666666666663</v>
      </c>
      <c r="F126" s="43">
        <f t="shared" si="42"/>
        <v>1</v>
      </c>
      <c r="G126" s="45">
        <f t="shared" ref="G126:G134" si="43">G$123*F126</f>
        <v>3</v>
      </c>
      <c r="I126" s="1" t="s">
        <v>2</v>
      </c>
      <c r="J126" s="3"/>
      <c r="K126" s="4"/>
      <c r="L126" s="108" t="s">
        <v>88</v>
      </c>
      <c r="M126" s="108" t="s">
        <v>88</v>
      </c>
      <c r="N126" s="108">
        <v>1</v>
      </c>
      <c r="O126" s="108" t="s">
        <v>92</v>
      </c>
      <c r="P126" s="108" t="s">
        <v>97</v>
      </c>
      <c r="Q126" s="108" t="s">
        <v>88</v>
      </c>
      <c r="R126" s="108" t="s">
        <v>88</v>
      </c>
      <c r="S126" s="134" t="s">
        <v>97</v>
      </c>
      <c r="U126" s="1" t="s">
        <v>2</v>
      </c>
      <c r="V126" s="3"/>
      <c r="W126" s="4"/>
      <c r="X126" s="108" t="s">
        <v>88</v>
      </c>
      <c r="Y126" s="108" t="s">
        <v>88</v>
      </c>
      <c r="Z126" s="108" t="s">
        <v>88</v>
      </c>
      <c r="AA126" s="108">
        <v>1</v>
      </c>
      <c r="AB126" s="108" t="s">
        <v>97</v>
      </c>
      <c r="AC126" s="108">
        <v>1</v>
      </c>
      <c r="AD126" s="108">
        <v>1</v>
      </c>
      <c r="AE126" s="134">
        <v>1</v>
      </c>
      <c r="AG126" s="1" t="s">
        <v>2</v>
      </c>
      <c r="AH126" s="3"/>
      <c r="AI126" s="4"/>
      <c r="AJ126" s="108" t="s">
        <v>88</v>
      </c>
      <c r="AK126" s="108">
        <v>1</v>
      </c>
      <c r="AL126" s="108">
        <v>1</v>
      </c>
      <c r="AM126" s="108" t="s">
        <v>88</v>
      </c>
      <c r="AN126" s="108" t="s">
        <v>106</v>
      </c>
      <c r="AO126" s="108" t="s">
        <v>88</v>
      </c>
      <c r="AP126" s="108" t="s">
        <v>88</v>
      </c>
      <c r="AQ126" s="134" t="s">
        <v>97</v>
      </c>
    </row>
    <row r="127" spans="1:43" outlineLevel="1" x14ac:dyDescent="0.2">
      <c r="A127" s="28" t="s">
        <v>3</v>
      </c>
      <c r="B127" s="43">
        <f>SUMIF(SUPPORTO_punti!Y:Y,A127,SUPPORTO_punti!Z:Z)+SUPPORTO_pareggi!W17</f>
        <v>20</v>
      </c>
      <c r="C127" s="44">
        <f t="shared" si="41"/>
        <v>47</v>
      </c>
      <c r="D127" s="44">
        <v>3</v>
      </c>
      <c r="E127" s="43">
        <f t="shared" ref="E127:E134" si="44">(C127/$C$125)*$E$125</f>
        <v>0.97916666666666663</v>
      </c>
      <c r="F127" s="43">
        <f t="shared" si="42"/>
        <v>0.41666666666666669</v>
      </c>
      <c r="G127" s="45">
        <f t="shared" si="43"/>
        <v>1.25</v>
      </c>
      <c r="I127" s="1" t="s">
        <v>3</v>
      </c>
      <c r="J127" s="3"/>
      <c r="K127" s="4"/>
      <c r="L127" s="4"/>
      <c r="M127" s="108" t="s">
        <v>90</v>
      </c>
      <c r="N127" s="108" t="s">
        <v>91</v>
      </c>
      <c r="O127" s="108" t="s">
        <v>101</v>
      </c>
      <c r="P127" s="108" t="s">
        <v>98</v>
      </c>
      <c r="Q127" s="108">
        <v>1</v>
      </c>
      <c r="R127" s="108">
        <v>1</v>
      </c>
      <c r="S127" s="134" t="s">
        <v>98</v>
      </c>
      <c r="U127" s="1" t="s">
        <v>3</v>
      </c>
      <c r="V127" s="3"/>
      <c r="W127" s="4"/>
      <c r="X127" s="4"/>
      <c r="Y127" s="108" t="s">
        <v>90</v>
      </c>
      <c r="Z127" s="108" t="s">
        <v>91</v>
      </c>
      <c r="AA127" s="108">
        <v>1</v>
      </c>
      <c r="AB127" s="108" t="s">
        <v>89</v>
      </c>
      <c r="AC127" s="108" t="s">
        <v>94</v>
      </c>
      <c r="AD127" s="108" t="s">
        <v>95</v>
      </c>
      <c r="AE127" s="134">
        <v>1</v>
      </c>
      <c r="AG127" s="1" t="s">
        <v>3</v>
      </c>
      <c r="AH127" s="3"/>
      <c r="AI127" s="4"/>
      <c r="AJ127" s="4"/>
      <c r="AK127" s="108" t="s">
        <v>90</v>
      </c>
      <c r="AL127" s="108" t="s">
        <v>91</v>
      </c>
      <c r="AM127" s="108">
        <v>1</v>
      </c>
      <c r="AN127" s="108" t="s">
        <v>98</v>
      </c>
      <c r="AO127" s="108">
        <v>1</v>
      </c>
      <c r="AP127" s="108">
        <v>1</v>
      </c>
      <c r="AQ127" s="134" t="s">
        <v>89</v>
      </c>
    </row>
    <row r="128" spans="1:43" outlineLevel="1" x14ac:dyDescent="0.2">
      <c r="A128" s="28" t="s">
        <v>0</v>
      </c>
      <c r="B128" s="43">
        <f>SUMIF(SUPPORTO_punti!Y:Y,A128,SUPPORTO_punti!Z:Z)+SUPPORTO_pareggi!W23</f>
        <v>42</v>
      </c>
      <c r="C128" s="44">
        <f t="shared" si="41"/>
        <v>44</v>
      </c>
      <c r="D128" s="44">
        <v>4</v>
      </c>
      <c r="E128" s="43">
        <f t="shared" si="44"/>
        <v>0.91666666666666663</v>
      </c>
      <c r="F128" s="43">
        <f t="shared" si="42"/>
        <v>0.875</v>
      </c>
      <c r="G128" s="45">
        <f t="shared" si="43"/>
        <v>2.625</v>
      </c>
      <c r="I128" s="1" t="s">
        <v>0</v>
      </c>
      <c r="J128" s="3"/>
      <c r="K128" s="4"/>
      <c r="L128" s="4"/>
      <c r="M128" s="4"/>
      <c r="N128" s="108" t="s">
        <v>91</v>
      </c>
      <c r="O128" s="108" t="s">
        <v>92</v>
      </c>
      <c r="P128" s="108" t="s">
        <v>108</v>
      </c>
      <c r="Q128" s="108" t="s">
        <v>90</v>
      </c>
      <c r="R128" s="108" t="s">
        <v>90</v>
      </c>
      <c r="S128" s="134" t="s">
        <v>99</v>
      </c>
      <c r="U128" s="1" t="s">
        <v>0</v>
      </c>
      <c r="V128" s="3"/>
      <c r="W128" s="4"/>
      <c r="X128" s="4"/>
      <c r="Y128" s="4"/>
      <c r="Z128" s="108">
        <v>1</v>
      </c>
      <c r="AA128" s="108">
        <v>1</v>
      </c>
      <c r="AB128" s="108" t="s">
        <v>90</v>
      </c>
      <c r="AC128" s="108">
        <v>1</v>
      </c>
      <c r="AD128" s="108">
        <v>1</v>
      </c>
      <c r="AE128" s="134">
        <v>1</v>
      </c>
      <c r="AG128" s="1" t="s">
        <v>0</v>
      </c>
      <c r="AH128" s="3"/>
      <c r="AI128" s="4"/>
      <c r="AJ128" s="4"/>
      <c r="AK128" s="4"/>
      <c r="AL128" s="108">
        <v>1</v>
      </c>
      <c r="AM128" s="108" t="s">
        <v>90</v>
      </c>
      <c r="AN128" s="108" t="s">
        <v>108</v>
      </c>
      <c r="AO128" s="108" t="s">
        <v>90</v>
      </c>
      <c r="AP128" s="108" t="s">
        <v>90</v>
      </c>
      <c r="AQ128" s="134" t="s">
        <v>99</v>
      </c>
    </row>
    <row r="129" spans="1:43" outlineLevel="1" x14ac:dyDescent="0.2">
      <c r="A129" s="28" t="s">
        <v>4</v>
      </c>
      <c r="B129" s="43">
        <f>SUMIF(SUPPORTO_punti!Y:Y,A129,SUPPORTO_punti!Z:Z)+SUPPORTO_pareggi!W29</f>
        <v>47</v>
      </c>
      <c r="C129" s="44">
        <f t="shared" si="41"/>
        <v>42</v>
      </c>
      <c r="D129" s="44">
        <v>5</v>
      </c>
      <c r="E129" s="43">
        <f t="shared" si="44"/>
        <v>0.875</v>
      </c>
      <c r="F129" s="43">
        <f t="shared" si="42"/>
        <v>0.97916666666666663</v>
      </c>
      <c r="G129" s="45">
        <f t="shared" si="43"/>
        <v>2.9375</v>
      </c>
      <c r="I129" s="1" t="s">
        <v>4</v>
      </c>
      <c r="J129" s="3"/>
      <c r="K129" s="4"/>
      <c r="L129" s="4"/>
      <c r="M129" s="4"/>
      <c r="N129" s="4"/>
      <c r="O129" s="108" t="s">
        <v>92</v>
      </c>
      <c r="P129" s="108" t="s">
        <v>118</v>
      </c>
      <c r="Q129" s="108" t="s">
        <v>91</v>
      </c>
      <c r="R129" s="108" t="s">
        <v>91</v>
      </c>
      <c r="S129" s="134" t="s">
        <v>100</v>
      </c>
      <c r="U129" s="1" t="s">
        <v>4</v>
      </c>
      <c r="V129" s="3"/>
      <c r="W129" s="4"/>
      <c r="X129" s="4"/>
      <c r="Y129" s="4"/>
      <c r="Z129" s="4"/>
      <c r="AA129" s="108">
        <v>1</v>
      </c>
      <c r="AB129" s="108" t="s">
        <v>91</v>
      </c>
      <c r="AC129" s="108">
        <v>1</v>
      </c>
      <c r="AD129" s="108">
        <v>1</v>
      </c>
      <c r="AE129" s="134" t="s">
        <v>91</v>
      </c>
      <c r="AG129" s="1" t="s">
        <v>4</v>
      </c>
      <c r="AH129" s="3"/>
      <c r="AI129" s="4"/>
      <c r="AJ129" s="4"/>
      <c r="AK129" s="4"/>
      <c r="AL129" s="4"/>
      <c r="AM129" s="108" t="s">
        <v>91</v>
      </c>
      <c r="AN129" s="108" t="s">
        <v>109</v>
      </c>
      <c r="AO129" s="108" t="s">
        <v>91</v>
      </c>
      <c r="AP129" s="108" t="s">
        <v>91</v>
      </c>
      <c r="AQ129" s="134" t="s">
        <v>100</v>
      </c>
    </row>
    <row r="130" spans="1:43" outlineLevel="1" x14ac:dyDescent="0.2">
      <c r="A130" s="28" t="s">
        <v>5</v>
      </c>
      <c r="B130" s="43">
        <f>SUMIF(SUPPORTO_punti!Y:Y,A130,SUPPORTO_punti!Z:Z)+SUPPORTO_pareggi!W35</f>
        <v>44</v>
      </c>
      <c r="C130" s="44">
        <f t="shared" si="41"/>
        <v>28</v>
      </c>
      <c r="D130" s="44">
        <v>6</v>
      </c>
      <c r="E130" s="43">
        <f t="shared" si="44"/>
        <v>0.58333333333333337</v>
      </c>
      <c r="F130" s="43">
        <f t="shared" si="42"/>
        <v>0.91666666666666663</v>
      </c>
      <c r="G130" s="45">
        <f t="shared" si="43"/>
        <v>2.75</v>
      </c>
      <c r="I130" s="1" t="s">
        <v>5</v>
      </c>
      <c r="J130" s="3"/>
      <c r="K130" s="4"/>
      <c r="L130" s="4"/>
      <c r="M130" s="4"/>
      <c r="N130" s="4"/>
      <c r="O130" s="4"/>
      <c r="P130" s="108" t="s">
        <v>119</v>
      </c>
      <c r="Q130" s="108" t="s">
        <v>101</v>
      </c>
      <c r="R130" s="108" t="s">
        <v>101</v>
      </c>
      <c r="S130" s="134" t="s">
        <v>119</v>
      </c>
      <c r="U130" s="1" t="s">
        <v>5</v>
      </c>
      <c r="V130" s="3"/>
      <c r="W130" s="4"/>
      <c r="X130" s="4"/>
      <c r="Y130" s="4"/>
      <c r="Z130" s="4"/>
      <c r="AA130" s="4"/>
      <c r="AB130" s="108" t="s">
        <v>92</v>
      </c>
      <c r="AC130" s="108">
        <v>1</v>
      </c>
      <c r="AD130" s="108">
        <v>1</v>
      </c>
      <c r="AE130" s="134">
        <v>1</v>
      </c>
      <c r="AG130" s="1" t="s">
        <v>5</v>
      </c>
      <c r="AH130" s="3"/>
      <c r="AI130" s="4"/>
      <c r="AJ130" s="4"/>
      <c r="AK130" s="4"/>
      <c r="AL130" s="4"/>
      <c r="AM130" s="4"/>
      <c r="AN130" s="108" t="s">
        <v>101</v>
      </c>
      <c r="AO130" s="108">
        <v>1</v>
      </c>
      <c r="AP130" s="108">
        <v>1</v>
      </c>
      <c r="AQ130" s="134" t="s">
        <v>92</v>
      </c>
    </row>
    <row r="131" spans="1:43" outlineLevel="1" x14ac:dyDescent="0.2">
      <c r="A131" s="28" t="s">
        <v>6</v>
      </c>
      <c r="B131" s="43">
        <f>SUMIF(SUPPORTO_punti!Y:Y,A131,SUPPORTO_punti!Z:Z)+SUPPORTO_pareggi!W41</f>
        <v>0</v>
      </c>
      <c r="C131" s="44">
        <f t="shared" si="41"/>
        <v>27</v>
      </c>
      <c r="D131" s="44">
        <v>7</v>
      </c>
      <c r="E131" s="43">
        <f t="shared" si="44"/>
        <v>0.5625</v>
      </c>
      <c r="F131" s="43">
        <f t="shared" si="42"/>
        <v>0</v>
      </c>
      <c r="G131" s="45">
        <f t="shared" si="43"/>
        <v>0</v>
      </c>
      <c r="I131" s="1" t="s">
        <v>6</v>
      </c>
      <c r="J131" s="3"/>
      <c r="K131" s="4"/>
      <c r="L131" s="4"/>
      <c r="M131" s="4"/>
      <c r="N131" s="4"/>
      <c r="O131" s="4"/>
      <c r="P131" s="4"/>
      <c r="Q131" s="108" t="s">
        <v>103</v>
      </c>
      <c r="R131" s="108" t="s">
        <v>104</v>
      </c>
      <c r="S131" s="134" t="s">
        <v>132</v>
      </c>
      <c r="U131" s="1" t="s">
        <v>6</v>
      </c>
      <c r="V131" s="3"/>
      <c r="W131" s="4"/>
      <c r="X131" s="4"/>
      <c r="Y131" s="4"/>
      <c r="Z131" s="4"/>
      <c r="AA131" s="4"/>
      <c r="AB131" s="4"/>
      <c r="AC131" s="108" t="s">
        <v>94</v>
      </c>
      <c r="AD131" s="108" t="s">
        <v>95</v>
      </c>
      <c r="AE131" s="134" t="s">
        <v>132</v>
      </c>
      <c r="AG131" s="1" t="s">
        <v>6</v>
      </c>
      <c r="AH131" s="3"/>
      <c r="AI131" s="4"/>
      <c r="AJ131" s="4"/>
      <c r="AK131" s="4"/>
      <c r="AL131" s="4"/>
      <c r="AM131" s="4"/>
      <c r="AN131" s="4"/>
      <c r="AO131" s="108" t="s">
        <v>103</v>
      </c>
      <c r="AP131" s="108" t="s">
        <v>104</v>
      </c>
      <c r="AQ131" s="134" t="s">
        <v>132</v>
      </c>
    </row>
    <row r="132" spans="1:43" outlineLevel="1" x14ac:dyDescent="0.2">
      <c r="A132" s="28" t="s">
        <v>7</v>
      </c>
      <c r="B132" s="43">
        <f>SUMIF(SUPPORTO_punti!Y:Y,A132,SUPPORTO_punti!Z:Z)+SUPPORTO_pareggi!W47</f>
        <v>28</v>
      </c>
      <c r="C132" s="44">
        <f t="shared" si="41"/>
        <v>20</v>
      </c>
      <c r="D132" s="44">
        <v>8</v>
      </c>
      <c r="E132" s="43">
        <f t="shared" si="44"/>
        <v>0.41666666666666669</v>
      </c>
      <c r="F132" s="43">
        <f t="shared" si="42"/>
        <v>0.58333333333333337</v>
      </c>
      <c r="G132" s="45">
        <f t="shared" si="43"/>
        <v>1.75</v>
      </c>
      <c r="I132" s="1" t="s">
        <v>7</v>
      </c>
      <c r="J132" s="3"/>
      <c r="K132" s="4"/>
      <c r="L132" s="4"/>
      <c r="M132" s="4"/>
      <c r="N132" s="4"/>
      <c r="O132" s="4"/>
      <c r="P132" s="4"/>
      <c r="Q132" s="4"/>
      <c r="R132" s="108">
        <v>1</v>
      </c>
      <c r="S132" s="134" t="s">
        <v>103</v>
      </c>
      <c r="U132" s="1" t="s">
        <v>7</v>
      </c>
      <c r="V132" s="3"/>
      <c r="W132" s="4"/>
      <c r="X132" s="4"/>
      <c r="Y132" s="4"/>
      <c r="Z132" s="4"/>
      <c r="AA132" s="4"/>
      <c r="AB132" s="4"/>
      <c r="AC132" s="4"/>
      <c r="AD132" s="108">
        <v>1</v>
      </c>
      <c r="AE132" s="134" t="s">
        <v>94</v>
      </c>
      <c r="AG132" s="1" t="s">
        <v>7</v>
      </c>
      <c r="AH132" s="3"/>
      <c r="AI132" s="4"/>
      <c r="AJ132" s="4"/>
      <c r="AK132" s="4"/>
      <c r="AL132" s="4"/>
      <c r="AM132" s="4"/>
      <c r="AN132" s="4"/>
      <c r="AO132" s="4"/>
      <c r="AP132" s="108">
        <v>1</v>
      </c>
      <c r="AQ132" s="134" t="s">
        <v>94</v>
      </c>
    </row>
    <row r="133" spans="1:43" outlineLevel="1" x14ac:dyDescent="0.2">
      <c r="A133" s="28" t="s">
        <v>8</v>
      </c>
      <c r="B133" s="43">
        <f>SUMIF(SUPPORTO_punti!Y:Y,A133,SUPPORTO_punti!Z:Z)+SUPPORTO_pareggi!W53</f>
        <v>27</v>
      </c>
      <c r="C133" s="44">
        <f t="shared" si="41"/>
        <v>11</v>
      </c>
      <c r="D133" s="44">
        <v>9</v>
      </c>
      <c r="E133" s="43">
        <f t="shared" si="44"/>
        <v>0.22916666666666666</v>
      </c>
      <c r="F133" s="43">
        <f t="shared" si="42"/>
        <v>0.5625</v>
      </c>
      <c r="G133" s="45">
        <f t="shared" si="43"/>
        <v>1.6875</v>
      </c>
      <c r="I133" s="1" t="s">
        <v>8</v>
      </c>
      <c r="J133" s="3"/>
      <c r="K133" s="4"/>
      <c r="L133" s="4"/>
      <c r="M133" s="4"/>
      <c r="N133" s="4"/>
      <c r="O133" s="4"/>
      <c r="P133" s="4"/>
      <c r="Q133" s="4"/>
      <c r="R133" s="4"/>
      <c r="S133" s="134" t="s">
        <v>104</v>
      </c>
      <c r="U133" s="1" t="s">
        <v>8</v>
      </c>
      <c r="V133" s="3"/>
      <c r="W133" s="4"/>
      <c r="X133" s="4"/>
      <c r="Y133" s="4"/>
      <c r="Z133" s="4"/>
      <c r="AA133" s="4"/>
      <c r="AB133" s="4"/>
      <c r="AC133" s="4"/>
      <c r="AD133" s="4"/>
      <c r="AE133" s="134">
        <v>1</v>
      </c>
      <c r="AG133" s="1" t="s">
        <v>8</v>
      </c>
      <c r="AH133" s="3"/>
      <c r="AI133" s="4"/>
      <c r="AJ133" s="4"/>
      <c r="AK133" s="4"/>
      <c r="AL133" s="4"/>
      <c r="AM133" s="4"/>
      <c r="AN133" s="4"/>
      <c r="AO133" s="4"/>
      <c r="AP133" s="4"/>
      <c r="AQ133" s="134" t="s">
        <v>95</v>
      </c>
    </row>
    <row r="134" spans="1:43" outlineLevel="1" x14ac:dyDescent="0.2">
      <c r="A134" s="29" t="s">
        <v>9</v>
      </c>
      <c r="B134" s="43">
        <f>SUMIF(SUPPORTO_punti!Y:Y,A134,SUPPORTO_punti!Z:Z)+SUPPORTO_pareggi!W59</f>
        <v>11</v>
      </c>
      <c r="C134" s="44">
        <f t="shared" si="41"/>
        <v>0</v>
      </c>
      <c r="D134" s="44">
        <v>10</v>
      </c>
      <c r="E134" s="43">
        <f t="shared" si="44"/>
        <v>0</v>
      </c>
      <c r="F134" s="43">
        <f t="shared" si="42"/>
        <v>0.22916666666666666</v>
      </c>
      <c r="G134" s="45">
        <f t="shared" si="43"/>
        <v>0.6875</v>
      </c>
      <c r="I134" s="1" t="s">
        <v>9</v>
      </c>
      <c r="J134" s="3"/>
      <c r="K134" s="4"/>
      <c r="L134" s="4"/>
      <c r="M134" s="4"/>
      <c r="N134" s="4"/>
      <c r="O134" s="4"/>
      <c r="P134" s="4"/>
      <c r="Q134" s="4"/>
      <c r="R134" s="4"/>
      <c r="S134" s="4"/>
      <c r="U134" s="1" t="s">
        <v>9</v>
      </c>
      <c r="V134" s="3"/>
      <c r="W134" s="4"/>
      <c r="X134" s="4"/>
      <c r="Y134" s="4"/>
      <c r="Z134" s="4"/>
      <c r="AA134" s="4"/>
      <c r="AB134" s="4"/>
      <c r="AC134" s="4"/>
      <c r="AD134" s="4"/>
      <c r="AE134" s="4"/>
      <c r="AG134" s="1" t="s">
        <v>9</v>
      </c>
      <c r="AH134" s="3"/>
      <c r="AI134" s="4"/>
      <c r="AJ134" s="4"/>
      <c r="AK134" s="4"/>
      <c r="AL134" s="4"/>
      <c r="AM134" s="4"/>
      <c r="AN134" s="4"/>
      <c r="AO134" s="4"/>
      <c r="AP134" s="4"/>
      <c r="AQ134" s="4"/>
    </row>
    <row r="142" spans="1:43" x14ac:dyDescent="0.2">
      <c r="D142" s="44"/>
    </row>
  </sheetData>
  <protectedRanges>
    <protectedRange sqref="L29:S30 N31:S32 P33:S34 R35:S36 S37 Q35 O33 M31 K29 AJ29:AQ30 AL31:AQ32 AN33:AQ34 AP35:AQ36 AQ37 AO35 AM33 AK31 AI29 L41:S42 N43:S44 P45:S46 R47:S48 S49 Q47 O45 M43 K41 X41:AE42 Z43:AE44 AB45:AE46 AD47:AE48 AE49 AC47 AA45 Y43 W41 AJ41:AQ42 AL43:AQ44 AN45:AQ46 AP47:AQ48 AQ49 AO47 AM45 AK43 AI41 L53:S54 N55:S56 P57:S58 R59:S60 S61 Q59 O57 M55 K53 X53:AE54 Z55:AE56 AB57:AE58 AD59:AE60 AE61 AC59 AA57 Y55 W53 AJ53:AQ54 AL55:AQ56 AN57:AQ58 AP59:AQ60 AQ61 AO59 AM57 AK55 AI53 L65:S66 N67:S68 P69:S70 R71:S72 S73 Q71 O69 M67 K65 X65:AE66 Z67:AE68 AB69:AE70 AD71:AE72 AE73 AC71 AA69 Y67 W65 L77:S78 N79:S80 P81:S82 R83:S84 S85 Q83 O81 M79 K77 X77:AE78 Z79:AE80 AB81:AE82 AD83:AE84 AE85 AC83 AA81 Y79 W77 AJ77:AQ78 AL79:AQ80 AN81:AQ82 AP83:AQ84 AQ85 AO83 AM81 AK79 AI77" name="Intervallo1_1"/>
    <protectedRange sqref="L5:S6 N7:S8 P9:S10 R11:S12 S13 Q11 O9 M7 K5 X5:AE6 Z7:AE8 AB9:AE10 AD11:AE12 AE13 AC11 AA9 Y7 W5 AJ5:AQ6 AL7:AQ8 AN9:AQ10 AP11:AQ12 AQ13 AO11 AM9 AK7 AI5" name="Intervallo1_5"/>
    <protectedRange sqref="L17:S18 N19:S20 P21:S22 R23:S24 S25 Q23 O21 M19 K17 X17:AE18 Z19:AE20 AB21:AE22 AD23:AE24 AE25 AC23 AA21 Y19 W17 AJ17:AQ18 AL19:AQ20 AN21:AQ22 AP23:AQ24 AQ25 AO23 AM21 AK19 AI17" name="Intervallo1_7"/>
    <protectedRange sqref="L89:S90 N91:S92 P93:S94 R95:S96 S97 Q95 O93 M91 K89 AJ89:AQ90 AL91:AQ92 AN93:AQ94 AP95:AQ96 AQ97 AO95 AM93 AK91 AI89" name="Intervallo1_9"/>
    <protectedRange sqref="X89:AE90 Z91:AE92 AB93:AE94 AD95:AE96 AE97 AC95 AA93 Y91 W89" name="Intervallo1_3_2"/>
    <protectedRange sqref="L101:S102 N103:S104 P105:S106 R107:S108 S109 Q107 O105 M103 K101 AJ101:AQ102 AL103:AQ104 AN105:AQ106 AP107:AQ108 AQ109 AO107 AM105 AK103 AI101" name="Intervallo1_11"/>
    <protectedRange sqref="X101:AE102 Z103:AE104 AB105:AE106 AD107:AE108 AE109 AC107 AA105 Y103 W101" name="Intervallo1_3_4"/>
    <protectedRange sqref="L113:S114 N115:S116 P117:S118 R119:S120 S121 Q119 O117 M115 K113 AJ113:AQ114 AL115:AQ116 AN117:AQ118 AP119:AQ120 AQ121 AO119 AM117 AK115 AI113" name="Intervallo1_13"/>
    <protectedRange sqref="X113:AE114 Z115:AE116 AB117:AE118 AD119:AE120 AE121 AC119 AA117 Y115 W113" name="Intervallo1_3_6"/>
    <protectedRange sqref="L125:S126 N127:S128 P129:S130 R131:S132 S133 Q131 O129 M127 K125 AJ125:AQ126 AL127:AQ128 AN129:AQ130 AP131:AQ132 AQ133 AO131 AM129 AK127 AI125" name="Intervallo1_15"/>
    <protectedRange sqref="X125:AE126 Z127:AE128 AB129:AE130 AD131:AE132 AE133 AC131 AA129 Y127 W125" name="Intervallo1_3_8"/>
    <protectedRange sqref="X29:AE30 Z31:AE32 AB33:AE34 AD35:AE36 AE37 AC35 AA33 Y31 W29" name="Intervallo1_4"/>
    <protectedRange sqref="AJ65:AQ66 AL67:AQ68 AN69:AQ70 AP71:AQ72 AQ73 AO71 AM69 AK67 AI65" name="Intervallo1_2"/>
  </protectedRanges>
  <conditionalFormatting sqref="AD41:AE48">
    <cfRule type="containsText" dxfId="65" priority="62" operator="containsText" text="&quot; &quot;">
      <formula>NOT(ISERROR(SEARCH(""" """,AD41)))</formula>
    </cfRule>
  </conditionalFormatting>
  <conditionalFormatting sqref="W41:AE41 X42:AE42 Y43:AE43 Z44:AE44 AA45:AE45 AB46:AE46 AC47:AE47 AD48:AE48 AE49">
    <cfRule type="containsBlanks" dxfId="64" priority="61">
      <formula>LEN(TRIM(W41))=0</formula>
    </cfRule>
  </conditionalFormatting>
  <conditionalFormatting sqref="AP41:AQ48">
    <cfRule type="containsText" dxfId="63" priority="60" operator="containsText" text="&quot; &quot;">
      <formula>NOT(ISERROR(SEARCH(""" """,AP41)))</formula>
    </cfRule>
  </conditionalFormatting>
  <conditionalFormatting sqref="AI41:AQ41 AJ42:AQ42 AK43:AQ43 AL44:AQ44 AM45:AQ45 AN46:AQ46 AO47:AQ47 AP48:AQ48 AQ49">
    <cfRule type="containsBlanks" dxfId="62" priority="59">
      <formula>LEN(TRIM(AI41))=0</formula>
    </cfRule>
  </conditionalFormatting>
  <conditionalFormatting sqref="R29:S36">
    <cfRule type="containsText" dxfId="61" priority="68" operator="containsText" text="&quot; &quot;">
      <formula>NOT(ISERROR(SEARCH(""" """,R29)))</formula>
    </cfRule>
  </conditionalFormatting>
  <conditionalFormatting sqref="K29:S29 L30:S30 M31:S31 N32:S32 O33:S33 P34:S34 Q35:S35 R36:S36 S37">
    <cfRule type="containsBlanks" dxfId="60" priority="67">
      <formula>LEN(TRIM(K29))=0</formula>
    </cfRule>
  </conditionalFormatting>
  <conditionalFormatting sqref="AP29:AQ36">
    <cfRule type="containsText" dxfId="59" priority="66" operator="containsText" text="&quot; &quot;">
      <formula>NOT(ISERROR(SEARCH(""" """,AP29)))</formula>
    </cfRule>
  </conditionalFormatting>
  <conditionalFormatting sqref="AI29:AQ29 AJ30:AQ30 AK31:AQ31 AL32:AQ32 AM33:AQ33 AN34:AQ34 AO35:AQ35 AP36:AQ36 AQ37">
    <cfRule type="containsBlanks" dxfId="58" priority="65">
      <formula>LEN(TRIM(AI29))=0</formula>
    </cfRule>
  </conditionalFormatting>
  <conditionalFormatting sqref="R41:S48">
    <cfRule type="containsText" dxfId="57" priority="64" operator="containsText" text="&quot; &quot;">
      <formula>NOT(ISERROR(SEARCH(""" """,R41)))</formula>
    </cfRule>
  </conditionalFormatting>
  <conditionalFormatting sqref="K41:S41 L42:S42 M43:S43 N44:S44 O45:S45 P46:S46 Q47:S47 R48:S48 S49">
    <cfRule type="containsBlanks" dxfId="56" priority="63">
      <formula>LEN(TRIM(K41))=0</formula>
    </cfRule>
  </conditionalFormatting>
  <conditionalFormatting sqref="R53:S60">
    <cfRule type="containsText" dxfId="55" priority="58" operator="containsText" text="&quot; &quot;">
      <formula>NOT(ISERROR(SEARCH(""" """,R53)))</formula>
    </cfRule>
  </conditionalFormatting>
  <conditionalFormatting sqref="K53:S53 L54:S54 M55:S55 N56:S56 O57:S57 P58:S58 Q59:S59 R60:S60 S61">
    <cfRule type="containsBlanks" dxfId="54" priority="57">
      <formula>LEN(TRIM(K53))=0</formula>
    </cfRule>
  </conditionalFormatting>
  <conditionalFormatting sqref="AD53:AE60">
    <cfRule type="containsText" dxfId="53" priority="56" operator="containsText" text="&quot; &quot;">
      <formula>NOT(ISERROR(SEARCH(""" """,AD53)))</formula>
    </cfRule>
  </conditionalFormatting>
  <conditionalFormatting sqref="W53:AE53 X54:AE54 Y55:AE55 Z56:AE56 AA57:AE57 AB58:AE58 AC59:AE59 AD60:AE60 AE61">
    <cfRule type="containsBlanks" dxfId="52" priority="55">
      <formula>LEN(TRIM(W53))=0</formula>
    </cfRule>
  </conditionalFormatting>
  <conditionalFormatting sqref="AP53:AQ60">
    <cfRule type="containsText" dxfId="51" priority="54" operator="containsText" text="&quot; &quot;">
      <formula>NOT(ISERROR(SEARCH(""" """,AP53)))</formula>
    </cfRule>
  </conditionalFormatting>
  <conditionalFormatting sqref="AI53:AQ53 AJ54:AQ54 AK55:AQ55 AL56:AQ56 AM57:AQ57 AN58:AQ58 AO59:AQ59 AP60:AQ60 AQ61">
    <cfRule type="containsBlanks" dxfId="50" priority="53">
      <formula>LEN(TRIM(AI53))=0</formula>
    </cfRule>
  </conditionalFormatting>
  <conditionalFormatting sqref="R65:S72">
    <cfRule type="containsText" dxfId="49" priority="52" operator="containsText" text="&quot; &quot;">
      <formula>NOT(ISERROR(SEARCH(""" """,R65)))</formula>
    </cfRule>
  </conditionalFormatting>
  <conditionalFormatting sqref="K65:S65 L66:S66 M67:S67 N68:S68 O69:S69 P70:S70 Q71:S71 R72:S72 S73">
    <cfRule type="containsBlanks" dxfId="48" priority="51">
      <formula>LEN(TRIM(K65))=0</formula>
    </cfRule>
  </conditionalFormatting>
  <conditionalFormatting sqref="AD65:AE72">
    <cfRule type="containsText" dxfId="47" priority="50" operator="containsText" text="&quot; &quot;">
      <formula>NOT(ISERROR(SEARCH(""" """,AD65)))</formula>
    </cfRule>
  </conditionalFormatting>
  <conditionalFormatting sqref="W65:AE65 X66:AE66 Y67:AE67 Z68:AE68 AA69:AE69 AB70:AE70 AC71:AE71 AD72:AE72 AE73">
    <cfRule type="containsBlanks" dxfId="46" priority="49">
      <formula>LEN(TRIM(W65))=0</formula>
    </cfRule>
  </conditionalFormatting>
  <conditionalFormatting sqref="R77:S84">
    <cfRule type="containsText" dxfId="45" priority="46" operator="containsText" text="&quot; &quot;">
      <formula>NOT(ISERROR(SEARCH(""" """,R77)))</formula>
    </cfRule>
  </conditionalFormatting>
  <conditionalFormatting sqref="K77:S77 L78:S78 M79:S79 N80:S80 O81:S81 P82:S82 Q83:S83 R84:S84 S85">
    <cfRule type="containsBlanks" dxfId="44" priority="45">
      <formula>LEN(TRIM(K77))=0</formula>
    </cfRule>
  </conditionalFormatting>
  <conditionalFormatting sqref="AD77:AE84">
    <cfRule type="containsText" dxfId="43" priority="44" operator="containsText" text="&quot; &quot;">
      <formula>NOT(ISERROR(SEARCH(""" """,AD77)))</formula>
    </cfRule>
  </conditionalFormatting>
  <conditionalFormatting sqref="W77:AE77 X78:AE78 Y79:AE79 Z80:AE80 AA81:AE81 AB82:AE82 AC83:AE83 AD84:AE84 AE85">
    <cfRule type="containsBlanks" dxfId="42" priority="43">
      <formula>LEN(TRIM(W77))=0</formula>
    </cfRule>
  </conditionalFormatting>
  <conditionalFormatting sqref="AP77:AQ84">
    <cfRule type="containsText" dxfId="41" priority="42" operator="containsText" text="&quot; &quot;">
      <formula>NOT(ISERROR(SEARCH(""" """,AP77)))</formula>
    </cfRule>
  </conditionalFormatting>
  <conditionalFormatting sqref="AI77:AQ77 AJ78:AQ78 AK79:AQ79 AL80:AQ80 AM81:AQ81 AN82:AQ82 AO83:AQ83 AP84:AQ84 AQ85">
    <cfRule type="containsBlanks" dxfId="40" priority="41">
      <formula>LEN(TRIM(AI77))=0</formula>
    </cfRule>
  </conditionalFormatting>
  <conditionalFormatting sqref="W125:AE125 X126:AE126 Y127:AE127 Z128:AE128 AA129:AE129 AB130:AE130 AC131:AE131 AD132:AE132 AE133">
    <cfRule type="containsBlanks" dxfId="39" priority="5">
      <formula>LEN(TRIM(W125))=0</formula>
    </cfRule>
  </conditionalFormatting>
  <conditionalFormatting sqref="AD125:AE132">
    <cfRule type="containsText" dxfId="38" priority="6" operator="containsText" text="&quot; &quot;">
      <formula>NOT(ISERROR(SEARCH(""" """,AD125)))</formula>
    </cfRule>
  </conditionalFormatting>
  <conditionalFormatting sqref="R5:S12">
    <cfRule type="containsText" dxfId="37" priority="40" operator="containsText" text="&quot; &quot;">
      <formula>NOT(ISERROR(SEARCH(""" """,R5)))</formula>
    </cfRule>
  </conditionalFormatting>
  <conditionalFormatting sqref="K5:S5 L6:S6 M7:S7 N8:S8 O9:S9 P10:S10 Q11:S11 R12:S12 S13">
    <cfRule type="containsBlanks" dxfId="36" priority="39">
      <formula>LEN(TRIM(K5))=0</formula>
    </cfRule>
  </conditionalFormatting>
  <conditionalFormatting sqref="AD5:AE12">
    <cfRule type="containsText" dxfId="35" priority="38" operator="containsText" text="&quot; &quot;">
      <formula>NOT(ISERROR(SEARCH(""" """,AD5)))</formula>
    </cfRule>
  </conditionalFormatting>
  <conditionalFormatting sqref="W5:AE5 X6:AE6 Y7:AE7 Z8:AE8 AA9:AE9 AB10:AE10 AC11:AE11 AD12:AE12 AE13">
    <cfRule type="containsBlanks" dxfId="34" priority="37">
      <formula>LEN(TRIM(W5))=0</formula>
    </cfRule>
  </conditionalFormatting>
  <conditionalFormatting sqref="AP5:AQ12">
    <cfRule type="containsText" dxfId="33" priority="36" operator="containsText" text="&quot; &quot;">
      <formula>NOT(ISERROR(SEARCH(""" """,AP5)))</formula>
    </cfRule>
  </conditionalFormatting>
  <conditionalFormatting sqref="AI5:AQ5 AJ6:AQ6 AK7:AQ7 AL8:AQ8 AM9:AQ9 AN10:AQ10 AO11:AQ11 AP12:AQ12 AQ13">
    <cfRule type="containsBlanks" dxfId="32" priority="35">
      <formula>LEN(TRIM(AI5))=0</formula>
    </cfRule>
  </conditionalFormatting>
  <conditionalFormatting sqref="R17:S24">
    <cfRule type="containsText" dxfId="31" priority="34" operator="containsText" text="&quot; &quot;">
      <formula>NOT(ISERROR(SEARCH(""" """,R17)))</formula>
    </cfRule>
  </conditionalFormatting>
  <conditionalFormatting sqref="K17:S17 L18:S18 M19:S19 N20:S20 O21:S21 P22:S22 Q23:S23 R24:S24 S25">
    <cfRule type="containsBlanks" dxfId="30" priority="33">
      <formula>LEN(TRIM(K17))=0</formula>
    </cfRule>
  </conditionalFormatting>
  <conditionalFormatting sqref="AD17:AE24">
    <cfRule type="containsText" dxfId="29" priority="32" operator="containsText" text="&quot; &quot;">
      <formula>NOT(ISERROR(SEARCH(""" """,AD17)))</formula>
    </cfRule>
  </conditionalFormatting>
  <conditionalFormatting sqref="W17:AE17 X18:AE18 Y19:AE19 Z20:AE20 AA21:AE21 AB22:AE22 AC23:AE23 AD24:AE24 AE25">
    <cfRule type="containsBlanks" dxfId="28" priority="31">
      <formula>LEN(TRIM(W17))=0</formula>
    </cfRule>
  </conditionalFormatting>
  <conditionalFormatting sqref="AP17:AQ24">
    <cfRule type="containsText" dxfId="27" priority="30" operator="containsText" text="&quot; &quot;">
      <formula>NOT(ISERROR(SEARCH(""" """,AP17)))</formula>
    </cfRule>
  </conditionalFormatting>
  <conditionalFormatting sqref="AI17:AQ17 AJ18:AQ18 AK19:AQ19 AL20:AQ20 AM21:AQ21 AN22:AQ22 AO23:AQ23 AP24:AQ24 AQ25">
    <cfRule type="containsBlanks" dxfId="26" priority="29">
      <formula>LEN(TRIM(AI17))=0</formula>
    </cfRule>
  </conditionalFormatting>
  <conditionalFormatting sqref="R89:S96">
    <cfRule type="containsText" dxfId="25" priority="28" operator="containsText" text="&quot; &quot;">
      <formula>NOT(ISERROR(SEARCH(""" """,R89)))</formula>
    </cfRule>
  </conditionalFormatting>
  <conditionalFormatting sqref="K89:S89 L90:S90 M91:S91 N92:S92 O93:S93 P94:S94 Q95:S95 R96:S96 S97">
    <cfRule type="containsBlanks" dxfId="24" priority="27">
      <formula>LEN(TRIM(K89))=0</formula>
    </cfRule>
  </conditionalFormatting>
  <conditionalFormatting sqref="AP89:AQ96">
    <cfRule type="containsText" dxfId="23" priority="26" operator="containsText" text="&quot; &quot;">
      <formula>NOT(ISERROR(SEARCH(""" """,AP89)))</formula>
    </cfRule>
  </conditionalFormatting>
  <conditionalFormatting sqref="AI89:AQ89 AJ90:AQ90 AK91:AQ91 AL92:AQ92 AM93:AQ93 AN94:AQ94 AO95:AQ95 AP96:AQ96 AQ97">
    <cfRule type="containsBlanks" dxfId="22" priority="25">
      <formula>LEN(TRIM(AI89))=0</formula>
    </cfRule>
  </conditionalFormatting>
  <conditionalFormatting sqref="AD89:AE96">
    <cfRule type="containsText" dxfId="21" priority="24" operator="containsText" text="&quot; &quot;">
      <formula>NOT(ISERROR(SEARCH(""" """,AD89)))</formula>
    </cfRule>
  </conditionalFormatting>
  <conditionalFormatting sqref="W89:AE89 X90:AE90 Y91:AE91 Z92:AE92 AA93:AE93 AB94:AE94 AC95:AE95 AD96:AE96 AE97">
    <cfRule type="containsBlanks" dxfId="20" priority="23">
      <formula>LEN(TRIM(W89))=0</formula>
    </cfRule>
  </conditionalFormatting>
  <conditionalFormatting sqref="R101:S108">
    <cfRule type="containsText" dxfId="19" priority="22" operator="containsText" text="&quot; &quot;">
      <formula>NOT(ISERROR(SEARCH(""" """,R101)))</formula>
    </cfRule>
  </conditionalFormatting>
  <conditionalFormatting sqref="K101:S101 L102:S102 M103:S103 N104:S104 O105:S105 P106:S106 Q107:S107 R108:S108 S109">
    <cfRule type="containsBlanks" dxfId="18" priority="21">
      <formula>LEN(TRIM(K101))=0</formula>
    </cfRule>
  </conditionalFormatting>
  <conditionalFormatting sqref="AP101:AQ108">
    <cfRule type="containsText" dxfId="17" priority="20" operator="containsText" text="&quot; &quot;">
      <formula>NOT(ISERROR(SEARCH(""" """,AP101)))</formula>
    </cfRule>
  </conditionalFormatting>
  <conditionalFormatting sqref="AI101:AQ101 AJ102:AQ102 AK103:AQ103 AL104:AQ104 AM105:AQ105 AN106:AQ106 AO107:AQ107 AP108:AQ108 AQ109">
    <cfRule type="containsBlanks" dxfId="16" priority="19">
      <formula>LEN(TRIM(AI101))=0</formula>
    </cfRule>
  </conditionalFormatting>
  <conditionalFormatting sqref="AD101:AE108">
    <cfRule type="containsText" dxfId="15" priority="18" operator="containsText" text="&quot; &quot;">
      <formula>NOT(ISERROR(SEARCH(""" """,AD101)))</formula>
    </cfRule>
  </conditionalFormatting>
  <conditionalFormatting sqref="W101:AE101 X102:AE102 Y103:AE103 Z104:AE104 AA105:AE105 AB106:AE106 AC107:AE107 AD108:AE108 AE109">
    <cfRule type="containsBlanks" dxfId="14" priority="17">
      <formula>LEN(TRIM(W101))=0</formula>
    </cfRule>
  </conditionalFormatting>
  <conditionalFormatting sqref="R113:S120">
    <cfRule type="containsText" dxfId="13" priority="16" operator="containsText" text="&quot; &quot;">
      <formula>NOT(ISERROR(SEARCH(""" """,R113)))</formula>
    </cfRule>
  </conditionalFormatting>
  <conditionalFormatting sqref="K113:S113 L114:S114 M115:S115 N116:S116 O117:S117 P118:S118 Q119:S119 R120:S120 S121">
    <cfRule type="containsBlanks" dxfId="12" priority="15">
      <formula>LEN(TRIM(K113))=0</formula>
    </cfRule>
  </conditionalFormatting>
  <conditionalFormatting sqref="AP113:AQ120">
    <cfRule type="containsText" dxfId="11" priority="14" operator="containsText" text="&quot; &quot;">
      <formula>NOT(ISERROR(SEARCH(""" """,AP113)))</formula>
    </cfRule>
  </conditionalFormatting>
  <conditionalFormatting sqref="AI113:AQ113 AJ114:AQ114 AK115:AQ115 AL116:AQ116 AM117:AQ117 AN118:AQ118 AO119:AQ119 AP120:AQ120 AQ121">
    <cfRule type="containsBlanks" dxfId="10" priority="13">
      <formula>LEN(TRIM(AI113))=0</formula>
    </cfRule>
  </conditionalFormatting>
  <conditionalFormatting sqref="AD113:AE120">
    <cfRule type="containsText" dxfId="9" priority="12" operator="containsText" text="&quot; &quot;">
      <formula>NOT(ISERROR(SEARCH(""" """,AD113)))</formula>
    </cfRule>
  </conditionalFormatting>
  <conditionalFormatting sqref="W113:AE113 X114:AE114 Y115:AE115 Z116:AE116 AA117:AE117 AB118:AE118 AC119:AE119 AD120:AE120 AE121">
    <cfRule type="containsBlanks" dxfId="8" priority="11">
      <formula>LEN(TRIM(W113))=0</formula>
    </cfRule>
  </conditionalFormatting>
  <conditionalFormatting sqref="R125:S132">
    <cfRule type="containsText" dxfId="7" priority="10" operator="containsText" text="&quot; &quot;">
      <formula>NOT(ISERROR(SEARCH(""" """,R125)))</formula>
    </cfRule>
  </conditionalFormatting>
  <conditionalFormatting sqref="K125:S125 L126:S126 M127:S127 N128:S128 O129:S129 P130:S130 Q131:S131 R132:S132 S133">
    <cfRule type="containsBlanks" dxfId="6" priority="9">
      <formula>LEN(TRIM(K125))=0</formula>
    </cfRule>
  </conditionalFormatting>
  <conditionalFormatting sqref="AP125:AQ132">
    <cfRule type="containsText" dxfId="5" priority="8" operator="containsText" text="&quot; &quot;">
      <formula>NOT(ISERROR(SEARCH(""" """,AP125)))</formula>
    </cfRule>
  </conditionalFormatting>
  <conditionalFormatting sqref="AI125:AQ125 AJ126:AQ126 AK127:AQ127 AL128:AQ128 AM129:AQ129 AN130:AQ130 AO131:AQ131 AP132:AQ132 AQ133">
    <cfRule type="containsBlanks" dxfId="4" priority="7">
      <formula>LEN(TRIM(AI125))=0</formula>
    </cfRule>
  </conditionalFormatting>
  <conditionalFormatting sqref="AD29:AE36">
    <cfRule type="containsText" dxfId="3" priority="4" operator="containsText" text="&quot; &quot;">
      <formula>NOT(ISERROR(SEARCH(""" """,AD29)))</formula>
    </cfRule>
  </conditionalFormatting>
  <conditionalFormatting sqref="W29:AE29 X30:AE30 Y31:AE31 Z32:AE32 AA33:AE33 AB34:AE34 AC35:AE35 AD36:AE36 AE37">
    <cfRule type="containsBlanks" dxfId="2" priority="3">
      <formula>LEN(TRIM(W29))=0</formula>
    </cfRule>
  </conditionalFormatting>
  <conditionalFormatting sqref="AP65:AQ72">
    <cfRule type="containsText" dxfId="1" priority="2" operator="containsText" text="&quot; &quot;">
      <formula>NOT(ISERROR(SEARCH(""" """,AP65)))</formula>
    </cfRule>
  </conditionalFormatting>
  <conditionalFormatting sqref="AI65:AQ65 AJ66:AQ66 AK67:AQ67 AL68:AQ68 AM69:AQ69 AN70:AQ70 AO71:AQ71 AP72:AQ72 AQ73">
    <cfRule type="containsBlanks" dxfId="0" priority="1">
      <formula>LEN(TRIM(AI65))=0</formula>
    </cfRule>
  </conditionalFormatting>
  <dataValidations count="44">
    <dataValidation type="list" allowBlank="1" showInputMessage="1" showErrorMessage="1" sqref="AI125 AI113 AI101 AI77 K77 AI65 K17 AI17 K53 AI5 AI53 AI41 W41 K5 W125 W77 W113 W101 W89 W29 AI29 W5 W17 W53 W65 K125 K101 K113 AI89 K89 K65 K29 K41" xr:uid="{00000000-0002-0000-0100-000000000000}">
      <formula1>AB</formula1>
    </dataValidation>
    <dataValidation type="list" allowBlank="1" showInputMessage="1" showErrorMessage="1" sqref="AK127 AK115 AK103 AK79 M79 AK67 M19 AK19 AK55 AK7 AK43 Y43 M7 Y127 Y79 Y115 Y103 Y91 Y55 Y31 Y19 Y67 AK31 M127 M103 M115 AK91 M91 M67 M31 M43 M55 Y7" xr:uid="{00000000-0002-0000-0100-000001000000}">
      <formula1>CD</formula1>
    </dataValidation>
    <dataValidation type="list" allowBlank="1" showInputMessage="1" showErrorMessage="1" sqref="AL127 AL115 AL103 AL79 N79 AL67 N19 AL19 AL55 AL7 AL43 Z43 N7 Z127 Z79 Z115 Z103 Z91 Z55 Z7 Z31 Z19 Z67 AL31 N127 N103 N115 AL91 N91 N67 N31 N43 N55" xr:uid="{00000000-0002-0000-0100-000002000000}">
      <formula1>CE</formula1>
    </dataValidation>
    <dataValidation type="list" allowBlank="1" showInputMessage="1" showErrorMessage="1" sqref="AL128 AL116 AL104 AL80 N80 AL68 N20 AL20 AL56 AL8 AL44 Z44 N8 Z128 Z80 Z116 Z104 Z92 Z56 Z8 Z32 Z20 Z68 AL32 N128 N104 N116 AL92 N92 N68 N32 N44 N56" xr:uid="{00000000-0002-0000-0100-000003000000}">
      <formula1>DE</formula1>
    </dataValidation>
    <dataValidation type="list" allowBlank="1" showInputMessage="1" showErrorMessage="1" sqref="AN126 AN114 AN102 AN78 P78 AN66 P18 AN18 AN54 AN6 AN42 AB42 P6 AB126 AB114 AB102 AB90 AB54 AB6 AB30 AB18 AB66 AB78 P126 P102 P114 AN90 P90 P66 P30 AN30 P42 P54" xr:uid="{00000000-0002-0000-0100-000004000000}">
      <formula1>BG</formula1>
    </dataValidation>
    <dataValidation type="list" allowBlank="1" showInputMessage="1" showErrorMessage="1" sqref="AO126 AO114 AO102 AO78 Q78 AO66 Q18 AO18 AO54 AO6 AO42 AC42 Q6 AC126 AC114 AC102 AC90 AC54 AC30 AC18 AC66 AC78 Q126 Q102 Q114 AO90 Q90 Q66 Q30 AO30 Q42 Q54 AC6" xr:uid="{00000000-0002-0000-0100-000005000000}">
      <formula1>BH</formula1>
    </dataValidation>
    <dataValidation type="list" allowBlank="1" showInputMessage="1" showErrorMessage="1" sqref="AP126 AP114 AP102 AP78 R78 AP66 R18 AP18 AP54 AP6 AP42 AD42 R6 AD126 AD114 AD102 AD90 AD54 AD6 AD30 AD18 AD66 AD78 R126 R102 R114 AP90 R90 R66 R30 AP30 R42 R54" xr:uid="{00000000-0002-0000-0100-000006000000}">
      <formula1>BI</formula1>
    </dataValidation>
    <dataValidation type="list" allowBlank="1" showInputMessage="1" showErrorMessage="1" sqref="AQ126 AQ114 AQ102 AQ78 S78 AQ66 S18 AQ18 AQ54 AQ6 AQ42 AQ30 AE42 S6 AE126 AE114 AE102 AE90 AE54 AE6 AE30 AE18 AE66 AE78 S126 S102 S114 AQ90 S90 S66 S30 S42 S54" xr:uid="{00000000-0002-0000-0100-000007000000}">
      <formula1>BL</formula1>
    </dataValidation>
    <dataValidation type="list" allowBlank="1" showInputMessage="1" showErrorMessage="1" sqref="AM127 AM115 AM103 AM79 O79 AM67 O19 AM19 AM55 AM7 AM43 AA43 O7 AA127 AA115 AA103 AA91 AA55 AA7 AA31 AA19 AA67 AA79 O127 O103 O115 AM91 O91 O67 O31 AM31 O43 O55" xr:uid="{00000000-0002-0000-0100-000008000000}">
      <formula1>CF</formula1>
    </dataValidation>
    <dataValidation type="list" allowBlank="1" showInputMessage="1" showErrorMessage="1" sqref="AN127 AN115 AN103 AN79 P79 AN67 P19 AN19 AN55 AN7 AN43 AB43 P7 AB127 AB115 AB103 AB91 AB55 AB31 AB19 AB67 AB79 P127 P103 P115 AN91 P91 P67 P31 AN31 P43 P55 AB7" xr:uid="{00000000-0002-0000-0100-000009000000}">
      <formula1>CG</formula1>
    </dataValidation>
    <dataValidation type="list" allowBlank="1" showInputMessage="1" showErrorMessage="1" sqref="AO127 AO115 AO103 AO79 Q79 AO67 Q19 AO19 AO55 AO7 AO43 AC43 Q7 AC127 AC115 AC103 AC91 AC55 AC7 AC31 AC19 AC67 AC79 Q127 Q103 Q115 AO91 Q91 Q67 Q31 AO31 Q43 Q55" xr:uid="{00000000-0002-0000-0100-00000A000000}">
      <formula1>CH</formula1>
    </dataValidation>
    <dataValidation type="list" allowBlank="1" showInputMessage="1" showErrorMessage="1" sqref="AP127 AP115 AP103 AP79 R79 AP67 R19 AP19 AP55 AP7 AP43 AD43 R7 AD127 AD115 AD103 AD91 AD55 AD7 AD31 AD19 AD67 AD79 R127 R103 R115 AP91 R91 R67 R31 AP31 R43 R55" xr:uid="{00000000-0002-0000-0100-00000B000000}">
      <formula1>CI</formula1>
    </dataValidation>
    <dataValidation type="list" allowBlank="1" showInputMessage="1" showErrorMessage="1" sqref="AQ127 AQ115 AQ103 AQ79 S79 AQ67 S19 AQ19 AQ55 AQ7 AQ43 AQ31 AE43 S7 AE127 AE115 AE103 AE91 AE55 AE7 AE31 AE19 AE67 AE79 S127 S103 S115 AQ91 S91 S67 S31 S43 S55" xr:uid="{00000000-0002-0000-0100-00000C000000}">
      <formula1>CL</formula1>
    </dataValidation>
    <dataValidation type="list" allowBlank="1" showInputMessage="1" showErrorMessage="1" sqref="AM128 AM116 AM104 AM80 O80 AM68 O20 AM20 AM56 AM8 AM44 AA44 O8 AA128 AA116 AA104 AA92 AA56 AA8 AA32 AA20 AA68 AA80 O128 O104 O116 AM92 O92 O68 O32 AM32 O44 O56" xr:uid="{00000000-0002-0000-0100-00000D000000}">
      <formula1>DF</formula1>
    </dataValidation>
    <dataValidation type="list" allowBlank="1" showInputMessage="1" showErrorMessage="1" sqref="AN128 AN116 AN104 AN80 P80 AN68 P20 AN20 AN56 AN8 AN44 AB44 P8 AB128 AB116 AB104 AB92 AB56 AB8 AB32 AB20 AB68 AB80 P128 P104 P116 AN92 P92 P68 P32 AN32 P44 P56" xr:uid="{00000000-0002-0000-0100-00000E000000}">
      <formula1>DG</formula1>
    </dataValidation>
    <dataValidation type="list" allowBlank="1" showInputMessage="1" showErrorMessage="1" sqref="AO128 AO116 AO104 AO80 Q80 AO68 Q20 AO20 AO56 AO8 AO44 AC44 Q8 AC128 AC116 AC104 AC92 AC56 AC8 AC32 AC20 AC68 AC80 Q128 Q104 Q116 AO92 Q92 Q68 Q32 AO32 Q44 Q56" xr:uid="{00000000-0002-0000-0100-00000F000000}">
      <formula1>DH</formula1>
    </dataValidation>
    <dataValidation type="list" allowBlank="1" showInputMessage="1" showErrorMessage="1" sqref="AP128 AP116 AP104 AP80 R80 AP68 R20 AP20 AP56 AP8 AP44 AD44 R8 AD128 AD116 AD104 AD92 AD56 AD8 AD32 AD20 AD68 AD80 R128 R104 R116 AP92 R92 R68 R32 AP32 R44 R56" xr:uid="{00000000-0002-0000-0100-000010000000}">
      <formula1>DI</formula1>
    </dataValidation>
    <dataValidation type="list" allowBlank="1" showInputMessage="1" showErrorMessage="1" sqref="AQ128 AQ116 AQ104 AQ80 S80 AQ68 S20 AQ20 AQ56 AQ8 AQ44 AQ32 AE44 S8 AE128 AE116 AE104 AE92 AE56 AE8 AE32 AE20 AE68 AE80 S128 S104 S116 AQ92 S92 S68 S32 S44 S56" xr:uid="{00000000-0002-0000-0100-000011000000}">
      <formula1>DL</formula1>
    </dataValidation>
    <dataValidation type="list" allowBlank="1" showInputMessage="1" showErrorMessage="1" sqref="AM129 AM117 AM105 AM81 O81 AM69 O21 AM21 AM57 AM9 AM45 AA45 O9 AA129 AA117 AA105 AA93 AA57 AA9 AA33 AA21 AA69 AA81 O129 O105 O117 AM93 O93 O69 O33 AM33 O45 O57" xr:uid="{00000000-0002-0000-0100-000012000000}">
      <formula1>EF</formula1>
    </dataValidation>
    <dataValidation type="list" allowBlank="1" showInputMessage="1" showErrorMessage="1" sqref="AN129 AN117 AN105 AN81 P81 AN69 P21 AN21 AN57 AN9 AN45 AB45 P9 AB129 AB117 AB105 AB93 AB57 AB9 AB33 AB21 AB69 AB81 P129 P105 P117 AN93 P93 P69 P33 AN33 P45 P57" xr:uid="{00000000-0002-0000-0100-000013000000}">
      <formula1>EG</formula1>
    </dataValidation>
    <dataValidation type="list" allowBlank="1" showInputMessage="1" showErrorMessage="1" sqref="AO129 AO117 AO105 AO81 Q81 AO69 Q21 AO21 AO57 AO9 AO45 AC45 Q9 AC129 AC117 AC105 AC93 AC57 AC9 AC33 AC21 AC69 AC81 Q129 Q105 Q117 AO93 Q93 Q69 Q33 AO33 Q45 Q57" xr:uid="{00000000-0002-0000-0100-000014000000}">
      <formula1>EH</formula1>
    </dataValidation>
    <dataValidation type="list" allowBlank="1" showInputMessage="1" showErrorMessage="1" sqref="AP129 AP117 AP105 AP81 R81 AP69 R21 AP21 AP57 AP9 AP45 AD45 R9 AD129 AD117 AD105 AD93 AD57 AD9 AD33 AD21 AD69 AD81 R129 R105 R117 AP93 R93 R69 R33 AP33 R45 R57" xr:uid="{00000000-0002-0000-0100-000015000000}">
      <formula1>EI</formula1>
    </dataValidation>
    <dataValidation type="list" allowBlank="1" showInputMessage="1" showErrorMessage="1" sqref="AQ129 AQ117 AQ105 AQ81 S81 AQ69 S21 AQ21 AQ57 AQ9 AQ45 AQ33 AE45 S9 AE129 AE117 AE105 AE93 AE57 AE9 AE33 AE21 AE69 AE81 S129 S105 S117 AQ93 S93 S69 S33 S45 S57" xr:uid="{00000000-0002-0000-0100-000016000000}">
      <formula1>EL</formula1>
    </dataValidation>
    <dataValidation type="list" allowBlank="1" showInputMessage="1" showErrorMessage="1" sqref="AN130 AN118 AN106 AN82 P82 AN70 P22 AN22 AN58 AN10 AN46 AB46 P10 AB130 AB118 AB106 AB94 AB58 AB10 AB34 AB22 AB70 AB82 P130 P106 P118 AN94 P94 P70 P34 AN34 P46 P58" xr:uid="{00000000-0002-0000-0100-000017000000}">
      <formula1>FG</formula1>
    </dataValidation>
    <dataValidation type="list" allowBlank="1" showInputMessage="1" showErrorMessage="1" sqref="AO130 AO118 AO106 AO82 Q82 AO70 Q22 AO22 AO58 AO10 AO46 AC46 Q10 AC130 AC118 AC106 AC94 AC58 AC10 AC34 AC22 AC70 AC82 Q130 Q106 Q118 AO94 Q94 Q70 Q34 AO34 Q46 Q58" xr:uid="{00000000-0002-0000-0100-000018000000}">
      <formula1>FH</formula1>
    </dataValidation>
    <dataValidation type="list" allowBlank="1" showInputMessage="1" showErrorMessage="1" sqref="AP130 AP118 AP106 AP82 R82 AP70 R22 AP22 AP58 AP10 AP46 AD46 R10 AD130 AD118 AD106 AD94 AD58 AD10 AD34 AD22 AD70 AD82 R130 R106 R118 AP94 R94 R70 R34 AP34 R46 R58" xr:uid="{00000000-0002-0000-0100-000019000000}">
      <formula1>FI</formula1>
    </dataValidation>
    <dataValidation type="list" allowBlank="1" showInputMessage="1" showErrorMessage="1" sqref="AQ130 AQ118 AQ106 AQ82 S82 AQ70 S22 AQ22 AQ58 AQ10 AQ46 AQ34 AE46 S10 AE130 AE118 AE106 AE94 AE58 AE10 AE34 AE22 AE70 AE82 S130 S106 S118 AQ94 S94 S70 S34 S46 S58" xr:uid="{00000000-0002-0000-0100-00001A000000}">
      <formula1>FL</formula1>
    </dataValidation>
    <dataValidation type="list" allowBlank="1" showInputMessage="1" showErrorMessage="1" sqref="AO131 AO119 AO107 AO83 Q83 AO71 Q23 AO23 AO59 AO11 AO47 AC47 Q11 AC131 AC119 AC107 AC95 AC59 AC11 AC35 AC23 AC71 AC83 Q131 Q107 Q119 AO95 Q95 Q71 Q35 AO35 Q47 Q59" xr:uid="{00000000-0002-0000-0100-00001B000000}">
      <formula1>GH</formula1>
    </dataValidation>
    <dataValidation type="list" allowBlank="1" showInputMessage="1" showErrorMessage="1" sqref="AP131 AP119 AP107 AP83 R83 AP71 R23 AP23 AP59 AP11 AP47 AD47 R11 AD131 AD119 AD107 AD95 AD59 AD11 AD35 AD23 AD71 AD83 R131 R107 R119 AP95 R95 R71 R35 AP35 R47 R59" xr:uid="{00000000-0002-0000-0100-00001C000000}">
      <formula1>GI</formula1>
    </dataValidation>
    <dataValidation type="list" allowBlank="1" showInputMessage="1" showErrorMessage="1" sqref="AQ131 AQ119 AQ107 AQ83 S83 AQ71 S23 AQ23 AQ59 AQ11 AQ47 AE47 S11 AE131 AE119 AE107 AE95 AE59 AE11 AE35 AE23 AE71 AE83 S131 S107 S119 AQ95 S95 S71 S35 AQ35 S47 S59" xr:uid="{00000000-0002-0000-0100-00001D000000}">
      <formula1>GL</formula1>
    </dataValidation>
    <dataValidation type="list" allowBlank="1" showInputMessage="1" showErrorMessage="1" sqref="AP132 AP120 AP108 AP84 R84 AP72 R24 AP24 AP60 AP12 AP48 AD48 R12 AD132 AD120 AD108 AD96 AD60 AD12 AD36 AD24 AD72 AD84 R132 R108 R120 AP96 R96 R72 R36 AP36 R48 R60" xr:uid="{00000000-0002-0000-0100-00001E000000}">
      <formula1>HI</formula1>
    </dataValidation>
    <dataValidation type="list" allowBlank="1" showInputMessage="1" showErrorMessage="1" sqref="AQ132 AQ120 AQ108 AQ84 S84 AQ72 S24 AQ24 AQ60 AQ12 AQ48 AE48 S12 AE132 AE120 AE108 AE96 AE60 AE12 AE36 AE24 AE72 AE84 S132 S108 S120 AQ96 S96 S72 S36 AQ36 S48 S60" xr:uid="{00000000-0002-0000-0100-00001F000000}">
      <formula1>HL</formula1>
    </dataValidation>
    <dataValidation type="list" allowBlank="1" showInputMessage="1" showErrorMessage="1" sqref="AK53 AK17 M17 AK65 M77 AK77 AK101 AK113 AK125 AK5 AK41 Y41 M5 Y5 AK29 Y29 Y89 Y101 Y113 Y77 Y125 Y17 Y53 Y65 M125 M29 M65 M89 AK89 M113 M101 M41 M53" xr:uid="{00000000-0002-0000-0100-000020000000}">
      <formula1>AD</formula1>
    </dataValidation>
    <dataValidation type="list" allowBlank="1" showInputMessage="1" showErrorMessage="1" sqref="AJ54 AJ18 L18 AJ66 L78 AJ78 AJ102 AJ114 AJ126 AJ6 AJ42 X42 L6 X30 X6 X54 X90 X102 X114 X78 X126 X18 X66 AJ30 L126 L30 L66 L90 AJ90 L114 L102 L42 L54" xr:uid="{00000000-0002-0000-0100-000021000000}">
      <formula1>BC</formula1>
    </dataValidation>
    <dataValidation type="list" allowBlank="1" showInputMessage="1" showErrorMessage="1" sqref="AK54 AK18 M18 AK66 M78 AK78 AK102 AK114 AK126 AK6 AK42 Y42 M6 Y30 Y6 Y54 Y90 Y102 Y114 Y78 Y126 Y18 Y66 AK30 M126 M30 M66 M90 AK90 M114 M102 M42 M54" xr:uid="{00000000-0002-0000-0100-000022000000}">
      <formula1>BD</formula1>
    </dataValidation>
    <dataValidation type="list" allowBlank="1" showInputMessage="1" showErrorMessage="1" sqref="AL54 AL18 N18 AL66 N78 AL78 AL102 AL114 AL126 AL6 AL42 Z42 N6 Z30 Z6 Z54 Z90 Z102 Z114 Z78 Z126 Z18 Z66 AL30 N126 N30 N66 N90 AL90 N114 N102 N42 N54" xr:uid="{00000000-0002-0000-0100-000023000000}">
      <formula1>BE</formula1>
    </dataValidation>
    <dataValidation type="list" allowBlank="1" showInputMessage="1" showErrorMessage="1" sqref="AL53 AL17 N17 AL65 N77 AL77 AL101 AL113 AL125 AL5 AL41 Z41 N5 Z5 AL29 Z29 Z89 Z101 Z113 Z77 Z125 Z17 Z53 Z65 N125 N29 N65 N89 AL89 N113 N101 N41 N53" xr:uid="{00000000-0002-0000-0100-000024000000}">
      <formula1>AE</formula1>
    </dataValidation>
    <dataValidation type="list" allowBlank="1" showInputMessage="1" showErrorMessage="1" sqref="AM53 AM17 O17 AM65 O77 AM77 AM101 AM113 AM125 AM5 AM41 AA41 O5 AA5 AM29 AA29 AA77 AA89 AA101 AA113 AA125 AA17 AA53 AA65 O125 O29 O65 O89 AM89 O113 O101 O41 O53" xr:uid="{00000000-0002-0000-0100-000025000000}">
      <formula1>AF</formula1>
    </dataValidation>
    <dataValidation type="list" allowBlank="1" showInputMessage="1" showErrorMessage="1" sqref="AN53 AN17 P17 AN65 P77 AN77 AN101 AN113 AN125 AN5 AN41 AB41 P5 AB5 AN29 AB29 AB77 AB89 AB101 AB113 AB125 AB17 AB53 AB65 P125 P29 P65 P89 AN89 P113 P101 P41 P53" xr:uid="{00000000-0002-0000-0100-000026000000}">
      <formula1>AG</formula1>
    </dataValidation>
    <dataValidation type="list" allowBlank="1" showInputMessage="1" showErrorMessage="1" sqref="AO53 AO17 Q17 AO65 Q77 AO77 AO101 AO113 AO125 AO5 AO41 AC41 Q5 AC5 AO29 AC29 AC77 AC89 AC101 AC113 AC125 AC17 AC53 AC65 Q125 Q29 Q65 Q89 AO89 Q113 Q101 Q41 Q53" xr:uid="{00000000-0002-0000-0100-000027000000}">
      <formula1>AH</formula1>
    </dataValidation>
    <dataValidation type="list" allowBlank="1" showInputMessage="1" showErrorMessage="1" sqref="AP53 AP17 R17 AP65 R77 AP77 AP101 AP113 AP125 AP5 AP41 AD41 R5 AD5 AP29 AD29 AD77 AD89 AD101 AD113 AD125 AD17 AD53 AD65 R125 R29 R65 R89 AP89 R113 R101 R41 R53" xr:uid="{00000000-0002-0000-0100-000028000000}">
      <formula1>AI</formula1>
    </dataValidation>
    <dataValidation type="list" allowBlank="1" showInputMessage="1" showErrorMessage="1" sqref="AQ53 AQ17 S17 AQ65 S77 AQ77 AQ101 AQ113 AQ125 AQ5 AQ41 AE41 S5 AQ29 AE29 AE77 AE89 AE101 AE113 AE125 AE17 AE53 AE65 S125 S29 S65 S89 AQ89 S113 S101 S41 S53 AE5" xr:uid="{00000000-0002-0000-0100-000029000000}">
      <formula1>AL</formula1>
    </dataValidation>
    <dataValidation type="list" allowBlank="1" showInputMessage="1" showErrorMessage="1" sqref="AM54 AM18 O18 AM66 O78 AM78 AM102 AM114 AM126 AM6 AM42 AA42 O6 AA30 AA6 AA54 AA90 AA102 AA114 AA126 AA18 AA66 AA78 O126 AM30 O30 O66 O90 AM90 O114 O102 O42 O54" xr:uid="{00000000-0002-0000-0100-00002A000000}">
      <formula1>BF</formula1>
    </dataValidation>
    <dataValidation type="list" allowBlank="1" showInputMessage="1" showErrorMessage="1" sqref="AJ17 AJ5 AJ53 L17 AJ65 L77 AJ77 AJ101 AJ113 AJ125 AJ41 X41 L5 AJ29 X17 X5 X29 X89 X101 X113 X77 X125 X53 X65 L125 L41 L29 L65 L89 AJ89 L113 L101 L53" xr:uid="{00000000-0002-0000-0100-00002B000000}">
      <formula1>AC</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2C000000}">
          <x14:formula1>
            <xm:f>SUPPORTO_punti!$XFB$1:$XFB$12</xm:f>
          </x14:formula1>
          <xm:sqref>S13 AE13 AQ13 S25 AE25 AQ25 S37 AE37 AQ37 S49 AE49 AQ49 S61 AE61 AQ61 S73 AE73 AQ73 S85 AE85 AQ85 S97 AE97 AQ97 S109 AE109 AQ109 S121 AE121 AQ121 S133 AE133 AQ133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3"/>
  <dimension ref="A1:XFB166"/>
  <sheetViews>
    <sheetView workbookViewId="0">
      <selection activeCell="D113" sqref="D113"/>
    </sheetView>
  </sheetViews>
  <sheetFormatPr baseColWidth="10" defaultColWidth="8.83203125" defaultRowHeight="15" x14ac:dyDescent="0.2"/>
  <cols>
    <col min="1" max="1" width="6.1640625" style="7" customWidth="1"/>
    <col min="2" max="3" width="5.83203125" style="7" customWidth="1"/>
    <col min="4" max="4" width="5.83203125" customWidth="1"/>
    <col min="5" max="5" width="6.33203125" customWidth="1"/>
    <col min="6" max="6" width="6.33203125" style="80" customWidth="1"/>
    <col min="7" max="7" width="6.33203125" style="9" customWidth="1"/>
    <col min="8" max="8" width="6.33203125" style="88" customWidth="1"/>
    <col min="9" max="9" width="6.33203125" style="6" customWidth="1"/>
    <col min="10" max="10" width="6.33203125" style="88" customWidth="1"/>
    <col min="11" max="11" width="6.33203125" style="6" customWidth="1"/>
    <col min="12" max="12" width="6.33203125" style="88" customWidth="1"/>
    <col min="13" max="13" width="6.33203125" style="6" customWidth="1"/>
    <col min="14" max="14" width="6.33203125" style="88" customWidth="1"/>
    <col min="15" max="15" width="6.33203125" style="6" customWidth="1"/>
    <col min="16" max="16" width="6.33203125" style="88" customWidth="1"/>
    <col min="17" max="17" width="6.33203125" style="6" customWidth="1"/>
    <col min="18" max="18" width="6.33203125" style="88" customWidth="1"/>
    <col min="19" max="19" width="6.33203125" style="6" customWidth="1"/>
    <col min="20" max="20" width="6.33203125" style="88" customWidth="1"/>
    <col min="21" max="21" width="6.33203125" style="6" customWidth="1"/>
    <col min="22" max="22" width="6.33203125" style="88" customWidth="1"/>
    <col min="23" max="23" width="6.33203125" style="6" customWidth="1"/>
    <col min="24" max="24" width="6.33203125" style="88" customWidth="1"/>
    <col min="25" max="25" width="6.33203125" style="6" customWidth="1"/>
    <col min="26" max="26" width="6.33203125" style="100" customWidth="1"/>
    <col min="27" max="27" width="6.33203125" style="6" customWidth="1"/>
    <col min="28" max="28" width="6.33203125" style="100" customWidth="1"/>
    <col min="29" max="29" width="6.33203125" style="6" customWidth="1"/>
    <col min="30" max="30" width="6.33203125" style="100" customWidth="1"/>
    <col min="31" max="31" width="6.33203125" style="6" customWidth="1"/>
    <col min="32" max="32" width="6.33203125" style="100" customWidth="1"/>
    <col min="33" max="33" width="6.33203125" style="6" customWidth="1"/>
    <col min="34" max="34" width="6.33203125" style="100" customWidth="1"/>
    <col min="35" max="35" width="6.33203125" style="6" customWidth="1"/>
    <col min="36" max="36" width="6.33203125" style="100" customWidth="1"/>
    <col min="37" max="37" width="6.33203125" style="6" customWidth="1"/>
    <col min="38" max="38" width="6.33203125" style="101" customWidth="1"/>
    <col min="39" max="39" width="6.33203125" style="6" customWidth="1"/>
    <col min="40" max="40" width="6.33203125" style="100" customWidth="1"/>
    <col min="41" max="41" width="6.33203125" style="6" customWidth="1"/>
    <col min="42" max="42" width="6.33203125" style="100" customWidth="1"/>
    <col min="43" max="43" width="6.33203125" style="6" customWidth="1"/>
    <col min="44" max="44" width="6.33203125" style="100" customWidth="1"/>
    <col min="45" max="65" width="6.83203125" style="6" customWidth="1"/>
  </cols>
  <sheetData>
    <row r="1" spans="1:44 16327:16382" x14ac:dyDescent="0.2">
      <c r="A1" s="47"/>
      <c r="B1" s="47" t="s">
        <v>55</v>
      </c>
      <c r="C1" s="47" t="s">
        <v>56</v>
      </c>
      <c r="D1" s="47" t="s">
        <v>137</v>
      </c>
      <c r="E1" s="48" t="s">
        <v>57</v>
      </c>
      <c r="F1" s="72" t="s">
        <v>58</v>
      </c>
      <c r="G1" s="48" t="s">
        <v>59</v>
      </c>
      <c r="H1" s="72" t="s">
        <v>60</v>
      </c>
      <c r="I1" s="48" t="s">
        <v>140</v>
      </c>
      <c r="J1" s="72" t="s">
        <v>141</v>
      </c>
      <c r="K1" s="48" t="s">
        <v>142</v>
      </c>
      <c r="L1" s="72" t="s">
        <v>143</v>
      </c>
      <c r="M1" s="48" t="s">
        <v>144</v>
      </c>
      <c r="N1" s="72" t="s">
        <v>145</v>
      </c>
      <c r="O1" s="48" t="s">
        <v>146</v>
      </c>
      <c r="P1" s="72" t="s">
        <v>147</v>
      </c>
      <c r="Q1" s="48" t="s">
        <v>148</v>
      </c>
      <c r="R1" s="72" t="s">
        <v>149</v>
      </c>
      <c r="S1" s="49" t="s">
        <v>61</v>
      </c>
      <c r="T1" s="89" t="s">
        <v>62</v>
      </c>
      <c r="U1" s="49" t="s">
        <v>63</v>
      </c>
      <c r="V1" s="89" t="s">
        <v>64</v>
      </c>
      <c r="W1" s="49" t="s">
        <v>65</v>
      </c>
      <c r="X1" s="89" t="s">
        <v>66</v>
      </c>
      <c r="Y1" s="49" t="s">
        <v>67</v>
      </c>
      <c r="Z1" s="90" t="s">
        <v>68</v>
      </c>
      <c r="AA1" s="49" t="s">
        <v>69</v>
      </c>
      <c r="AB1" s="90" t="s">
        <v>70</v>
      </c>
      <c r="AC1" s="49" t="s">
        <v>71</v>
      </c>
      <c r="AD1" s="90" t="s">
        <v>72</v>
      </c>
      <c r="AE1" s="49" t="s">
        <v>73</v>
      </c>
      <c r="AF1" s="90" t="s">
        <v>74</v>
      </c>
      <c r="AG1" s="49" t="s">
        <v>75</v>
      </c>
      <c r="AH1" s="90" t="s">
        <v>76</v>
      </c>
      <c r="AI1" s="49" t="s">
        <v>77</v>
      </c>
      <c r="AJ1" s="90" t="s">
        <v>78</v>
      </c>
      <c r="AK1" s="49" t="s">
        <v>79</v>
      </c>
      <c r="AL1" s="90" t="s">
        <v>80</v>
      </c>
      <c r="AM1" s="49" t="s">
        <v>81</v>
      </c>
      <c r="AN1" s="90" t="s">
        <v>82</v>
      </c>
      <c r="AO1" s="47" t="s">
        <v>83</v>
      </c>
      <c r="AP1" s="102" t="s">
        <v>84</v>
      </c>
      <c r="AQ1" s="47" t="s">
        <v>85</v>
      </c>
      <c r="AR1" s="102" t="s">
        <v>86</v>
      </c>
      <c r="XCY1" s="7">
        <v>1</v>
      </c>
      <c r="XCZ1" s="7">
        <v>1</v>
      </c>
      <c r="XDA1" s="7">
        <v>1</v>
      </c>
      <c r="XDB1" s="7">
        <v>1</v>
      </c>
      <c r="XDC1" s="7">
        <v>1</v>
      </c>
      <c r="XDD1" s="7">
        <v>1</v>
      </c>
      <c r="XDE1" s="7">
        <v>1</v>
      </c>
      <c r="XDF1" s="7">
        <v>1</v>
      </c>
      <c r="XDG1" s="7">
        <v>1</v>
      </c>
      <c r="XDH1" s="7">
        <v>1</v>
      </c>
      <c r="XDJ1" s="7">
        <v>1</v>
      </c>
      <c r="XDK1" s="7">
        <v>1</v>
      </c>
      <c r="XDL1" s="7">
        <v>1</v>
      </c>
      <c r="XDM1" s="7">
        <v>1</v>
      </c>
      <c r="XDN1" s="7">
        <v>1</v>
      </c>
      <c r="XDO1" s="7">
        <v>1</v>
      </c>
      <c r="XDP1" s="7">
        <v>1</v>
      </c>
      <c r="XDQ1" s="7">
        <v>1</v>
      </c>
      <c r="XDR1" s="7">
        <v>1</v>
      </c>
      <c r="XDS1" s="7">
        <v>1</v>
      </c>
      <c r="XDT1" s="7">
        <v>1</v>
      </c>
      <c r="XDU1" s="7">
        <v>1</v>
      </c>
      <c r="XDV1" s="7">
        <v>1</v>
      </c>
      <c r="XDW1" s="7">
        <v>1</v>
      </c>
      <c r="XDX1" s="7">
        <v>1</v>
      </c>
      <c r="XDY1" s="7">
        <v>1</v>
      </c>
      <c r="XDZ1" s="7">
        <v>1</v>
      </c>
      <c r="XEA1" s="7">
        <v>1</v>
      </c>
      <c r="XEB1" s="7">
        <v>1</v>
      </c>
      <c r="XEC1" s="7">
        <v>1</v>
      </c>
      <c r="XED1" s="7">
        <v>1</v>
      </c>
      <c r="XEE1" s="7">
        <v>1</v>
      </c>
      <c r="XEF1" s="7">
        <v>1</v>
      </c>
      <c r="XEG1" s="7">
        <v>1</v>
      </c>
      <c r="XEH1" s="7">
        <v>1</v>
      </c>
      <c r="XEI1" s="7">
        <v>1</v>
      </c>
      <c r="XEJ1" s="7">
        <v>1</v>
      </c>
      <c r="XEK1" s="7">
        <v>1</v>
      </c>
      <c r="XEL1" s="7">
        <v>1</v>
      </c>
      <c r="XEM1" s="7">
        <v>1</v>
      </c>
      <c r="XEN1" s="7">
        <v>1</v>
      </c>
      <c r="XEO1" s="7">
        <v>1</v>
      </c>
      <c r="XEP1" s="7">
        <v>1</v>
      </c>
      <c r="XEQ1" s="7">
        <v>1</v>
      </c>
      <c r="XER1" s="7">
        <v>1</v>
      </c>
      <c r="XES1" s="7">
        <v>1</v>
      </c>
      <c r="XET1" s="7">
        <v>1</v>
      </c>
      <c r="XEU1" s="7">
        <v>1</v>
      </c>
      <c r="XEV1" s="7">
        <v>1</v>
      </c>
      <c r="XEW1" s="7">
        <v>1</v>
      </c>
      <c r="XEX1" s="7">
        <v>1</v>
      </c>
      <c r="XEY1" s="7">
        <v>1</v>
      </c>
      <c r="XEZ1" s="7">
        <v>1</v>
      </c>
      <c r="XFA1" s="7">
        <v>1</v>
      </c>
      <c r="XFB1" s="7">
        <v>1</v>
      </c>
    </row>
    <row r="2" spans="1:44 16327:16382" ht="15" customHeight="1" x14ac:dyDescent="0.2">
      <c r="A2" s="214" t="s">
        <v>219</v>
      </c>
      <c r="B2" s="50" t="str">
        <f>LEFT(D2,1)</f>
        <v>A</v>
      </c>
      <c r="C2" s="51" t="str">
        <f>RIGHT(D2,1)</f>
        <v>B</v>
      </c>
      <c r="D2" s="51" t="s">
        <v>10</v>
      </c>
      <c r="E2" s="55" t="str">
        <f>LEFT('REPORTS PER EVALUATOR'!$K$5,1)</f>
        <v>B</v>
      </c>
      <c r="F2" s="73">
        <f>(RIGHT('REPORTS PER EVALUATOR'!$K$5,1))*1</f>
        <v>2</v>
      </c>
      <c r="G2" s="56" t="str">
        <f>LEFT('REPORTS PER EVALUATOR'!$K$17,1)</f>
        <v>A</v>
      </c>
      <c r="H2" s="81">
        <f>(RIGHT('REPORTS PER EVALUATOR'!$K$17,1))*1</f>
        <v>3</v>
      </c>
      <c r="I2" s="56" t="str">
        <f>LEFT('REPORTS PER EVALUATOR'!$K$29,1)</f>
        <v>B</v>
      </c>
      <c r="J2" s="81">
        <f>(RIGHT('REPORTS PER EVALUATOR'!$K$29,1))*1</f>
        <v>2</v>
      </c>
      <c r="K2" s="56" t="str">
        <f>LEFT('REPORTS PER EVALUATOR'!$K$41,1)</f>
        <v>A</v>
      </c>
      <c r="L2" s="81">
        <f>(RIGHT('REPORTS PER EVALUATOR'!$K$41,1))*1</f>
        <v>2</v>
      </c>
      <c r="M2" s="56" t="str">
        <f>LEFT('REPORTS PER EVALUATOR'!$K$53,1)</f>
        <v>A</v>
      </c>
      <c r="N2" s="81">
        <f>(RIGHT('REPORTS PER EVALUATOR'!$K$53,1))*1</f>
        <v>2</v>
      </c>
      <c r="O2" s="56" t="str">
        <f>LEFT('REPORTS PER EVALUATOR'!$K$65,1)</f>
        <v>1</v>
      </c>
      <c r="P2" s="81">
        <f>(RIGHT('REPORTS PER EVALUATOR'!$K$65,1))*1</f>
        <v>1</v>
      </c>
      <c r="Q2" s="56" t="str">
        <f>LEFT('REPORTS PER EVALUATOR'!$K$77,1)</f>
        <v>1</v>
      </c>
      <c r="R2" s="81">
        <f>(RIGHT('REPORTS PER EVALUATOR'!$K$77,1))*1</f>
        <v>1</v>
      </c>
      <c r="S2" s="56" t="str">
        <f>LEFT('REPORTS PER EVALUATOR'!$K$89,1)</f>
        <v>B</v>
      </c>
      <c r="T2" s="81">
        <f>(RIGHT('REPORTS PER EVALUATOR'!$K$89,1))*1</f>
        <v>2</v>
      </c>
      <c r="U2" s="56" t="str">
        <f>LEFT('REPORTS PER EVALUATOR'!$K$101,1)</f>
        <v>B</v>
      </c>
      <c r="V2" s="81">
        <f>(RIGHT('REPORTS PER EVALUATOR'!$K$101,1))*1</f>
        <v>2</v>
      </c>
      <c r="W2" s="56" t="str">
        <f>LEFT('REPORTS PER EVALUATOR'!$K$113,1)</f>
        <v>1</v>
      </c>
      <c r="X2" s="81">
        <f>(RIGHT('REPORTS PER EVALUATOR'!$K$113,1))*1</f>
        <v>1</v>
      </c>
      <c r="Y2" s="56" t="str">
        <f>LEFT('REPORTS PER EVALUATOR'!$K$125,1)</f>
        <v>1</v>
      </c>
      <c r="Z2" s="91">
        <f>(RIGHT('REPORTS PER EVALUATOR'!$K$125,1))*1</f>
        <v>1</v>
      </c>
      <c r="AA2" s="56" t="e">
        <f>LEFT('REPORTS PER EVALUATOR'!#REF!,1)</f>
        <v>#REF!</v>
      </c>
      <c r="AB2" s="91" t="e">
        <f>(RIGHT('REPORTS PER EVALUATOR'!#REF!,1))*1</f>
        <v>#REF!</v>
      </c>
      <c r="AC2" s="56" t="e">
        <f>LEFT('REPORTS PER EVALUATOR'!#REF!,1)</f>
        <v>#REF!</v>
      </c>
      <c r="AD2" s="91" t="e">
        <f>(RIGHT('REPORTS PER EVALUATOR'!#REF!,1))*1</f>
        <v>#REF!</v>
      </c>
      <c r="AE2" s="56" t="e">
        <f>LEFT('REPORTS PER EVALUATOR'!#REF!,1)</f>
        <v>#REF!</v>
      </c>
      <c r="AF2" s="91" t="e">
        <f>(RIGHT('REPORTS PER EVALUATOR'!#REF!,1))*1</f>
        <v>#REF!</v>
      </c>
      <c r="AG2" s="56" t="e">
        <f>LEFT('REPORTS PER EVALUATOR'!#REF!,1)</f>
        <v>#REF!</v>
      </c>
      <c r="AH2" s="91" t="e">
        <f>(RIGHT('REPORTS PER EVALUATOR'!#REF!,1))*1</f>
        <v>#REF!</v>
      </c>
      <c r="AI2" s="56" t="e">
        <f>LEFT('REPORTS PER EVALUATOR'!#REF!,1)</f>
        <v>#REF!</v>
      </c>
      <c r="AJ2" s="91" t="e">
        <f>(RIGHT('REPORTS PER EVALUATOR'!#REF!,1))*1</f>
        <v>#REF!</v>
      </c>
      <c r="AK2" s="56" t="e">
        <f>LEFT('REPORTS PER EVALUATOR'!#REF!,1)</f>
        <v>#REF!</v>
      </c>
      <c r="AL2" s="91" t="e">
        <f>(RIGHT('REPORTS PER EVALUATOR'!#REF!,1))*1</f>
        <v>#REF!</v>
      </c>
      <c r="AM2" s="56" t="e">
        <f>LEFT('REPORTS PER EVALUATOR'!#REF!,1)</f>
        <v>#REF!</v>
      </c>
      <c r="AN2" s="91" t="e">
        <f>(RIGHT('REPORTS PER EVALUATOR'!#REF!,1))*1</f>
        <v>#REF!</v>
      </c>
      <c r="AO2" s="56" t="e">
        <f>LEFT('REPORTS PER EVALUATOR'!#REF!,1)</f>
        <v>#REF!</v>
      </c>
      <c r="AP2" s="91" t="e">
        <f>(RIGHT('REPORTS PER EVALUATOR'!#REF!,1))*1</f>
        <v>#REF!</v>
      </c>
      <c r="AQ2" s="56" t="e">
        <f>LEFT('REPORTS PER EVALUATOR'!#REF!,1)</f>
        <v>#REF!</v>
      </c>
      <c r="AR2" s="91" t="e">
        <f>(RIGHT('REPORTS PER EVALUATOR'!#REF!,1))*1</f>
        <v>#REF!</v>
      </c>
      <c r="XCY2" s="7" t="s">
        <v>87</v>
      </c>
      <c r="XCZ2" s="7" t="s">
        <v>88</v>
      </c>
      <c r="XDA2" s="7" t="s">
        <v>89</v>
      </c>
      <c r="XDB2" s="7" t="s">
        <v>90</v>
      </c>
      <c r="XDC2" s="7" t="s">
        <v>91</v>
      </c>
      <c r="XDD2" s="7" t="s">
        <v>92</v>
      </c>
      <c r="XDE2" s="7" t="s">
        <v>93</v>
      </c>
      <c r="XDF2" s="7" t="s">
        <v>94</v>
      </c>
      <c r="XDG2" s="7" t="s">
        <v>95</v>
      </c>
      <c r="XDH2" s="7" t="s">
        <v>132</v>
      </c>
      <c r="XDJ2" s="7" t="s">
        <v>87</v>
      </c>
      <c r="XDK2" s="7" t="s">
        <v>87</v>
      </c>
      <c r="XDL2" s="7" t="s">
        <v>87</v>
      </c>
      <c r="XDM2" s="7" t="s">
        <v>87</v>
      </c>
      <c r="XDN2" s="7" t="s">
        <v>87</v>
      </c>
      <c r="XDO2" s="7" t="s">
        <v>87</v>
      </c>
      <c r="XDP2" s="7" t="s">
        <v>87</v>
      </c>
      <c r="XDQ2" s="7" t="s">
        <v>87</v>
      </c>
      <c r="XDR2" s="7" t="s">
        <v>87</v>
      </c>
      <c r="XDS2" s="7" t="s">
        <v>88</v>
      </c>
      <c r="XDT2" s="7" t="s">
        <v>88</v>
      </c>
      <c r="XDU2" s="7" t="s">
        <v>88</v>
      </c>
      <c r="XDV2" s="7" t="s">
        <v>88</v>
      </c>
      <c r="XDW2" s="7" t="s">
        <v>88</v>
      </c>
      <c r="XDX2" s="7" t="s">
        <v>88</v>
      </c>
      <c r="XDY2" s="7" t="s">
        <v>88</v>
      </c>
      <c r="XDZ2" s="7" t="s">
        <v>88</v>
      </c>
      <c r="XEA2" s="7" t="s">
        <v>89</v>
      </c>
      <c r="XEB2" s="7" t="s">
        <v>89</v>
      </c>
      <c r="XEC2" s="7" t="s">
        <v>89</v>
      </c>
      <c r="XED2" s="7" t="s">
        <v>89</v>
      </c>
      <c r="XEE2" s="7" t="s">
        <v>89</v>
      </c>
      <c r="XEF2" s="7" t="s">
        <v>89</v>
      </c>
      <c r="XEG2" s="7" t="s">
        <v>89</v>
      </c>
      <c r="XEH2" s="7" t="s">
        <v>90</v>
      </c>
      <c r="XEI2" s="7" t="s">
        <v>90</v>
      </c>
      <c r="XEJ2" s="7" t="s">
        <v>90</v>
      </c>
      <c r="XEK2" s="7" t="s">
        <v>90</v>
      </c>
      <c r="XEL2" s="7" t="s">
        <v>90</v>
      </c>
      <c r="XEM2" s="7" t="s">
        <v>90</v>
      </c>
      <c r="XEN2" s="7" t="s">
        <v>91</v>
      </c>
      <c r="XEO2" s="7" t="s">
        <v>91</v>
      </c>
      <c r="XEP2" s="7" t="s">
        <v>91</v>
      </c>
      <c r="XEQ2" s="7" t="s">
        <v>91</v>
      </c>
      <c r="XER2" s="7" t="s">
        <v>91</v>
      </c>
      <c r="XES2" s="7" t="s">
        <v>92</v>
      </c>
      <c r="XET2" s="7" t="s">
        <v>92</v>
      </c>
      <c r="XEU2" s="7" t="s">
        <v>92</v>
      </c>
      <c r="XEV2" s="7" t="s">
        <v>92</v>
      </c>
      <c r="XEW2" s="7" t="s">
        <v>93</v>
      </c>
      <c r="XEX2" s="7" t="s">
        <v>93</v>
      </c>
      <c r="XEY2" s="7" t="s">
        <v>93</v>
      </c>
      <c r="XEZ2" s="7" t="s">
        <v>94</v>
      </c>
      <c r="XFA2" s="7" t="s">
        <v>94</v>
      </c>
      <c r="XFB2" s="7" t="s">
        <v>95</v>
      </c>
    </row>
    <row r="3" spans="1:44 16327:16382" x14ac:dyDescent="0.2">
      <c r="A3" s="214"/>
      <c r="B3" s="54" t="str">
        <f>LEFT(D3,1)</f>
        <v>A</v>
      </c>
      <c r="C3" s="48" t="str">
        <f t="shared" ref="C3:C56" si="0">RIGHT(D3,1)</f>
        <v>C</v>
      </c>
      <c r="D3" s="48" t="s">
        <v>11</v>
      </c>
      <c r="E3" s="52" t="str">
        <f>LEFT('REPORTS PER EVALUATOR'!$L$5,1)</f>
        <v>A</v>
      </c>
      <c r="F3" s="74">
        <f>(RIGHT('REPORTS PER EVALUATOR'!$L$5,1))*1</f>
        <v>3</v>
      </c>
      <c r="G3" s="53" t="str">
        <f>LEFT('REPORTS PER EVALUATOR'!$L$17,1)</f>
        <v>A</v>
      </c>
      <c r="H3" s="82">
        <f>(RIGHT('REPORTS PER EVALUATOR'!$L$17,1))*1</f>
        <v>4</v>
      </c>
      <c r="I3" s="53" t="str">
        <f>LEFT('REPORTS PER EVALUATOR'!$L$29,1)</f>
        <v>A</v>
      </c>
      <c r="J3" s="82">
        <f>(RIGHT('REPORTS PER EVALUATOR'!$L$29,1))*1</f>
        <v>3</v>
      </c>
      <c r="K3" s="53" t="str">
        <f>LEFT('REPORTS PER EVALUATOR'!$L$41,1)</f>
        <v>A</v>
      </c>
      <c r="L3" s="82">
        <f>(RIGHT('REPORTS PER EVALUATOR'!$L$41,1))*1</f>
        <v>3</v>
      </c>
      <c r="M3" s="53" t="str">
        <f>LEFT('REPORTS PER EVALUATOR'!$L$53,1)</f>
        <v>A</v>
      </c>
      <c r="N3" s="82">
        <f>(RIGHT('REPORTS PER EVALUATOR'!$L$53,1))*1</f>
        <v>3</v>
      </c>
      <c r="O3" s="53" t="str">
        <f>LEFT('REPORTS PER EVALUATOR'!$L$65,1)</f>
        <v>A</v>
      </c>
      <c r="P3" s="82">
        <f>(RIGHT('REPORTS PER EVALUATOR'!$L$65,1))*1</f>
        <v>3</v>
      </c>
      <c r="Q3" s="53" t="str">
        <f>LEFT('REPORTS PER EVALUATOR'!$L$77,1)</f>
        <v>A</v>
      </c>
      <c r="R3" s="82">
        <f>(RIGHT('REPORTS PER EVALUATOR'!$L$77,1))*1</f>
        <v>3</v>
      </c>
      <c r="S3" s="53" t="str">
        <f>LEFT('REPORTS PER EVALUATOR'!$L$89,1)</f>
        <v>A</v>
      </c>
      <c r="T3" s="82">
        <f>(RIGHT('REPORTS PER EVALUATOR'!$L$89,1))*1</f>
        <v>2</v>
      </c>
      <c r="U3" s="53" t="str">
        <f>LEFT('REPORTS PER EVALUATOR'!$L$101,1)</f>
        <v>C</v>
      </c>
      <c r="V3" s="82">
        <f>(RIGHT('REPORTS PER EVALUATOR'!$L$101,1))*1</f>
        <v>2</v>
      </c>
      <c r="W3" s="53" t="str">
        <f>LEFT('REPORTS PER EVALUATOR'!$L$113,1)</f>
        <v>A</v>
      </c>
      <c r="X3" s="82">
        <f>(RIGHT('REPORTS PER EVALUATOR'!$L$113,1))*1</f>
        <v>3</v>
      </c>
      <c r="Y3" s="53" t="str">
        <f>LEFT('REPORTS PER EVALUATOR'!$L$125,1)</f>
        <v>A</v>
      </c>
      <c r="Z3" s="92">
        <f>(RIGHT('REPORTS PER EVALUATOR'!$L$125,1))*1</f>
        <v>2</v>
      </c>
      <c r="AA3" s="53" t="e">
        <f>LEFT('REPORTS PER EVALUATOR'!#REF!,1)</f>
        <v>#REF!</v>
      </c>
      <c r="AB3" s="92" t="e">
        <f>(RIGHT('REPORTS PER EVALUATOR'!#REF!,1))*1</f>
        <v>#REF!</v>
      </c>
      <c r="AC3" s="53" t="e">
        <f>LEFT('REPORTS PER EVALUATOR'!#REF!,1)</f>
        <v>#REF!</v>
      </c>
      <c r="AD3" s="92" t="e">
        <f>(RIGHT('REPORTS PER EVALUATOR'!#REF!,1))*1</f>
        <v>#REF!</v>
      </c>
      <c r="AE3" s="53" t="e">
        <f>LEFT('REPORTS PER EVALUATOR'!#REF!,1)</f>
        <v>#REF!</v>
      </c>
      <c r="AF3" s="92" t="e">
        <f>(RIGHT('REPORTS PER EVALUATOR'!#REF!,1))*1</f>
        <v>#REF!</v>
      </c>
      <c r="AG3" s="53" t="e">
        <f>LEFT('REPORTS PER EVALUATOR'!#REF!,1)</f>
        <v>#REF!</v>
      </c>
      <c r="AH3" s="92" t="e">
        <f>(RIGHT('REPORTS PER EVALUATOR'!#REF!,1))*1</f>
        <v>#REF!</v>
      </c>
      <c r="AI3" s="53" t="e">
        <f>LEFT('REPORTS PER EVALUATOR'!#REF!,1)</f>
        <v>#REF!</v>
      </c>
      <c r="AJ3" s="92" t="e">
        <f>(RIGHT('REPORTS PER EVALUATOR'!#REF!,1))*1</f>
        <v>#REF!</v>
      </c>
      <c r="AK3" s="53" t="e">
        <f>LEFT('REPORTS PER EVALUATOR'!#REF!,1)</f>
        <v>#REF!</v>
      </c>
      <c r="AL3" s="92" t="e">
        <f>(RIGHT('REPORTS PER EVALUATOR'!#REF!,1))*1</f>
        <v>#REF!</v>
      </c>
      <c r="AM3" s="53" t="e">
        <f>LEFT('REPORTS PER EVALUATOR'!#REF!,1)</f>
        <v>#REF!</v>
      </c>
      <c r="AN3" s="92" t="e">
        <f>(RIGHT('REPORTS PER EVALUATOR'!#REF!,1))*1</f>
        <v>#REF!</v>
      </c>
      <c r="AO3" s="53" t="e">
        <f>LEFT('REPORTS PER EVALUATOR'!#REF!,1)</f>
        <v>#REF!</v>
      </c>
      <c r="AP3" s="92" t="e">
        <f>(RIGHT('REPORTS PER EVALUATOR'!#REF!,1))*1</f>
        <v>#REF!</v>
      </c>
      <c r="AQ3" s="53" t="e">
        <f>LEFT('REPORTS PER EVALUATOR'!#REF!,1)</f>
        <v>#REF!</v>
      </c>
      <c r="AR3" s="92" t="e">
        <f>(RIGHT('REPORTS PER EVALUATOR'!#REF!,1))*1</f>
        <v>#REF!</v>
      </c>
      <c r="XCY3" s="7" t="s">
        <v>96</v>
      </c>
      <c r="XCZ3" s="7" t="s">
        <v>97</v>
      </c>
      <c r="XDA3" s="7" t="s">
        <v>98</v>
      </c>
      <c r="XDB3" s="7" t="s">
        <v>99</v>
      </c>
      <c r="XDC3" s="7" t="s">
        <v>100</v>
      </c>
      <c r="XDD3" s="7" t="s">
        <v>101</v>
      </c>
      <c r="XDE3" s="7" t="s">
        <v>102</v>
      </c>
      <c r="XDF3" s="7" t="s">
        <v>103</v>
      </c>
      <c r="XDG3" s="7" t="s">
        <v>104</v>
      </c>
      <c r="XDH3" s="7" t="s">
        <v>133</v>
      </c>
      <c r="XDJ3" s="7" t="s">
        <v>96</v>
      </c>
      <c r="XDK3" s="7" t="s">
        <v>96</v>
      </c>
      <c r="XDL3" s="7" t="s">
        <v>96</v>
      </c>
      <c r="XDM3" s="7" t="s">
        <v>96</v>
      </c>
      <c r="XDN3" s="7" t="s">
        <v>96</v>
      </c>
      <c r="XDO3" s="7" t="s">
        <v>96</v>
      </c>
      <c r="XDP3" s="7" t="s">
        <v>96</v>
      </c>
      <c r="XDQ3" s="7" t="s">
        <v>96</v>
      </c>
      <c r="XDR3" s="7" t="s">
        <v>96</v>
      </c>
      <c r="XDS3" s="7" t="s">
        <v>97</v>
      </c>
      <c r="XDT3" s="7" t="s">
        <v>97</v>
      </c>
      <c r="XDU3" s="7" t="s">
        <v>97</v>
      </c>
      <c r="XDV3" s="7" t="s">
        <v>97</v>
      </c>
      <c r="XDW3" s="7" t="s">
        <v>97</v>
      </c>
      <c r="XDX3" s="7" t="s">
        <v>97</v>
      </c>
      <c r="XDY3" s="7" t="s">
        <v>97</v>
      </c>
      <c r="XDZ3" s="7" t="s">
        <v>97</v>
      </c>
      <c r="XEA3" s="7" t="s">
        <v>98</v>
      </c>
      <c r="XEB3" s="7" t="s">
        <v>98</v>
      </c>
      <c r="XEC3" s="7" t="s">
        <v>98</v>
      </c>
      <c r="XED3" s="7" t="s">
        <v>98</v>
      </c>
      <c r="XEE3" s="7" t="s">
        <v>98</v>
      </c>
      <c r="XEF3" s="7" t="s">
        <v>98</v>
      </c>
      <c r="XEG3" s="7" t="s">
        <v>98</v>
      </c>
      <c r="XEH3" s="7" t="s">
        <v>99</v>
      </c>
      <c r="XEI3" s="7" t="s">
        <v>99</v>
      </c>
      <c r="XEJ3" s="7" t="s">
        <v>99</v>
      </c>
      <c r="XEK3" s="7" t="s">
        <v>99</v>
      </c>
      <c r="XEL3" s="7" t="s">
        <v>99</v>
      </c>
      <c r="XEM3" s="7" t="s">
        <v>99</v>
      </c>
      <c r="XEN3" s="7" t="s">
        <v>100</v>
      </c>
      <c r="XEO3" s="7" t="s">
        <v>100</v>
      </c>
      <c r="XEP3" s="7" t="s">
        <v>100</v>
      </c>
      <c r="XEQ3" s="7" t="s">
        <v>100</v>
      </c>
      <c r="XER3" s="7" t="s">
        <v>100</v>
      </c>
      <c r="XES3" s="7" t="s">
        <v>101</v>
      </c>
      <c r="XET3" s="7" t="s">
        <v>101</v>
      </c>
      <c r="XEU3" s="7" t="s">
        <v>101</v>
      </c>
      <c r="XEV3" s="7" t="s">
        <v>101</v>
      </c>
      <c r="XEW3" s="7" t="s">
        <v>102</v>
      </c>
      <c r="XEX3" s="7" t="s">
        <v>102</v>
      </c>
      <c r="XEY3" s="7" t="s">
        <v>102</v>
      </c>
      <c r="XEZ3" s="7" t="s">
        <v>103</v>
      </c>
      <c r="XFA3" s="7" t="s">
        <v>103</v>
      </c>
      <c r="XFB3" s="7" t="s">
        <v>104</v>
      </c>
    </row>
    <row r="4" spans="1:44 16327:16382" x14ac:dyDescent="0.2">
      <c r="A4" s="214"/>
      <c r="B4" s="54" t="str">
        <f t="shared" ref="B4:B56" si="1">LEFT(D4,1)</f>
        <v>A</v>
      </c>
      <c r="C4" s="48" t="str">
        <f t="shared" si="0"/>
        <v>D</v>
      </c>
      <c r="D4" s="48" t="s">
        <v>12</v>
      </c>
      <c r="E4" s="52" t="str">
        <f>LEFT('REPORTS PER EVALUATOR'!$M$5,1)</f>
        <v>D</v>
      </c>
      <c r="F4" s="74">
        <f>(RIGHT('REPORTS PER EVALUATOR'!$M$5,1))*1</f>
        <v>2</v>
      </c>
      <c r="G4" s="53" t="str">
        <f>LEFT('REPORTS PER EVALUATOR'!$M$17,1)</f>
        <v>A</v>
      </c>
      <c r="H4" s="82">
        <f>(RIGHT('REPORTS PER EVALUATOR'!$M$17,1))*1</f>
        <v>3</v>
      </c>
      <c r="I4" s="53" t="str">
        <f>LEFT('REPORTS PER EVALUATOR'!$M$29,1)</f>
        <v>D</v>
      </c>
      <c r="J4" s="82">
        <f>(RIGHT('REPORTS PER EVALUATOR'!$M$29,1))*1</f>
        <v>4</v>
      </c>
      <c r="K4" s="53" t="str">
        <f>LEFT('REPORTS PER EVALUATOR'!$M$41,1)</f>
        <v>1</v>
      </c>
      <c r="L4" s="82">
        <f>(RIGHT('REPORTS PER EVALUATOR'!$M$41,1))*1</f>
        <v>1</v>
      </c>
      <c r="M4" s="53" t="str">
        <f>LEFT('REPORTS PER EVALUATOR'!$M$53,1)</f>
        <v>1</v>
      </c>
      <c r="N4" s="82">
        <f>(RIGHT('REPORTS PER EVALUATOR'!$M$53,1))*1</f>
        <v>1</v>
      </c>
      <c r="O4" s="53" t="str">
        <f>LEFT('REPORTS PER EVALUATOR'!$M$65,1)</f>
        <v>1</v>
      </c>
      <c r="P4" s="82">
        <f>(RIGHT('REPORTS PER EVALUATOR'!$M$65,1))*1</f>
        <v>1</v>
      </c>
      <c r="Q4" s="53" t="str">
        <f>LEFT('REPORTS PER EVALUATOR'!$M$77,1)</f>
        <v>D</v>
      </c>
      <c r="R4" s="82">
        <f>(RIGHT('REPORTS PER EVALUATOR'!$M$77,1))*1</f>
        <v>2</v>
      </c>
      <c r="S4" s="53" t="str">
        <f>LEFT('REPORTS PER EVALUATOR'!$M$89,1)</f>
        <v>D</v>
      </c>
      <c r="T4" s="82">
        <f>(RIGHT('REPORTS PER EVALUATOR'!$M$89,1))*1</f>
        <v>3</v>
      </c>
      <c r="U4" s="53" t="str">
        <f>LEFT('REPORTS PER EVALUATOR'!$M$101,1)</f>
        <v>D</v>
      </c>
      <c r="V4" s="82">
        <f>(RIGHT('REPORTS PER EVALUATOR'!$M$101,1))*1</f>
        <v>2</v>
      </c>
      <c r="W4" s="53" t="str">
        <f>LEFT('REPORTS PER EVALUATOR'!$M$113,1)</f>
        <v>1</v>
      </c>
      <c r="X4" s="82">
        <f>(RIGHT('REPORTS PER EVALUATOR'!$M$113,1))*1</f>
        <v>1</v>
      </c>
      <c r="Y4" s="53" t="str">
        <f>LEFT('REPORTS PER EVALUATOR'!$M$125,1)</f>
        <v>1</v>
      </c>
      <c r="Z4" s="92">
        <f>(RIGHT('REPORTS PER EVALUATOR'!$M$125,1))*1</f>
        <v>1</v>
      </c>
      <c r="AA4" s="53" t="e">
        <f>LEFT('REPORTS PER EVALUATOR'!#REF!,1)</f>
        <v>#REF!</v>
      </c>
      <c r="AB4" s="92" t="e">
        <f>(RIGHT('REPORTS PER EVALUATOR'!#REF!,1))*1</f>
        <v>#REF!</v>
      </c>
      <c r="AC4" s="53" t="e">
        <f>LEFT('REPORTS PER EVALUATOR'!#REF!,1)</f>
        <v>#REF!</v>
      </c>
      <c r="AD4" s="92" t="e">
        <f>(RIGHT('REPORTS PER EVALUATOR'!#REF!,1))*1</f>
        <v>#REF!</v>
      </c>
      <c r="AE4" s="53" t="e">
        <f>LEFT('REPORTS PER EVALUATOR'!#REF!,1)</f>
        <v>#REF!</v>
      </c>
      <c r="AF4" s="92" t="e">
        <f>(RIGHT('REPORTS PER EVALUATOR'!#REF!,1))*1</f>
        <v>#REF!</v>
      </c>
      <c r="AG4" s="53" t="e">
        <f>LEFT('REPORTS PER EVALUATOR'!#REF!,1)</f>
        <v>#REF!</v>
      </c>
      <c r="AH4" s="92" t="e">
        <f>(RIGHT('REPORTS PER EVALUATOR'!#REF!,1))*1</f>
        <v>#REF!</v>
      </c>
      <c r="AI4" s="53" t="e">
        <f>LEFT('REPORTS PER EVALUATOR'!#REF!,1)</f>
        <v>#REF!</v>
      </c>
      <c r="AJ4" s="92" t="e">
        <f>(RIGHT('REPORTS PER EVALUATOR'!#REF!,1))*1</f>
        <v>#REF!</v>
      </c>
      <c r="AK4" s="53" t="e">
        <f>LEFT('REPORTS PER EVALUATOR'!#REF!,1)</f>
        <v>#REF!</v>
      </c>
      <c r="AL4" s="92" t="e">
        <f>(RIGHT('REPORTS PER EVALUATOR'!#REF!,1))*1</f>
        <v>#REF!</v>
      </c>
      <c r="AM4" s="53" t="e">
        <f>LEFT('REPORTS PER EVALUATOR'!#REF!,1)</f>
        <v>#REF!</v>
      </c>
      <c r="AN4" s="92" t="e">
        <f>(RIGHT('REPORTS PER EVALUATOR'!#REF!,1))*1</f>
        <v>#REF!</v>
      </c>
      <c r="AO4" s="53" t="e">
        <f>LEFT('REPORTS PER EVALUATOR'!#REF!,1)</f>
        <v>#REF!</v>
      </c>
      <c r="AP4" s="92" t="e">
        <f>(RIGHT('REPORTS PER EVALUATOR'!#REF!,1))*1</f>
        <v>#REF!</v>
      </c>
      <c r="AQ4" s="53" t="e">
        <f>LEFT('REPORTS PER EVALUATOR'!#REF!,1)</f>
        <v>#REF!</v>
      </c>
      <c r="AR4" s="92" t="e">
        <f>(RIGHT('REPORTS PER EVALUATOR'!#REF!,1))*1</f>
        <v>#REF!</v>
      </c>
      <c r="XCY4" s="7" t="s">
        <v>105</v>
      </c>
      <c r="XCZ4" s="7" t="s">
        <v>106</v>
      </c>
      <c r="XDA4" s="7" t="s">
        <v>107</v>
      </c>
      <c r="XDB4" s="7" t="s">
        <v>108</v>
      </c>
      <c r="XDC4" s="7" t="s">
        <v>109</v>
      </c>
      <c r="XDD4" s="7" t="s">
        <v>110</v>
      </c>
      <c r="XDE4" s="7" t="s">
        <v>111</v>
      </c>
      <c r="XDF4" s="7" t="s">
        <v>112</v>
      </c>
      <c r="XDG4" s="7" t="s">
        <v>113</v>
      </c>
      <c r="XDH4" s="7" t="s">
        <v>134</v>
      </c>
      <c r="XDJ4" s="7" t="s">
        <v>105</v>
      </c>
      <c r="XDK4" s="7" t="s">
        <v>105</v>
      </c>
      <c r="XDL4" s="7" t="s">
        <v>105</v>
      </c>
      <c r="XDM4" s="7" t="s">
        <v>105</v>
      </c>
      <c r="XDN4" s="7" t="s">
        <v>105</v>
      </c>
      <c r="XDO4" s="7" t="s">
        <v>105</v>
      </c>
      <c r="XDP4" s="7" t="s">
        <v>105</v>
      </c>
      <c r="XDQ4" s="7" t="s">
        <v>105</v>
      </c>
      <c r="XDR4" s="7" t="s">
        <v>105</v>
      </c>
      <c r="XDS4" s="7" t="s">
        <v>106</v>
      </c>
      <c r="XDT4" s="7" t="s">
        <v>106</v>
      </c>
      <c r="XDU4" s="7" t="s">
        <v>106</v>
      </c>
      <c r="XDV4" s="7" t="s">
        <v>106</v>
      </c>
      <c r="XDW4" s="7" t="s">
        <v>106</v>
      </c>
      <c r="XDX4" s="7" t="s">
        <v>106</v>
      </c>
      <c r="XDY4" s="7" t="s">
        <v>106</v>
      </c>
      <c r="XDZ4" s="7" t="s">
        <v>106</v>
      </c>
      <c r="XEA4" s="7" t="s">
        <v>107</v>
      </c>
      <c r="XEB4" s="7" t="s">
        <v>107</v>
      </c>
      <c r="XEC4" s="7" t="s">
        <v>107</v>
      </c>
      <c r="XED4" s="7" t="s">
        <v>107</v>
      </c>
      <c r="XEE4" s="7" t="s">
        <v>107</v>
      </c>
      <c r="XEF4" s="7" t="s">
        <v>107</v>
      </c>
      <c r="XEG4" s="7" t="s">
        <v>107</v>
      </c>
      <c r="XEH4" s="7" t="s">
        <v>108</v>
      </c>
      <c r="XEI4" s="7" t="s">
        <v>108</v>
      </c>
      <c r="XEJ4" s="7" t="s">
        <v>108</v>
      </c>
      <c r="XEK4" s="7" t="s">
        <v>108</v>
      </c>
      <c r="XEL4" s="7" t="s">
        <v>108</v>
      </c>
      <c r="XEM4" s="7" t="s">
        <v>108</v>
      </c>
      <c r="XEN4" s="7" t="s">
        <v>109</v>
      </c>
      <c r="XEO4" s="7" t="s">
        <v>109</v>
      </c>
      <c r="XEP4" s="7" t="s">
        <v>109</v>
      </c>
      <c r="XEQ4" s="7" t="s">
        <v>109</v>
      </c>
      <c r="XER4" s="7" t="s">
        <v>109</v>
      </c>
      <c r="XES4" s="7" t="s">
        <v>110</v>
      </c>
      <c r="XET4" s="7" t="s">
        <v>110</v>
      </c>
      <c r="XEU4" s="7" t="s">
        <v>110</v>
      </c>
      <c r="XEV4" s="7" t="s">
        <v>110</v>
      </c>
      <c r="XEW4" s="7" t="s">
        <v>111</v>
      </c>
      <c r="XEX4" s="7" t="s">
        <v>111</v>
      </c>
      <c r="XEY4" s="7" t="s">
        <v>111</v>
      </c>
      <c r="XEZ4" s="7" t="s">
        <v>112</v>
      </c>
      <c r="XFA4" s="7" t="s">
        <v>112</v>
      </c>
      <c r="XFB4" s="7" t="s">
        <v>113</v>
      </c>
    </row>
    <row r="5" spans="1:44 16327:16382" x14ac:dyDescent="0.2">
      <c r="A5" s="214"/>
      <c r="B5" s="54" t="str">
        <f t="shared" si="1"/>
        <v>A</v>
      </c>
      <c r="C5" s="48" t="str">
        <f t="shared" si="0"/>
        <v>E</v>
      </c>
      <c r="D5" s="48" t="s">
        <v>13</v>
      </c>
      <c r="E5" s="52" t="str">
        <f>LEFT('REPORTS PER EVALUATOR'!$N$5,1)</f>
        <v>A</v>
      </c>
      <c r="F5" s="74">
        <f>(RIGHT('REPORTS PER EVALUATOR'!$N$5,1))*1</f>
        <v>3</v>
      </c>
      <c r="G5" s="53" t="str">
        <f>LEFT('REPORTS PER EVALUATOR'!$N$17,1)</f>
        <v>A</v>
      </c>
      <c r="H5" s="82">
        <f>(RIGHT('REPORTS PER EVALUATOR'!$N$17,1))*1</f>
        <v>2</v>
      </c>
      <c r="I5" s="53" t="str">
        <f>LEFT('REPORTS PER EVALUATOR'!$N$29,1)</f>
        <v>E</v>
      </c>
      <c r="J5" s="82">
        <f>(RIGHT('REPORTS PER EVALUATOR'!$N$29,1))*1</f>
        <v>2</v>
      </c>
      <c r="K5" s="53" t="str">
        <f>LEFT('REPORTS PER EVALUATOR'!$N$41,1)</f>
        <v>E</v>
      </c>
      <c r="L5" s="82">
        <f>(RIGHT('REPORTS PER EVALUATOR'!$N$41,1))*1</f>
        <v>2</v>
      </c>
      <c r="M5" s="53" t="str">
        <f>LEFT('REPORTS PER EVALUATOR'!$N$53,1)</f>
        <v>A</v>
      </c>
      <c r="N5" s="82">
        <f>(RIGHT('REPORTS PER EVALUATOR'!$N$53,1))*1</f>
        <v>2</v>
      </c>
      <c r="O5" s="53" t="str">
        <f>LEFT('REPORTS PER EVALUATOR'!$N$65,1)</f>
        <v>A</v>
      </c>
      <c r="P5" s="82">
        <f>(RIGHT('REPORTS PER EVALUATOR'!$N$65,1))*1</f>
        <v>2</v>
      </c>
      <c r="Q5" s="53" t="str">
        <f>LEFT('REPORTS PER EVALUATOR'!$N$77,1)</f>
        <v>E</v>
      </c>
      <c r="R5" s="82">
        <f>(RIGHT('REPORTS PER EVALUATOR'!$N$77,1))*1</f>
        <v>2</v>
      </c>
      <c r="S5" s="53" t="str">
        <f>LEFT('REPORTS PER EVALUATOR'!$N$89,1)</f>
        <v>1</v>
      </c>
      <c r="T5" s="82">
        <f>(RIGHT('REPORTS PER EVALUATOR'!$N$89,1))*1</f>
        <v>1</v>
      </c>
      <c r="U5" s="53" t="str">
        <f>LEFT('REPORTS PER EVALUATOR'!$N$101,1)</f>
        <v>E</v>
      </c>
      <c r="V5" s="82">
        <f>(RIGHT('REPORTS PER EVALUATOR'!$N$101,1))*1</f>
        <v>2</v>
      </c>
      <c r="W5" s="53" t="str">
        <f>LEFT('REPORTS PER EVALUATOR'!$N$113,1)</f>
        <v>1</v>
      </c>
      <c r="X5" s="82">
        <f>(RIGHT('REPORTS PER EVALUATOR'!$N$113,1))*1</f>
        <v>1</v>
      </c>
      <c r="Y5" s="53" t="str">
        <f>LEFT('REPORTS PER EVALUATOR'!$N$125,1)</f>
        <v>E</v>
      </c>
      <c r="Z5" s="92">
        <f>(RIGHT('REPORTS PER EVALUATOR'!$N$125,1))*1</f>
        <v>2</v>
      </c>
      <c r="AA5" s="53" t="e">
        <f>LEFT('REPORTS PER EVALUATOR'!#REF!,1)</f>
        <v>#REF!</v>
      </c>
      <c r="AB5" s="92" t="e">
        <f>(RIGHT('REPORTS PER EVALUATOR'!#REF!,1))*1</f>
        <v>#REF!</v>
      </c>
      <c r="AC5" s="53" t="e">
        <f>LEFT('REPORTS PER EVALUATOR'!#REF!,1)</f>
        <v>#REF!</v>
      </c>
      <c r="AD5" s="92" t="e">
        <f>(RIGHT('REPORTS PER EVALUATOR'!#REF!,1))*1</f>
        <v>#REF!</v>
      </c>
      <c r="AE5" s="53" t="e">
        <f>LEFT('REPORTS PER EVALUATOR'!#REF!,1)</f>
        <v>#REF!</v>
      </c>
      <c r="AF5" s="92" t="e">
        <f>(RIGHT('REPORTS PER EVALUATOR'!#REF!,1))*1</f>
        <v>#REF!</v>
      </c>
      <c r="AG5" s="53" t="e">
        <f>LEFT('REPORTS PER EVALUATOR'!#REF!,1)</f>
        <v>#REF!</v>
      </c>
      <c r="AH5" s="92" t="e">
        <f>(RIGHT('REPORTS PER EVALUATOR'!#REF!,1))*1</f>
        <v>#REF!</v>
      </c>
      <c r="AI5" s="53" t="e">
        <f>LEFT('REPORTS PER EVALUATOR'!#REF!,1)</f>
        <v>#REF!</v>
      </c>
      <c r="AJ5" s="92" t="e">
        <f>(RIGHT('REPORTS PER EVALUATOR'!#REF!,1))*1</f>
        <v>#REF!</v>
      </c>
      <c r="AK5" s="53" t="e">
        <f>LEFT('REPORTS PER EVALUATOR'!#REF!,1)</f>
        <v>#REF!</v>
      </c>
      <c r="AL5" s="92" t="e">
        <f>(RIGHT('REPORTS PER EVALUATOR'!#REF!,1))*1</f>
        <v>#REF!</v>
      </c>
      <c r="AM5" s="53" t="e">
        <f>LEFT('REPORTS PER EVALUATOR'!#REF!,1)</f>
        <v>#REF!</v>
      </c>
      <c r="AN5" s="92" t="e">
        <f>(RIGHT('REPORTS PER EVALUATOR'!#REF!,1))*1</f>
        <v>#REF!</v>
      </c>
      <c r="AO5" s="53" t="e">
        <f>LEFT('REPORTS PER EVALUATOR'!#REF!,1)</f>
        <v>#REF!</v>
      </c>
      <c r="AP5" s="92" t="e">
        <f>(RIGHT('REPORTS PER EVALUATOR'!#REF!,1))*1</f>
        <v>#REF!</v>
      </c>
      <c r="AQ5" s="53" t="e">
        <f>LEFT('REPORTS PER EVALUATOR'!#REF!,1)</f>
        <v>#REF!</v>
      </c>
      <c r="AR5" s="92" t="e">
        <f>(RIGHT('REPORTS PER EVALUATOR'!#REF!,1))*1</f>
        <v>#REF!</v>
      </c>
      <c r="XCY5" s="7" t="s">
        <v>114</v>
      </c>
      <c r="XCZ5" s="7" t="s">
        <v>115</v>
      </c>
      <c r="XDA5" s="7" t="s">
        <v>116</v>
      </c>
      <c r="XDB5" s="7" t="s">
        <v>117</v>
      </c>
      <c r="XDC5" s="7" t="s">
        <v>118</v>
      </c>
      <c r="XDD5" s="7" t="s">
        <v>119</v>
      </c>
      <c r="XDE5" s="7" t="s">
        <v>120</v>
      </c>
      <c r="XDF5" s="7" t="s">
        <v>121</v>
      </c>
      <c r="XDG5" s="7" t="s">
        <v>122</v>
      </c>
      <c r="XDH5" s="7" t="s">
        <v>135</v>
      </c>
      <c r="XDJ5" s="7" t="s">
        <v>114</v>
      </c>
      <c r="XDK5" s="7" t="s">
        <v>114</v>
      </c>
      <c r="XDL5" s="7" t="s">
        <v>114</v>
      </c>
      <c r="XDM5" s="7" t="s">
        <v>114</v>
      </c>
      <c r="XDN5" s="7" t="s">
        <v>114</v>
      </c>
      <c r="XDO5" s="7" t="s">
        <v>114</v>
      </c>
      <c r="XDP5" s="7" t="s">
        <v>114</v>
      </c>
      <c r="XDQ5" s="7" t="s">
        <v>114</v>
      </c>
      <c r="XDR5" s="7" t="s">
        <v>114</v>
      </c>
      <c r="XDS5" s="7" t="s">
        <v>115</v>
      </c>
      <c r="XDT5" s="7" t="s">
        <v>115</v>
      </c>
      <c r="XDU5" s="7" t="s">
        <v>115</v>
      </c>
      <c r="XDV5" s="7" t="s">
        <v>115</v>
      </c>
      <c r="XDW5" s="7" t="s">
        <v>115</v>
      </c>
      <c r="XDX5" s="7" t="s">
        <v>115</v>
      </c>
      <c r="XDY5" s="7" t="s">
        <v>115</v>
      </c>
      <c r="XDZ5" s="7" t="s">
        <v>115</v>
      </c>
      <c r="XEA5" s="7" t="s">
        <v>116</v>
      </c>
      <c r="XEB5" s="7" t="s">
        <v>116</v>
      </c>
      <c r="XEC5" s="7" t="s">
        <v>116</v>
      </c>
      <c r="XED5" s="7" t="s">
        <v>116</v>
      </c>
      <c r="XEE5" s="7" t="s">
        <v>116</v>
      </c>
      <c r="XEF5" s="7" t="s">
        <v>116</v>
      </c>
      <c r="XEG5" s="7" t="s">
        <v>116</v>
      </c>
      <c r="XEH5" s="7" t="s">
        <v>117</v>
      </c>
      <c r="XEI5" s="7" t="s">
        <v>117</v>
      </c>
      <c r="XEJ5" s="7" t="s">
        <v>117</v>
      </c>
      <c r="XEK5" s="7" t="s">
        <v>117</v>
      </c>
      <c r="XEL5" s="7" t="s">
        <v>117</v>
      </c>
      <c r="XEM5" s="7" t="s">
        <v>117</v>
      </c>
      <c r="XEN5" s="7" t="s">
        <v>118</v>
      </c>
      <c r="XEO5" s="7" t="s">
        <v>118</v>
      </c>
      <c r="XEP5" s="7" t="s">
        <v>118</v>
      </c>
      <c r="XEQ5" s="7" t="s">
        <v>118</v>
      </c>
      <c r="XER5" s="7" t="s">
        <v>118</v>
      </c>
      <c r="XES5" s="7" t="s">
        <v>119</v>
      </c>
      <c r="XET5" s="7" t="s">
        <v>119</v>
      </c>
      <c r="XEU5" s="7" t="s">
        <v>119</v>
      </c>
      <c r="XEV5" s="7" t="s">
        <v>119</v>
      </c>
      <c r="XEW5" s="7" t="s">
        <v>120</v>
      </c>
      <c r="XEX5" s="7" t="s">
        <v>120</v>
      </c>
      <c r="XEY5" s="7" t="s">
        <v>120</v>
      </c>
      <c r="XEZ5" s="7" t="s">
        <v>121</v>
      </c>
      <c r="XFA5" s="7" t="s">
        <v>121</v>
      </c>
      <c r="XFB5" s="7" t="s">
        <v>122</v>
      </c>
    </row>
    <row r="6" spans="1:44 16327:16382" x14ac:dyDescent="0.2">
      <c r="A6" s="214"/>
      <c r="B6" s="54" t="str">
        <f t="shared" si="1"/>
        <v>A</v>
      </c>
      <c r="C6" s="48" t="str">
        <f t="shared" si="0"/>
        <v>F</v>
      </c>
      <c r="D6" s="48" t="s">
        <v>14</v>
      </c>
      <c r="E6" s="52" t="str">
        <f>LEFT('REPORTS PER EVALUATOR'!$O$5,1)</f>
        <v>A</v>
      </c>
      <c r="F6" s="74">
        <f>(RIGHT('REPORTS PER EVALUATOR'!$O$5,1))*1</f>
        <v>2</v>
      </c>
      <c r="G6" s="53" t="str">
        <f>LEFT('REPORTS PER EVALUATOR'!$O$17,1)</f>
        <v>A</v>
      </c>
      <c r="H6" s="82">
        <f>(RIGHT('REPORTS PER EVALUATOR'!$O$17,1))*1</f>
        <v>2</v>
      </c>
      <c r="I6" s="53" t="str">
        <f>LEFT('REPORTS PER EVALUATOR'!$O$29,1)</f>
        <v>A</v>
      </c>
      <c r="J6" s="82">
        <f>(RIGHT('REPORTS PER EVALUATOR'!$O$29,1))*1</f>
        <v>2</v>
      </c>
      <c r="K6" s="53" t="str">
        <f>LEFT('REPORTS PER EVALUATOR'!$O$41,1)</f>
        <v>F</v>
      </c>
      <c r="L6" s="82">
        <f>(RIGHT('REPORTS PER EVALUATOR'!$O$41,1))*1</f>
        <v>2</v>
      </c>
      <c r="M6" s="53" t="str">
        <f>LEFT('REPORTS PER EVALUATOR'!$O$53,1)</f>
        <v>A</v>
      </c>
      <c r="N6" s="82">
        <f>(RIGHT('REPORTS PER EVALUATOR'!$O$53,1))*1</f>
        <v>2</v>
      </c>
      <c r="O6" s="53" t="str">
        <f>LEFT('REPORTS PER EVALUATOR'!$O$65,1)</f>
        <v>A</v>
      </c>
      <c r="P6" s="82">
        <f>(RIGHT('REPORTS PER EVALUATOR'!$O$65,1))*1</f>
        <v>2</v>
      </c>
      <c r="Q6" s="53" t="str">
        <f>LEFT('REPORTS PER EVALUATOR'!$O$77,1)</f>
        <v>A</v>
      </c>
      <c r="R6" s="82">
        <f>(RIGHT('REPORTS PER EVALUATOR'!$O$77,1))*1</f>
        <v>2</v>
      </c>
      <c r="S6" s="53" t="str">
        <f>LEFT('REPORTS PER EVALUATOR'!$O$89,1)</f>
        <v>A</v>
      </c>
      <c r="T6" s="82">
        <f>(RIGHT('REPORTS PER EVALUATOR'!$O$89,1))*1</f>
        <v>2</v>
      </c>
      <c r="U6" s="53" t="str">
        <f>LEFT('REPORTS PER EVALUATOR'!$O$101,1)</f>
        <v>F</v>
      </c>
      <c r="V6" s="82">
        <f>(RIGHT('REPORTS PER EVALUATOR'!$O$101,1))*1</f>
        <v>2</v>
      </c>
      <c r="W6" s="53" t="str">
        <f>LEFT('REPORTS PER EVALUATOR'!$O$113,1)</f>
        <v>A</v>
      </c>
      <c r="X6" s="82">
        <f>(RIGHT('REPORTS PER EVALUATOR'!$O$113,1))*1</f>
        <v>2</v>
      </c>
      <c r="Y6" s="53" t="str">
        <f>LEFT('REPORTS PER EVALUATOR'!$O$125,1)</f>
        <v>F</v>
      </c>
      <c r="Z6" s="92">
        <f>(RIGHT('REPORTS PER EVALUATOR'!$O$125,1))*1</f>
        <v>2</v>
      </c>
      <c r="AA6" s="53" t="e">
        <f>LEFT('REPORTS PER EVALUATOR'!#REF!,1)</f>
        <v>#REF!</v>
      </c>
      <c r="AB6" s="92" t="e">
        <f>(RIGHT('REPORTS PER EVALUATOR'!#REF!,1))*1</f>
        <v>#REF!</v>
      </c>
      <c r="AC6" s="53" t="e">
        <f>LEFT('REPORTS PER EVALUATOR'!#REF!,1)</f>
        <v>#REF!</v>
      </c>
      <c r="AD6" s="92" t="e">
        <f>(RIGHT('REPORTS PER EVALUATOR'!#REF!,1))*1</f>
        <v>#REF!</v>
      </c>
      <c r="AE6" s="53" t="e">
        <f>LEFT('REPORTS PER EVALUATOR'!#REF!,1)</f>
        <v>#REF!</v>
      </c>
      <c r="AF6" s="92" t="e">
        <f>(RIGHT('REPORTS PER EVALUATOR'!#REF!,1))*1</f>
        <v>#REF!</v>
      </c>
      <c r="AG6" s="53" t="e">
        <f>LEFT('REPORTS PER EVALUATOR'!#REF!,1)</f>
        <v>#REF!</v>
      </c>
      <c r="AH6" s="92" t="e">
        <f>(RIGHT('REPORTS PER EVALUATOR'!#REF!,1))*1</f>
        <v>#REF!</v>
      </c>
      <c r="AI6" s="53" t="e">
        <f>LEFT('REPORTS PER EVALUATOR'!#REF!,1)</f>
        <v>#REF!</v>
      </c>
      <c r="AJ6" s="92" t="e">
        <f>(RIGHT('REPORTS PER EVALUATOR'!#REF!,1))*1</f>
        <v>#REF!</v>
      </c>
      <c r="AK6" s="53" t="e">
        <f>LEFT('REPORTS PER EVALUATOR'!#REF!,1)</f>
        <v>#REF!</v>
      </c>
      <c r="AL6" s="92" t="e">
        <f>(RIGHT('REPORTS PER EVALUATOR'!#REF!,1))*1</f>
        <v>#REF!</v>
      </c>
      <c r="AM6" s="53" t="e">
        <f>LEFT('REPORTS PER EVALUATOR'!#REF!,1)</f>
        <v>#REF!</v>
      </c>
      <c r="AN6" s="92" t="e">
        <f>(RIGHT('REPORTS PER EVALUATOR'!#REF!,1))*1</f>
        <v>#REF!</v>
      </c>
      <c r="AO6" s="53" t="e">
        <f>LEFT('REPORTS PER EVALUATOR'!#REF!,1)</f>
        <v>#REF!</v>
      </c>
      <c r="AP6" s="92" t="e">
        <f>(RIGHT('REPORTS PER EVALUATOR'!#REF!,1))*1</f>
        <v>#REF!</v>
      </c>
      <c r="AQ6" s="53" t="e">
        <f>LEFT('REPORTS PER EVALUATOR'!#REF!,1)</f>
        <v>#REF!</v>
      </c>
      <c r="AR6" s="92" t="e">
        <f>(RIGHT('REPORTS PER EVALUATOR'!#REF!,1))*1</f>
        <v>#REF!</v>
      </c>
      <c r="XCY6" s="7" t="s">
        <v>123</v>
      </c>
      <c r="XCZ6" s="7" t="s">
        <v>124</v>
      </c>
      <c r="XDA6" s="7" t="s">
        <v>125</v>
      </c>
      <c r="XDB6" s="7" t="s">
        <v>126</v>
      </c>
      <c r="XDC6" s="7" t="s">
        <v>127</v>
      </c>
      <c r="XDD6" s="7" t="s">
        <v>128</v>
      </c>
      <c r="XDE6" s="7" t="s">
        <v>129</v>
      </c>
      <c r="XDF6" s="7" t="s">
        <v>130</v>
      </c>
      <c r="XDG6" s="7" t="s">
        <v>131</v>
      </c>
      <c r="XDH6" s="7" t="s">
        <v>136</v>
      </c>
      <c r="XDJ6" s="7" t="s">
        <v>123</v>
      </c>
      <c r="XDK6" s="7" t="s">
        <v>123</v>
      </c>
      <c r="XDL6" s="7" t="s">
        <v>123</v>
      </c>
      <c r="XDM6" s="7" t="s">
        <v>123</v>
      </c>
      <c r="XDN6" s="7" t="s">
        <v>123</v>
      </c>
      <c r="XDO6" s="7" t="s">
        <v>123</v>
      </c>
      <c r="XDP6" s="7" t="s">
        <v>123</v>
      </c>
      <c r="XDQ6" s="7" t="s">
        <v>123</v>
      </c>
      <c r="XDR6" s="7" t="s">
        <v>123</v>
      </c>
      <c r="XDS6" s="7" t="s">
        <v>124</v>
      </c>
      <c r="XDT6" s="7" t="s">
        <v>124</v>
      </c>
      <c r="XDU6" s="7" t="s">
        <v>124</v>
      </c>
      <c r="XDV6" s="7" t="s">
        <v>124</v>
      </c>
      <c r="XDW6" s="7" t="s">
        <v>124</v>
      </c>
      <c r="XDX6" s="7" t="s">
        <v>124</v>
      </c>
      <c r="XDY6" s="7" t="s">
        <v>124</v>
      </c>
      <c r="XDZ6" s="7" t="s">
        <v>124</v>
      </c>
      <c r="XEA6" s="7" t="s">
        <v>125</v>
      </c>
      <c r="XEB6" s="7" t="s">
        <v>125</v>
      </c>
      <c r="XEC6" s="7" t="s">
        <v>125</v>
      </c>
      <c r="XED6" s="7" t="s">
        <v>125</v>
      </c>
      <c r="XEE6" s="7" t="s">
        <v>125</v>
      </c>
      <c r="XEF6" s="7" t="s">
        <v>125</v>
      </c>
      <c r="XEG6" s="7" t="s">
        <v>125</v>
      </c>
      <c r="XEH6" s="7" t="s">
        <v>126</v>
      </c>
      <c r="XEI6" s="7" t="s">
        <v>126</v>
      </c>
      <c r="XEJ6" s="7" t="s">
        <v>126</v>
      </c>
      <c r="XEK6" s="7" t="s">
        <v>126</v>
      </c>
      <c r="XEL6" s="7" t="s">
        <v>126</v>
      </c>
      <c r="XEM6" s="7" t="s">
        <v>126</v>
      </c>
      <c r="XEN6" s="7" t="s">
        <v>127</v>
      </c>
      <c r="XEO6" s="7" t="s">
        <v>127</v>
      </c>
      <c r="XEP6" s="7" t="s">
        <v>127</v>
      </c>
      <c r="XEQ6" s="7" t="s">
        <v>127</v>
      </c>
      <c r="XER6" s="7" t="s">
        <v>127</v>
      </c>
      <c r="XES6" s="7" t="s">
        <v>128</v>
      </c>
      <c r="XET6" s="7" t="s">
        <v>128</v>
      </c>
      <c r="XEU6" s="7" t="s">
        <v>128</v>
      </c>
      <c r="XEV6" s="7" t="s">
        <v>128</v>
      </c>
      <c r="XEW6" s="7" t="s">
        <v>129</v>
      </c>
      <c r="XEX6" s="7" t="s">
        <v>129</v>
      </c>
      <c r="XEY6" s="7" t="s">
        <v>129</v>
      </c>
      <c r="XEZ6" s="7" t="s">
        <v>130</v>
      </c>
      <c r="XFA6" s="7" t="s">
        <v>130</v>
      </c>
      <c r="XFB6" s="7" t="s">
        <v>131</v>
      </c>
    </row>
    <row r="7" spans="1:44 16327:16382" x14ac:dyDescent="0.2">
      <c r="A7" s="214"/>
      <c r="B7" s="54" t="str">
        <f t="shared" si="1"/>
        <v>A</v>
      </c>
      <c r="C7" s="48" t="str">
        <f t="shared" si="0"/>
        <v>G</v>
      </c>
      <c r="D7" s="48" t="s">
        <v>15</v>
      </c>
      <c r="E7" s="52" t="str">
        <f>LEFT('REPORTS PER EVALUATOR'!$P$5,1)</f>
        <v>A</v>
      </c>
      <c r="F7" s="74">
        <f>(RIGHT('REPORTS PER EVALUATOR'!$P$5,1))*1</f>
        <v>3</v>
      </c>
      <c r="G7" s="53" t="str">
        <f>LEFT('REPORTS PER EVALUATOR'!$P$17,1)</f>
        <v>A</v>
      </c>
      <c r="H7" s="82">
        <f>(RIGHT('REPORTS PER EVALUATOR'!$P$17,1))*1</f>
        <v>4</v>
      </c>
      <c r="I7" s="53" t="str">
        <f>LEFT('REPORTS PER EVALUATOR'!$P$29,1)</f>
        <v>A</v>
      </c>
      <c r="J7" s="82">
        <f>(RIGHT('REPORTS PER EVALUATOR'!$P$29,1))*1</f>
        <v>3</v>
      </c>
      <c r="K7" s="53" t="str">
        <f>LEFT('REPORTS PER EVALUATOR'!$P$41,1)</f>
        <v>A</v>
      </c>
      <c r="L7" s="82">
        <f>(RIGHT('REPORTS PER EVALUATOR'!$P$41,1))*1</f>
        <v>2</v>
      </c>
      <c r="M7" s="53" t="str">
        <f>LEFT('REPORTS PER EVALUATOR'!$P$53,1)</f>
        <v>A</v>
      </c>
      <c r="N7" s="82">
        <f>(RIGHT('REPORTS PER EVALUATOR'!$P$53,1))*1</f>
        <v>3</v>
      </c>
      <c r="O7" s="53" t="str">
        <f>LEFT('REPORTS PER EVALUATOR'!$P$65,1)</f>
        <v>A</v>
      </c>
      <c r="P7" s="82">
        <f>(RIGHT('REPORTS PER EVALUATOR'!$P$65,1))*1</f>
        <v>3</v>
      </c>
      <c r="Q7" s="53" t="str">
        <f>LEFT('REPORTS PER EVALUATOR'!$P$77,1)</f>
        <v>A</v>
      </c>
      <c r="R7" s="82">
        <f>(RIGHT('REPORTS PER EVALUATOR'!$P$77,1))*1</f>
        <v>2</v>
      </c>
      <c r="S7" s="53" t="str">
        <f>LEFT('REPORTS PER EVALUATOR'!$P$89,1)</f>
        <v>A</v>
      </c>
      <c r="T7" s="82">
        <f>(RIGHT('REPORTS PER EVALUATOR'!$P$89,1))*1</f>
        <v>6</v>
      </c>
      <c r="U7" s="53" t="str">
        <f>LEFT('REPORTS PER EVALUATOR'!$P$101,1)</f>
        <v>A</v>
      </c>
      <c r="V7" s="82">
        <f>(RIGHT('REPORTS PER EVALUATOR'!$P$101,1))*1</f>
        <v>2</v>
      </c>
      <c r="W7" s="53" t="str">
        <f>LEFT('REPORTS PER EVALUATOR'!$P$113,1)</f>
        <v>A</v>
      </c>
      <c r="X7" s="82">
        <f>(RIGHT('REPORTS PER EVALUATOR'!$P$113,1))*1</f>
        <v>3</v>
      </c>
      <c r="Y7" s="53" t="str">
        <f>LEFT('REPORTS PER EVALUATOR'!$P$125,1)</f>
        <v>A</v>
      </c>
      <c r="Z7" s="92">
        <f>(RIGHT('REPORTS PER EVALUATOR'!$P$125,1))*1</f>
        <v>3</v>
      </c>
      <c r="AA7" s="53" t="e">
        <f>LEFT('REPORTS PER EVALUATOR'!#REF!,1)</f>
        <v>#REF!</v>
      </c>
      <c r="AB7" s="92" t="e">
        <f>(RIGHT('REPORTS PER EVALUATOR'!#REF!,1))*1</f>
        <v>#REF!</v>
      </c>
      <c r="AC7" s="53" t="e">
        <f>LEFT('REPORTS PER EVALUATOR'!#REF!,1)</f>
        <v>#REF!</v>
      </c>
      <c r="AD7" s="92" t="e">
        <f>(RIGHT('REPORTS PER EVALUATOR'!#REF!,1))*1</f>
        <v>#REF!</v>
      </c>
      <c r="AE7" s="53" t="e">
        <f>LEFT('REPORTS PER EVALUATOR'!#REF!,1)</f>
        <v>#REF!</v>
      </c>
      <c r="AF7" s="92" t="e">
        <f>(RIGHT('REPORTS PER EVALUATOR'!#REF!,1))*1</f>
        <v>#REF!</v>
      </c>
      <c r="AG7" s="53" t="e">
        <f>LEFT('REPORTS PER EVALUATOR'!#REF!,1)</f>
        <v>#REF!</v>
      </c>
      <c r="AH7" s="92" t="e">
        <f>(RIGHT('REPORTS PER EVALUATOR'!#REF!,1))*1</f>
        <v>#REF!</v>
      </c>
      <c r="AI7" s="53" t="e">
        <f>LEFT('REPORTS PER EVALUATOR'!#REF!,1)</f>
        <v>#REF!</v>
      </c>
      <c r="AJ7" s="92" t="e">
        <f>(RIGHT('REPORTS PER EVALUATOR'!#REF!,1))*1</f>
        <v>#REF!</v>
      </c>
      <c r="AK7" s="53" t="e">
        <f>LEFT('REPORTS PER EVALUATOR'!#REF!,1)</f>
        <v>#REF!</v>
      </c>
      <c r="AL7" s="92" t="e">
        <f>(RIGHT('REPORTS PER EVALUATOR'!#REF!,1))*1</f>
        <v>#REF!</v>
      </c>
      <c r="AM7" s="53" t="e">
        <f>LEFT('REPORTS PER EVALUATOR'!#REF!,1)</f>
        <v>#REF!</v>
      </c>
      <c r="AN7" s="92" t="e">
        <f>(RIGHT('REPORTS PER EVALUATOR'!#REF!,1))*1</f>
        <v>#REF!</v>
      </c>
      <c r="AO7" s="53" t="e">
        <f>LEFT('REPORTS PER EVALUATOR'!#REF!,1)</f>
        <v>#REF!</v>
      </c>
      <c r="AP7" s="92" t="e">
        <f>(RIGHT('REPORTS PER EVALUATOR'!#REF!,1))*1</f>
        <v>#REF!</v>
      </c>
      <c r="AQ7" s="53" t="e">
        <f>LEFT('REPORTS PER EVALUATOR'!#REF!,1)</f>
        <v>#REF!</v>
      </c>
      <c r="AR7" s="92" t="e">
        <f>(RIGHT('REPORTS PER EVALUATOR'!#REF!,1))*1</f>
        <v>#REF!</v>
      </c>
      <c r="XCY7" s="7" t="s">
        <v>153</v>
      </c>
      <c r="XCZ7" s="7" t="s">
        <v>153</v>
      </c>
      <c r="XDA7" s="7" t="s">
        <v>153</v>
      </c>
      <c r="XDB7" s="7" t="s">
        <v>153</v>
      </c>
      <c r="XDC7" s="7" t="s">
        <v>153</v>
      </c>
      <c r="XDD7" s="7" t="s">
        <v>153</v>
      </c>
      <c r="XDE7" s="7" t="s">
        <v>153</v>
      </c>
      <c r="XDF7" s="7" t="s">
        <v>153</v>
      </c>
      <c r="XDG7" s="7" t="s">
        <v>153</v>
      </c>
      <c r="XDH7" s="7" t="s">
        <v>153</v>
      </c>
      <c r="XDJ7" s="7" t="s">
        <v>88</v>
      </c>
      <c r="XDK7" s="7" t="s">
        <v>89</v>
      </c>
      <c r="XDL7" s="7" t="s">
        <v>90</v>
      </c>
      <c r="XDM7" s="7" t="s">
        <v>91</v>
      </c>
      <c r="XDN7" s="7" t="s">
        <v>92</v>
      </c>
      <c r="XDO7" s="7" t="s">
        <v>93</v>
      </c>
      <c r="XDP7" s="7" t="s">
        <v>94</v>
      </c>
      <c r="XDQ7" s="7" t="s">
        <v>95</v>
      </c>
      <c r="XDR7" s="7" t="s">
        <v>132</v>
      </c>
      <c r="XDS7" s="7" t="s">
        <v>89</v>
      </c>
      <c r="XDT7" s="7" t="s">
        <v>90</v>
      </c>
      <c r="XDU7" s="7" t="s">
        <v>91</v>
      </c>
      <c r="XDV7" s="7" t="s">
        <v>92</v>
      </c>
      <c r="XDW7" s="7" t="s">
        <v>93</v>
      </c>
      <c r="XDX7" s="7" t="s">
        <v>94</v>
      </c>
      <c r="XDY7" s="7" t="s">
        <v>95</v>
      </c>
      <c r="XDZ7" s="7" t="s">
        <v>132</v>
      </c>
      <c r="XEA7" s="7" t="s">
        <v>90</v>
      </c>
      <c r="XEB7" s="7" t="s">
        <v>91</v>
      </c>
      <c r="XEC7" s="7" t="s">
        <v>92</v>
      </c>
      <c r="XED7" s="7" t="s">
        <v>93</v>
      </c>
      <c r="XEE7" s="7" t="s">
        <v>94</v>
      </c>
      <c r="XEF7" s="7" t="s">
        <v>95</v>
      </c>
      <c r="XEG7" s="7" t="s">
        <v>132</v>
      </c>
      <c r="XEH7" s="7" t="s">
        <v>91</v>
      </c>
      <c r="XEI7" s="7" t="s">
        <v>92</v>
      </c>
      <c r="XEJ7" s="7" t="s">
        <v>93</v>
      </c>
      <c r="XEK7" s="7" t="s">
        <v>94</v>
      </c>
      <c r="XEL7" s="7" t="s">
        <v>95</v>
      </c>
      <c r="XEM7" s="7" t="s">
        <v>132</v>
      </c>
      <c r="XEN7" s="7" t="s">
        <v>92</v>
      </c>
      <c r="XEO7" s="7" t="s">
        <v>93</v>
      </c>
      <c r="XEP7" s="7" t="s">
        <v>94</v>
      </c>
      <c r="XEQ7" s="7" t="s">
        <v>95</v>
      </c>
      <c r="XER7" s="7" t="s">
        <v>132</v>
      </c>
      <c r="XES7" s="7" t="s">
        <v>93</v>
      </c>
      <c r="XET7" s="7" t="s">
        <v>94</v>
      </c>
      <c r="XEU7" s="7" t="s">
        <v>95</v>
      </c>
      <c r="XEV7" s="7" t="s">
        <v>132</v>
      </c>
      <c r="XEW7" s="7" t="s">
        <v>94</v>
      </c>
      <c r="XEX7" s="7" t="s">
        <v>95</v>
      </c>
      <c r="XEY7" s="7" t="s">
        <v>132</v>
      </c>
      <c r="XEZ7" s="7" t="s">
        <v>95</v>
      </c>
      <c r="XFA7" s="7" t="s">
        <v>132</v>
      </c>
      <c r="XFB7" s="7" t="s">
        <v>132</v>
      </c>
    </row>
    <row r="8" spans="1:44 16327:16382" x14ac:dyDescent="0.2">
      <c r="A8" s="214"/>
      <c r="B8" s="54" t="str">
        <f t="shared" si="1"/>
        <v>A</v>
      </c>
      <c r="C8" s="48" t="str">
        <f t="shared" si="0"/>
        <v>H</v>
      </c>
      <c r="D8" s="48" t="s">
        <v>16</v>
      </c>
      <c r="E8" s="52" t="str">
        <f>LEFT('REPORTS PER EVALUATOR'!$Q$5,1)</f>
        <v>H</v>
      </c>
      <c r="F8" s="74">
        <f>(RIGHT('REPORTS PER EVALUATOR'!$Q$5,1))*1</f>
        <v>2</v>
      </c>
      <c r="G8" s="53" t="str">
        <f>LEFT('REPORTS PER EVALUATOR'!$Q$17,1)</f>
        <v>A</v>
      </c>
      <c r="H8" s="82">
        <f>(RIGHT('REPORTS PER EVALUATOR'!$Q$17,1))*1</f>
        <v>3</v>
      </c>
      <c r="I8" s="53" t="str">
        <f>LEFT('REPORTS PER EVALUATOR'!$Q$29,1)</f>
        <v>A</v>
      </c>
      <c r="J8" s="82">
        <f>(RIGHT('REPORTS PER EVALUATOR'!$Q$29,1))*1</f>
        <v>3</v>
      </c>
      <c r="K8" s="53" t="str">
        <f>LEFT('REPORTS PER EVALUATOR'!$Q$41,1)</f>
        <v>A</v>
      </c>
      <c r="L8" s="82">
        <f>(RIGHT('REPORTS PER EVALUATOR'!$Q$41,1))*1</f>
        <v>3</v>
      </c>
      <c r="M8" s="53" t="str">
        <f>LEFT('REPORTS PER EVALUATOR'!$Q$53,1)</f>
        <v>A</v>
      </c>
      <c r="N8" s="82">
        <f>(RIGHT('REPORTS PER EVALUATOR'!$Q$53,1))*1</f>
        <v>2</v>
      </c>
      <c r="O8" s="53" t="str">
        <f>LEFT('REPORTS PER EVALUATOR'!$Q$65,1)</f>
        <v>H</v>
      </c>
      <c r="P8" s="82">
        <f>(RIGHT('REPORTS PER EVALUATOR'!$Q$65,1))*1</f>
        <v>2</v>
      </c>
      <c r="Q8" s="53" t="str">
        <f>LEFT('REPORTS PER EVALUATOR'!$Q$77,1)</f>
        <v>A</v>
      </c>
      <c r="R8" s="82">
        <f>(RIGHT('REPORTS PER EVALUATOR'!$Q$77,1))*1</f>
        <v>3</v>
      </c>
      <c r="S8" s="53" t="str">
        <f>LEFT('REPORTS PER EVALUATOR'!$Q$89,1)</f>
        <v>A</v>
      </c>
      <c r="T8" s="82">
        <f>(RIGHT('REPORTS PER EVALUATOR'!$Q$89,1))*1</f>
        <v>2</v>
      </c>
      <c r="U8" s="53" t="str">
        <f>LEFT('REPORTS PER EVALUATOR'!$Q$101,1)</f>
        <v>H</v>
      </c>
      <c r="V8" s="82">
        <f>(RIGHT('REPORTS PER EVALUATOR'!$Q$101,1))*1</f>
        <v>3</v>
      </c>
      <c r="W8" s="53" t="str">
        <f>LEFT('REPORTS PER EVALUATOR'!$Q$113,1)</f>
        <v>H</v>
      </c>
      <c r="X8" s="82">
        <f>(RIGHT('REPORTS PER EVALUATOR'!$Q$113,1))*1</f>
        <v>2</v>
      </c>
      <c r="Y8" s="53" t="str">
        <f>LEFT('REPORTS PER EVALUATOR'!$Q$125,1)</f>
        <v>A</v>
      </c>
      <c r="Z8" s="92">
        <f>(RIGHT('REPORTS PER EVALUATOR'!$Q$125,1))*1</f>
        <v>2</v>
      </c>
      <c r="AA8" s="53" t="e">
        <f>LEFT('REPORTS PER EVALUATOR'!#REF!,1)</f>
        <v>#REF!</v>
      </c>
      <c r="AB8" s="92" t="e">
        <f>(RIGHT('REPORTS PER EVALUATOR'!#REF!,1))*1</f>
        <v>#REF!</v>
      </c>
      <c r="AC8" s="53" t="e">
        <f>LEFT('REPORTS PER EVALUATOR'!#REF!,1)</f>
        <v>#REF!</v>
      </c>
      <c r="AD8" s="92" t="e">
        <f>(RIGHT('REPORTS PER EVALUATOR'!#REF!,1))*1</f>
        <v>#REF!</v>
      </c>
      <c r="AE8" s="53" t="e">
        <f>LEFT('REPORTS PER EVALUATOR'!#REF!,1)</f>
        <v>#REF!</v>
      </c>
      <c r="AF8" s="92" t="e">
        <f>(RIGHT('REPORTS PER EVALUATOR'!#REF!,1))*1</f>
        <v>#REF!</v>
      </c>
      <c r="AG8" s="53" t="e">
        <f>LEFT('REPORTS PER EVALUATOR'!#REF!,1)</f>
        <v>#REF!</v>
      </c>
      <c r="AH8" s="92" t="e">
        <f>(RIGHT('REPORTS PER EVALUATOR'!#REF!,1))*1</f>
        <v>#REF!</v>
      </c>
      <c r="AI8" s="53" t="e">
        <f>LEFT('REPORTS PER EVALUATOR'!#REF!,1)</f>
        <v>#REF!</v>
      </c>
      <c r="AJ8" s="92" t="e">
        <f>(RIGHT('REPORTS PER EVALUATOR'!#REF!,1))*1</f>
        <v>#REF!</v>
      </c>
      <c r="AK8" s="53" t="e">
        <f>LEFT('REPORTS PER EVALUATOR'!#REF!,1)</f>
        <v>#REF!</v>
      </c>
      <c r="AL8" s="92" t="e">
        <f>(RIGHT('REPORTS PER EVALUATOR'!#REF!,1))*1</f>
        <v>#REF!</v>
      </c>
      <c r="AM8" s="53" t="e">
        <f>LEFT('REPORTS PER EVALUATOR'!#REF!,1)</f>
        <v>#REF!</v>
      </c>
      <c r="AN8" s="92" t="e">
        <f>(RIGHT('REPORTS PER EVALUATOR'!#REF!,1))*1</f>
        <v>#REF!</v>
      </c>
      <c r="AO8" s="53" t="e">
        <f>LEFT('REPORTS PER EVALUATOR'!#REF!,1)</f>
        <v>#REF!</v>
      </c>
      <c r="AP8" s="92" t="e">
        <f>(RIGHT('REPORTS PER EVALUATOR'!#REF!,1))*1</f>
        <v>#REF!</v>
      </c>
      <c r="AQ8" s="53" t="e">
        <f>LEFT('REPORTS PER EVALUATOR'!#REF!,1)</f>
        <v>#REF!</v>
      </c>
      <c r="AR8" s="92" t="e">
        <f>(RIGHT('REPORTS PER EVALUATOR'!#REF!,1))*1</f>
        <v>#REF!</v>
      </c>
      <c r="XCY8" s="7" t="s">
        <v>151</v>
      </c>
      <c r="XCZ8" s="7" t="s">
        <v>151</v>
      </c>
      <c r="XDA8" s="7" t="s">
        <v>151</v>
      </c>
      <c r="XDB8" s="7" t="s">
        <v>151</v>
      </c>
      <c r="XDC8" s="7" t="s">
        <v>151</v>
      </c>
      <c r="XDD8" s="7" t="s">
        <v>151</v>
      </c>
      <c r="XDE8" s="7" t="s">
        <v>151</v>
      </c>
      <c r="XDF8" s="7" t="s">
        <v>151</v>
      </c>
      <c r="XDG8" s="7" t="s">
        <v>151</v>
      </c>
      <c r="XDH8" s="7" t="s">
        <v>151</v>
      </c>
      <c r="XDJ8" s="7" t="s">
        <v>97</v>
      </c>
      <c r="XDK8" s="7" t="s">
        <v>98</v>
      </c>
      <c r="XDL8" s="7" t="s">
        <v>99</v>
      </c>
      <c r="XDM8" s="7" t="s">
        <v>100</v>
      </c>
      <c r="XDN8" s="7" t="s">
        <v>101</v>
      </c>
      <c r="XDO8" s="7" t="s">
        <v>102</v>
      </c>
      <c r="XDP8" s="7" t="s">
        <v>103</v>
      </c>
      <c r="XDQ8" s="7" t="s">
        <v>104</v>
      </c>
      <c r="XDR8" s="7" t="s">
        <v>133</v>
      </c>
      <c r="XDS8" s="7" t="s">
        <v>98</v>
      </c>
      <c r="XDT8" s="7" t="s">
        <v>99</v>
      </c>
      <c r="XDU8" s="7" t="s">
        <v>100</v>
      </c>
      <c r="XDV8" s="7" t="s">
        <v>101</v>
      </c>
      <c r="XDW8" s="7" t="s">
        <v>102</v>
      </c>
      <c r="XDX8" s="7" t="s">
        <v>103</v>
      </c>
      <c r="XDY8" s="7" t="s">
        <v>104</v>
      </c>
      <c r="XDZ8" s="7" t="s">
        <v>133</v>
      </c>
      <c r="XEA8" s="7" t="s">
        <v>99</v>
      </c>
      <c r="XEB8" s="7" t="s">
        <v>100</v>
      </c>
      <c r="XEC8" s="7" t="s">
        <v>101</v>
      </c>
      <c r="XED8" s="7" t="s">
        <v>102</v>
      </c>
      <c r="XEE8" s="7" t="s">
        <v>103</v>
      </c>
      <c r="XEF8" s="7" t="s">
        <v>104</v>
      </c>
      <c r="XEG8" s="7" t="s">
        <v>133</v>
      </c>
      <c r="XEH8" s="7" t="s">
        <v>100</v>
      </c>
      <c r="XEI8" s="7" t="s">
        <v>101</v>
      </c>
      <c r="XEJ8" s="7" t="s">
        <v>102</v>
      </c>
      <c r="XEK8" s="7" t="s">
        <v>103</v>
      </c>
      <c r="XEL8" s="7" t="s">
        <v>104</v>
      </c>
      <c r="XEM8" s="7" t="s">
        <v>133</v>
      </c>
      <c r="XEN8" s="7" t="s">
        <v>101</v>
      </c>
      <c r="XEO8" s="7" t="s">
        <v>102</v>
      </c>
      <c r="XEP8" s="7" t="s">
        <v>103</v>
      </c>
      <c r="XEQ8" s="7" t="s">
        <v>104</v>
      </c>
      <c r="XER8" s="7" t="s">
        <v>133</v>
      </c>
      <c r="XES8" s="7" t="s">
        <v>102</v>
      </c>
      <c r="XET8" s="7" t="s">
        <v>103</v>
      </c>
      <c r="XEU8" s="7" t="s">
        <v>104</v>
      </c>
      <c r="XEV8" s="7" t="s">
        <v>133</v>
      </c>
      <c r="XEW8" s="7" t="s">
        <v>103</v>
      </c>
      <c r="XEX8" s="7" t="s">
        <v>104</v>
      </c>
      <c r="XEY8" s="7" t="s">
        <v>133</v>
      </c>
      <c r="XEZ8" s="7" t="s">
        <v>104</v>
      </c>
      <c r="XFA8" s="7" t="s">
        <v>133</v>
      </c>
      <c r="XFB8" s="7" t="s">
        <v>133</v>
      </c>
    </row>
    <row r="9" spans="1:44 16327:16382" x14ac:dyDescent="0.2">
      <c r="A9" s="214"/>
      <c r="B9" s="54" t="str">
        <f t="shared" si="1"/>
        <v>A</v>
      </c>
      <c r="C9" s="48" t="str">
        <f t="shared" si="0"/>
        <v>I</v>
      </c>
      <c r="D9" s="48" t="s">
        <v>17</v>
      </c>
      <c r="E9" s="52" t="str">
        <f>LEFT('REPORTS PER EVALUATOR'!$R$5,1)</f>
        <v>1</v>
      </c>
      <c r="F9" s="74">
        <f>(RIGHT('REPORTS PER EVALUATOR'!$R$5,1))*1</f>
        <v>1</v>
      </c>
      <c r="G9" s="53" t="str">
        <f>LEFT('REPORTS PER EVALUATOR'!$R$17,1)</f>
        <v>A</v>
      </c>
      <c r="H9" s="82">
        <f>(RIGHT('REPORTS PER EVALUATOR'!$R$17,1))*1</f>
        <v>3</v>
      </c>
      <c r="I9" s="53" t="str">
        <f>LEFT('REPORTS PER EVALUATOR'!$R$29,1)</f>
        <v>I</v>
      </c>
      <c r="J9" s="82">
        <f>(RIGHT('REPORTS PER EVALUATOR'!$R$29,1))*1</f>
        <v>3</v>
      </c>
      <c r="K9" s="53" t="str">
        <f>LEFT('REPORTS PER EVALUATOR'!$R$41,1)</f>
        <v>A</v>
      </c>
      <c r="L9" s="82">
        <f>(RIGHT('REPORTS PER EVALUATOR'!$R$41,1))*1</f>
        <v>2</v>
      </c>
      <c r="M9" s="53" t="str">
        <f>LEFT('REPORTS PER EVALUATOR'!$R$53,1)</f>
        <v>A</v>
      </c>
      <c r="N9" s="82">
        <f>(RIGHT('REPORTS PER EVALUATOR'!$R$53,1))*1</f>
        <v>2</v>
      </c>
      <c r="O9" s="53" t="str">
        <f>LEFT('REPORTS PER EVALUATOR'!$R$65,1)</f>
        <v>A</v>
      </c>
      <c r="P9" s="82">
        <f>(RIGHT('REPORTS PER EVALUATOR'!$R$65,1))*1</f>
        <v>2</v>
      </c>
      <c r="Q9" s="53" t="str">
        <f>LEFT('REPORTS PER EVALUATOR'!$R$77,1)</f>
        <v>A</v>
      </c>
      <c r="R9" s="82">
        <f>(RIGHT('REPORTS PER EVALUATOR'!$R$77,1))*1</f>
        <v>3</v>
      </c>
      <c r="S9" s="53" t="str">
        <f>LEFT('REPORTS PER EVALUATOR'!$R$89,1)</f>
        <v>A</v>
      </c>
      <c r="T9" s="82">
        <f>(RIGHT('REPORTS PER EVALUATOR'!$R$89,1))*1</f>
        <v>2</v>
      </c>
      <c r="U9" s="53" t="str">
        <f>LEFT('REPORTS PER EVALUATOR'!$R$101,1)</f>
        <v>A</v>
      </c>
      <c r="V9" s="82">
        <f>(RIGHT('REPORTS PER EVALUATOR'!$R$101,1))*1</f>
        <v>3</v>
      </c>
      <c r="W9" s="53" t="str">
        <f>LEFT('REPORTS PER EVALUATOR'!$R$113,1)</f>
        <v>1</v>
      </c>
      <c r="X9" s="82">
        <f>(RIGHT('REPORTS PER EVALUATOR'!$R$113,1))*1</f>
        <v>1</v>
      </c>
      <c r="Y9" s="53" t="str">
        <f>LEFT('REPORTS PER EVALUATOR'!$R$125,1)</f>
        <v>A</v>
      </c>
      <c r="Z9" s="92">
        <f>(RIGHT('REPORTS PER EVALUATOR'!$R$125,1))*1</f>
        <v>2</v>
      </c>
      <c r="AA9" s="53" t="e">
        <f>LEFT('REPORTS PER EVALUATOR'!#REF!,1)</f>
        <v>#REF!</v>
      </c>
      <c r="AB9" s="92" t="e">
        <f>(RIGHT('REPORTS PER EVALUATOR'!#REF!,1))*1</f>
        <v>#REF!</v>
      </c>
      <c r="AC9" s="53" t="e">
        <f>LEFT('REPORTS PER EVALUATOR'!#REF!,1)</f>
        <v>#REF!</v>
      </c>
      <c r="AD9" s="92" t="e">
        <f>(RIGHT('REPORTS PER EVALUATOR'!#REF!,1))*1</f>
        <v>#REF!</v>
      </c>
      <c r="AE9" s="53" t="e">
        <f>LEFT('REPORTS PER EVALUATOR'!#REF!,1)</f>
        <v>#REF!</v>
      </c>
      <c r="AF9" s="92" t="e">
        <f>(RIGHT('REPORTS PER EVALUATOR'!#REF!,1))*1</f>
        <v>#REF!</v>
      </c>
      <c r="AG9" s="53" t="e">
        <f>LEFT('REPORTS PER EVALUATOR'!#REF!,1)</f>
        <v>#REF!</v>
      </c>
      <c r="AH9" s="92" t="e">
        <f>(RIGHT('REPORTS PER EVALUATOR'!#REF!,1))*1</f>
        <v>#REF!</v>
      </c>
      <c r="AI9" s="53" t="e">
        <f>LEFT('REPORTS PER EVALUATOR'!#REF!,1)</f>
        <v>#REF!</v>
      </c>
      <c r="AJ9" s="92" t="e">
        <f>(RIGHT('REPORTS PER EVALUATOR'!#REF!,1))*1</f>
        <v>#REF!</v>
      </c>
      <c r="AK9" s="53" t="e">
        <f>LEFT('REPORTS PER EVALUATOR'!#REF!,1)</f>
        <v>#REF!</v>
      </c>
      <c r="AL9" s="92" t="e">
        <f>(RIGHT('REPORTS PER EVALUATOR'!#REF!,1))*1</f>
        <v>#REF!</v>
      </c>
      <c r="AM9" s="53" t="e">
        <f>LEFT('REPORTS PER EVALUATOR'!#REF!,1)</f>
        <v>#REF!</v>
      </c>
      <c r="AN9" s="92" t="e">
        <f>(RIGHT('REPORTS PER EVALUATOR'!#REF!,1))*1</f>
        <v>#REF!</v>
      </c>
      <c r="AO9" s="53" t="e">
        <f>LEFT('REPORTS PER EVALUATOR'!#REF!,1)</f>
        <v>#REF!</v>
      </c>
      <c r="AP9" s="92" t="e">
        <f>(RIGHT('REPORTS PER EVALUATOR'!#REF!,1))*1</f>
        <v>#REF!</v>
      </c>
      <c r="AQ9" s="53" t="e">
        <f>LEFT('REPORTS PER EVALUATOR'!#REF!,1)</f>
        <v>#REF!</v>
      </c>
      <c r="AR9" s="92" t="e">
        <f>(RIGHT('REPORTS PER EVALUATOR'!#REF!,1))*1</f>
        <v>#REF!</v>
      </c>
      <c r="XCY9" s="7" t="s">
        <v>152</v>
      </c>
      <c r="XCZ9" s="7" t="s">
        <v>152</v>
      </c>
      <c r="XDA9" s="7" t="s">
        <v>152</v>
      </c>
      <c r="XDB9" s="7" t="s">
        <v>152</v>
      </c>
      <c r="XDC9" s="7" t="s">
        <v>152</v>
      </c>
      <c r="XDD9" s="7" t="s">
        <v>152</v>
      </c>
      <c r="XDE9" s="7" t="s">
        <v>152</v>
      </c>
      <c r="XDF9" s="7" t="s">
        <v>152</v>
      </c>
      <c r="XDG9" s="7" t="s">
        <v>152</v>
      </c>
      <c r="XDH9" s="7" t="s">
        <v>152</v>
      </c>
      <c r="XDJ9" s="7" t="s">
        <v>106</v>
      </c>
      <c r="XDK9" s="7" t="s">
        <v>107</v>
      </c>
      <c r="XDL9" s="7" t="s">
        <v>108</v>
      </c>
      <c r="XDM9" s="7" t="s">
        <v>109</v>
      </c>
      <c r="XDN9" s="7" t="s">
        <v>110</v>
      </c>
      <c r="XDO9" s="7" t="s">
        <v>111</v>
      </c>
      <c r="XDP9" s="7" t="s">
        <v>112</v>
      </c>
      <c r="XDQ9" s="7" t="s">
        <v>113</v>
      </c>
      <c r="XDR9" s="7" t="s">
        <v>134</v>
      </c>
      <c r="XDS9" s="7" t="s">
        <v>107</v>
      </c>
      <c r="XDT9" s="7" t="s">
        <v>108</v>
      </c>
      <c r="XDU9" s="7" t="s">
        <v>109</v>
      </c>
      <c r="XDV9" s="7" t="s">
        <v>110</v>
      </c>
      <c r="XDW9" s="7" t="s">
        <v>111</v>
      </c>
      <c r="XDX9" s="7" t="s">
        <v>112</v>
      </c>
      <c r="XDY9" s="7" t="s">
        <v>113</v>
      </c>
      <c r="XDZ9" s="7" t="s">
        <v>134</v>
      </c>
      <c r="XEA9" s="7" t="s">
        <v>108</v>
      </c>
      <c r="XEB9" s="7" t="s">
        <v>109</v>
      </c>
      <c r="XEC9" s="7" t="s">
        <v>110</v>
      </c>
      <c r="XED9" s="7" t="s">
        <v>111</v>
      </c>
      <c r="XEE9" s="7" t="s">
        <v>112</v>
      </c>
      <c r="XEF9" s="7" t="s">
        <v>113</v>
      </c>
      <c r="XEG9" s="7" t="s">
        <v>134</v>
      </c>
      <c r="XEH9" s="7" t="s">
        <v>109</v>
      </c>
      <c r="XEI9" s="7" t="s">
        <v>110</v>
      </c>
      <c r="XEJ9" s="7" t="s">
        <v>111</v>
      </c>
      <c r="XEK9" s="7" t="s">
        <v>112</v>
      </c>
      <c r="XEL9" s="7" t="s">
        <v>113</v>
      </c>
      <c r="XEM9" s="7" t="s">
        <v>134</v>
      </c>
      <c r="XEN9" s="7" t="s">
        <v>110</v>
      </c>
      <c r="XEO9" s="7" t="s">
        <v>111</v>
      </c>
      <c r="XEP9" s="7" t="s">
        <v>112</v>
      </c>
      <c r="XEQ9" s="7" t="s">
        <v>113</v>
      </c>
      <c r="XER9" s="7" t="s">
        <v>134</v>
      </c>
      <c r="XES9" s="7" t="s">
        <v>111</v>
      </c>
      <c r="XET9" s="7" t="s">
        <v>112</v>
      </c>
      <c r="XEU9" s="7" t="s">
        <v>113</v>
      </c>
      <c r="XEV9" s="7" t="s">
        <v>134</v>
      </c>
      <c r="XEW9" s="7" t="s">
        <v>112</v>
      </c>
      <c r="XEX9" s="7" t="s">
        <v>113</v>
      </c>
      <c r="XEY9" s="7" t="s">
        <v>134</v>
      </c>
      <c r="XEZ9" s="7" t="s">
        <v>113</v>
      </c>
      <c r="XFA9" s="7" t="s">
        <v>134</v>
      </c>
      <c r="XFB9" s="7" t="s">
        <v>134</v>
      </c>
    </row>
    <row r="10" spans="1:44 16327:16382" x14ac:dyDescent="0.2">
      <c r="A10" s="214"/>
      <c r="B10" s="54" t="str">
        <f t="shared" si="1"/>
        <v>A</v>
      </c>
      <c r="C10" s="48" t="str">
        <f t="shared" si="0"/>
        <v>L</v>
      </c>
      <c r="D10" s="48" t="s">
        <v>18</v>
      </c>
      <c r="E10" s="52" t="str">
        <f>LEFT('REPORTS PER EVALUATOR'!$S$5,1)</f>
        <v>A</v>
      </c>
      <c r="F10" s="74">
        <f>(RIGHT('REPORTS PER EVALUATOR'!$S$5,1))*1</f>
        <v>4</v>
      </c>
      <c r="G10" s="53" t="str">
        <f>LEFT('REPORTS PER EVALUATOR'!$S$17,1)</f>
        <v>A</v>
      </c>
      <c r="H10" s="82">
        <f>(RIGHT('REPORTS PER EVALUATOR'!$S$17,1))*1</f>
        <v>3</v>
      </c>
      <c r="I10" s="53" t="str">
        <f>LEFT('REPORTS PER EVALUATOR'!$S$29,1)</f>
        <v>A</v>
      </c>
      <c r="J10" s="82">
        <f>(RIGHT('REPORTS PER EVALUATOR'!$S$29,1))*1</f>
        <v>3</v>
      </c>
      <c r="K10" s="53" t="str">
        <f>LEFT('REPORTS PER EVALUATOR'!$S$41,1)</f>
        <v>A</v>
      </c>
      <c r="L10" s="82">
        <f>(RIGHT('REPORTS PER EVALUATOR'!$S$41,1))*1</f>
        <v>3</v>
      </c>
      <c r="M10" s="53" t="str">
        <f>LEFT('REPORTS PER EVALUATOR'!$S$53,1)</f>
        <v>A</v>
      </c>
      <c r="N10" s="82">
        <f>(RIGHT('REPORTS PER EVALUATOR'!$S$53,1))*1</f>
        <v>3</v>
      </c>
      <c r="O10" s="53" t="str">
        <f>LEFT('REPORTS PER EVALUATOR'!$S$65,1)</f>
        <v>1</v>
      </c>
      <c r="P10" s="82">
        <f>(RIGHT('REPORTS PER EVALUATOR'!$S$65,1))*1</f>
        <v>1</v>
      </c>
      <c r="Q10" s="53" t="str">
        <f>LEFT('REPORTS PER EVALUATOR'!$S$77,1)</f>
        <v>A</v>
      </c>
      <c r="R10" s="82">
        <f>(RIGHT('REPORTS PER EVALUATOR'!$S$77,1))*1</f>
        <v>3</v>
      </c>
      <c r="S10" s="53" t="str">
        <f>LEFT('REPORTS PER EVALUATOR'!$S$89,1)</f>
        <v>A</v>
      </c>
      <c r="T10" s="82">
        <f>(RIGHT('REPORTS PER EVALUATOR'!$S$89,1))*1</f>
        <v>3</v>
      </c>
      <c r="U10" s="53" t="str">
        <f>LEFT('REPORTS PER EVALUATOR'!$S$101,1)</f>
        <v>A</v>
      </c>
      <c r="V10" s="82">
        <f>(RIGHT('REPORTS PER EVALUATOR'!$S$101,1))*1</f>
        <v>3</v>
      </c>
      <c r="W10" s="53" t="str">
        <f>LEFT('REPORTS PER EVALUATOR'!$S$113,1)</f>
        <v>A</v>
      </c>
      <c r="X10" s="82">
        <f>(RIGHT('REPORTS PER EVALUATOR'!$S$113,1))*1</f>
        <v>4</v>
      </c>
      <c r="Y10" s="53" t="str">
        <f>LEFT('REPORTS PER EVALUATOR'!$S$125,1)</f>
        <v>A</v>
      </c>
      <c r="Z10" s="92">
        <f>(RIGHT('REPORTS PER EVALUATOR'!$S$125,1))*1</f>
        <v>3</v>
      </c>
      <c r="AA10" s="53" t="e">
        <f>LEFT('REPORTS PER EVALUATOR'!#REF!,1)</f>
        <v>#REF!</v>
      </c>
      <c r="AB10" s="92" t="e">
        <f>(RIGHT('REPORTS PER EVALUATOR'!#REF!,1))*1</f>
        <v>#REF!</v>
      </c>
      <c r="AC10" s="53" t="e">
        <f>LEFT('REPORTS PER EVALUATOR'!#REF!,1)</f>
        <v>#REF!</v>
      </c>
      <c r="AD10" s="92" t="e">
        <f>(RIGHT('REPORTS PER EVALUATOR'!#REF!,1))*1</f>
        <v>#REF!</v>
      </c>
      <c r="AE10" s="53" t="e">
        <f>LEFT('REPORTS PER EVALUATOR'!#REF!,1)</f>
        <v>#REF!</v>
      </c>
      <c r="AF10" s="92" t="e">
        <f>(RIGHT('REPORTS PER EVALUATOR'!#REF!,1))*1</f>
        <v>#REF!</v>
      </c>
      <c r="AG10" s="53" t="e">
        <f>LEFT('REPORTS PER EVALUATOR'!#REF!,1)</f>
        <v>#REF!</v>
      </c>
      <c r="AH10" s="92" t="e">
        <f>(RIGHT('REPORTS PER EVALUATOR'!#REF!,1))*1</f>
        <v>#REF!</v>
      </c>
      <c r="AI10" s="53" t="e">
        <f>LEFT('REPORTS PER EVALUATOR'!#REF!,1)</f>
        <v>#REF!</v>
      </c>
      <c r="AJ10" s="92" t="e">
        <f>(RIGHT('REPORTS PER EVALUATOR'!#REF!,1))*1</f>
        <v>#REF!</v>
      </c>
      <c r="AK10" s="53" t="e">
        <f>LEFT('REPORTS PER EVALUATOR'!#REF!,1)</f>
        <v>#REF!</v>
      </c>
      <c r="AL10" s="92" t="e">
        <f>(RIGHT('REPORTS PER EVALUATOR'!#REF!,1))*1</f>
        <v>#REF!</v>
      </c>
      <c r="AM10" s="53" t="e">
        <f>LEFT('REPORTS PER EVALUATOR'!#REF!,1)</f>
        <v>#REF!</v>
      </c>
      <c r="AN10" s="92" t="e">
        <f>(RIGHT('REPORTS PER EVALUATOR'!#REF!,1))*1</f>
        <v>#REF!</v>
      </c>
      <c r="AO10" s="53" t="e">
        <f>LEFT('REPORTS PER EVALUATOR'!#REF!,1)</f>
        <v>#REF!</v>
      </c>
      <c r="AP10" s="92" t="e">
        <f>(RIGHT('REPORTS PER EVALUATOR'!#REF!,1))*1</f>
        <v>#REF!</v>
      </c>
      <c r="AQ10" s="53" t="e">
        <f>LEFT('REPORTS PER EVALUATOR'!#REF!,1)</f>
        <v>#REF!</v>
      </c>
      <c r="AR10" s="92" t="e">
        <f>(RIGHT('REPORTS PER EVALUATOR'!#REF!,1))*1</f>
        <v>#REF!</v>
      </c>
      <c r="XCY10" s="7" t="s">
        <v>154</v>
      </c>
      <c r="XCZ10" s="7" t="s">
        <v>154</v>
      </c>
      <c r="XDA10" s="7" t="s">
        <v>154</v>
      </c>
      <c r="XDB10" s="7" t="s">
        <v>154</v>
      </c>
      <c r="XDC10" s="7" t="s">
        <v>154</v>
      </c>
      <c r="XDD10" s="7" t="s">
        <v>154</v>
      </c>
      <c r="XDE10" s="7" t="s">
        <v>154</v>
      </c>
      <c r="XDF10" s="7" t="s">
        <v>154</v>
      </c>
      <c r="XDG10" s="7" t="s">
        <v>154</v>
      </c>
      <c r="XDH10" s="7" t="s">
        <v>154</v>
      </c>
      <c r="XDJ10" s="7" t="s">
        <v>115</v>
      </c>
      <c r="XDK10" s="7" t="s">
        <v>116</v>
      </c>
      <c r="XDL10" s="7" t="s">
        <v>117</v>
      </c>
      <c r="XDM10" s="7" t="s">
        <v>118</v>
      </c>
      <c r="XDN10" s="7" t="s">
        <v>119</v>
      </c>
      <c r="XDO10" s="7" t="s">
        <v>120</v>
      </c>
      <c r="XDP10" s="7" t="s">
        <v>121</v>
      </c>
      <c r="XDQ10" s="7" t="s">
        <v>122</v>
      </c>
      <c r="XDR10" s="7" t="s">
        <v>135</v>
      </c>
      <c r="XDS10" s="7" t="s">
        <v>116</v>
      </c>
      <c r="XDT10" s="7" t="s">
        <v>117</v>
      </c>
      <c r="XDU10" s="7" t="s">
        <v>118</v>
      </c>
      <c r="XDV10" s="7" t="s">
        <v>119</v>
      </c>
      <c r="XDW10" s="7" t="s">
        <v>120</v>
      </c>
      <c r="XDX10" s="7" t="s">
        <v>121</v>
      </c>
      <c r="XDY10" s="7" t="s">
        <v>122</v>
      </c>
      <c r="XDZ10" s="7" t="s">
        <v>135</v>
      </c>
      <c r="XEA10" s="7" t="s">
        <v>117</v>
      </c>
      <c r="XEB10" s="7" t="s">
        <v>118</v>
      </c>
      <c r="XEC10" s="7" t="s">
        <v>119</v>
      </c>
      <c r="XED10" s="7" t="s">
        <v>120</v>
      </c>
      <c r="XEE10" s="7" t="s">
        <v>121</v>
      </c>
      <c r="XEF10" s="7" t="s">
        <v>122</v>
      </c>
      <c r="XEG10" s="7" t="s">
        <v>135</v>
      </c>
      <c r="XEH10" s="7" t="s">
        <v>118</v>
      </c>
      <c r="XEI10" s="7" t="s">
        <v>119</v>
      </c>
      <c r="XEJ10" s="7" t="s">
        <v>120</v>
      </c>
      <c r="XEK10" s="7" t="s">
        <v>121</v>
      </c>
      <c r="XEL10" s="7" t="s">
        <v>122</v>
      </c>
      <c r="XEM10" s="7" t="s">
        <v>135</v>
      </c>
      <c r="XEN10" s="7" t="s">
        <v>119</v>
      </c>
      <c r="XEO10" s="7" t="s">
        <v>120</v>
      </c>
      <c r="XEP10" s="7" t="s">
        <v>121</v>
      </c>
      <c r="XEQ10" s="7" t="s">
        <v>122</v>
      </c>
      <c r="XER10" s="7" t="s">
        <v>135</v>
      </c>
      <c r="XES10" s="7" t="s">
        <v>120</v>
      </c>
      <c r="XET10" s="7" t="s">
        <v>121</v>
      </c>
      <c r="XEU10" s="7" t="s">
        <v>122</v>
      </c>
      <c r="XEV10" s="7" t="s">
        <v>135</v>
      </c>
      <c r="XEW10" s="7" t="s">
        <v>121</v>
      </c>
      <c r="XEX10" s="7" t="s">
        <v>122</v>
      </c>
      <c r="XEY10" s="7" t="s">
        <v>135</v>
      </c>
      <c r="XEZ10" s="7" t="s">
        <v>122</v>
      </c>
      <c r="XFA10" s="7" t="s">
        <v>135</v>
      </c>
      <c r="XFB10" s="7" t="s">
        <v>135</v>
      </c>
    </row>
    <row r="11" spans="1:44 16327:16382" x14ac:dyDescent="0.2">
      <c r="A11" s="214"/>
      <c r="B11" s="54" t="str">
        <f t="shared" ref="B11" si="2">LEFT(D11,1)</f>
        <v>A</v>
      </c>
      <c r="C11" s="48" t="str">
        <f t="shared" ref="C11" si="3">RIGHT(D11,1)</f>
        <v>M</v>
      </c>
      <c r="D11" s="48" t="s">
        <v>157</v>
      </c>
      <c r="E11" s="52" t="str">
        <f>LEFT('REPORTS PER EVALUATOR'!$T$5,1)</f>
        <v/>
      </c>
      <c r="F11" s="74" t="e">
        <f>(RIGHT('REPORTS PER EVALUATOR'!$T$5,1))*1</f>
        <v>#VALUE!</v>
      </c>
      <c r="G11" s="53" t="str">
        <f>LEFT('REPORTS PER EVALUATOR'!$T$17,1)</f>
        <v/>
      </c>
      <c r="H11" s="82" t="e">
        <f>(RIGHT('REPORTS PER EVALUATOR'!$T$17,1))*1</f>
        <v>#VALUE!</v>
      </c>
      <c r="I11" s="53" t="str">
        <f>LEFT('REPORTS PER EVALUATOR'!$T$29,1)</f>
        <v/>
      </c>
      <c r="J11" s="82" t="e">
        <f>(RIGHT('REPORTS PER EVALUATOR'!$T$29,1))*1</f>
        <v>#VALUE!</v>
      </c>
      <c r="K11" s="53" t="str">
        <f>LEFT('REPORTS PER EVALUATOR'!$T$41,1)</f>
        <v/>
      </c>
      <c r="L11" s="82" t="e">
        <f>(RIGHT('REPORTS PER EVALUATOR'!$T$41,1))*1</f>
        <v>#VALUE!</v>
      </c>
      <c r="M11" s="53" t="str">
        <f>LEFT('REPORTS PER EVALUATOR'!$T$53,1)</f>
        <v/>
      </c>
      <c r="N11" s="82" t="e">
        <f>(RIGHT('REPORTS PER EVALUATOR'!$T$53,1))*1</f>
        <v>#VALUE!</v>
      </c>
      <c r="O11" s="53" t="str">
        <f>LEFT('REPORTS PER EVALUATOR'!$T$65,1)</f>
        <v/>
      </c>
      <c r="P11" s="82" t="e">
        <f>(RIGHT('REPORTS PER EVALUATOR'!$T$65,1))*1</f>
        <v>#VALUE!</v>
      </c>
      <c r="Q11" s="53" t="str">
        <f>LEFT('REPORTS PER EVALUATOR'!$T$77,1)</f>
        <v/>
      </c>
      <c r="R11" s="82" t="e">
        <f>(RIGHT('REPORTS PER EVALUATOR'!$T$77,1))*1</f>
        <v>#VALUE!</v>
      </c>
      <c r="S11" s="53" t="str">
        <f>LEFT('REPORTS PER EVALUATOR'!$T$89,1)</f>
        <v/>
      </c>
      <c r="T11" s="82" t="e">
        <f>(RIGHT('REPORTS PER EVALUATOR'!$T$89,1))*1</f>
        <v>#VALUE!</v>
      </c>
      <c r="U11" s="53" t="str">
        <f>LEFT('REPORTS PER EVALUATOR'!$T$101,1)</f>
        <v/>
      </c>
      <c r="V11" s="82" t="e">
        <f>(RIGHT('REPORTS PER EVALUATOR'!$T$101,1))*1</f>
        <v>#VALUE!</v>
      </c>
      <c r="W11" s="53" t="str">
        <f>LEFT('REPORTS PER EVALUATOR'!$T$113,1)</f>
        <v/>
      </c>
      <c r="X11" s="82" t="e">
        <f>(RIGHT('REPORTS PER EVALUATOR'!$T$113,1))*1</f>
        <v>#VALUE!</v>
      </c>
      <c r="Y11" s="53" t="str">
        <f>LEFT('REPORTS PER EVALUATOR'!$T$125,1)</f>
        <v/>
      </c>
      <c r="Z11" s="92" t="e">
        <f>(RIGHT('REPORTS PER EVALUATOR'!$T$125,1))*1</f>
        <v>#VALUE!</v>
      </c>
      <c r="AA11" s="53" t="e">
        <f>LEFT('REPORTS PER EVALUATOR'!#REF!,1)</f>
        <v>#REF!</v>
      </c>
      <c r="AB11" s="92" t="e">
        <f>(RIGHT('REPORTS PER EVALUATOR'!#REF!,1))*1</f>
        <v>#REF!</v>
      </c>
      <c r="AC11" s="53" t="e">
        <f>LEFT('REPORTS PER EVALUATOR'!#REF!,1)</f>
        <v>#REF!</v>
      </c>
      <c r="AD11" s="92" t="e">
        <f>(RIGHT('REPORTS PER EVALUATOR'!#REF!,1))*1</f>
        <v>#REF!</v>
      </c>
      <c r="AE11" s="53" t="e">
        <f>LEFT('REPORTS PER EVALUATOR'!#REF!,1)</f>
        <v>#REF!</v>
      </c>
      <c r="AF11" s="92" t="e">
        <f>(RIGHT('REPORTS PER EVALUATOR'!#REF!,1))*1</f>
        <v>#REF!</v>
      </c>
      <c r="AG11" s="53" t="e">
        <f>LEFT('REPORTS PER EVALUATOR'!#REF!,1)</f>
        <v>#REF!</v>
      </c>
      <c r="AH11" s="92" t="e">
        <f>(RIGHT('REPORTS PER EVALUATOR'!#REF!,1))*1</f>
        <v>#REF!</v>
      </c>
      <c r="AI11" s="53" t="e">
        <f>LEFT('REPORTS PER EVALUATOR'!#REF!,1)</f>
        <v>#REF!</v>
      </c>
      <c r="AJ11" s="92" t="e">
        <f>(RIGHT('REPORTS PER EVALUATOR'!#REF!,1))*1</f>
        <v>#REF!</v>
      </c>
      <c r="AK11" s="53" t="e">
        <f>LEFT('REPORTS PER EVALUATOR'!#REF!,1)</f>
        <v>#REF!</v>
      </c>
      <c r="AL11" s="92" t="e">
        <f>(RIGHT('REPORTS PER EVALUATOR'!#REF!,1))*1</f>
        <v>#REF!</v>
      </c>
      <c r="AM11" s="53" t="e">
        <f>LEFT('REPORTS PER EVALUATOR'!#REF!,1)</f>
        <v>#REF!</v>
      </c>
      <c r="AN11" s="92" t="e">
        <f>(RIGHT('REPORTS PER EVALUATOR'!#REF!,1))*1</f>
        <v>#REF!</v>
      </c>
      <c r="AO11" s="53" t="e">
        <f>LEFT('REPORTS PER EVALUATOR'!#REF!,1)</f>
        <v>#REF!</v>
      </c>
      <c r="AP11" s="92" t="e">
        <f>(RIGHT('REPORTS PER EVALUATOR'!#REF!,1))*1</f>
        <v>#REF!</v>
      </c>
      <c r="AQ11" s="53" t="e">
        <f>LEFT('REPORTS PER EVALUATOR'!#REF!,1)</f>
        <v>#REF!</v>
      </c>
      <c r="AR11" s="92" t="e">
        <f>(RIGHT('REPORTS PER EVALUATOR'!#REF!,1))*1</f>
        <v>#REF!</v>
      </c>
      <c r="XCY11" s="7"/>
      <c r="XCZ11" s="7"/>
      <c r="XDA11" s="7"/>
      <c r="XDB11" s="7"/>
      <c r="XDC11" s="7"/>
      <c r="XDD11" s="7"/>
      <c r="XDE11" s="7"/>
      <c r="XDF11" s="7"/>
      <c r="XDG11" s="7"/>
      <c r="XDH11" s="7"/>
      <c r="XDJ11" s="7"/>
      <c r="XDK11" s="7"/>
      <c r="XDL11" s="7"/>
      <c r="XDM11" s="7"/>
      <c r="XDN11" s="7"/>
      <c r="XDO11" s="7"/>
      <c r="XDP11" s="7"/>
      <c r="XDQ11" s="7"/>
      <c r="XDR11" s="7"/>
      <c r="XDS11" s="7"/>
      <c r="XDT11" s="7"/>
      <c r="XDU11" s="7"/>
      <c r="XDV11" s="7"/>
      <c r="XDW11" s="7"/>
      <c r="XDX11" s="7"/>
      <c r="XDY11" s="7"/>
      <c r="XDZ11" s="7"/>
      <c r="XEA11" s="7"/>
      <c r="XEB11" s="7"/>
      <c r="XEC11" s="7"/>
      <c r="XED11" s="7"/>
      <c r="XEE11" s="7"/>
      <c r="XEF11" s="7"/>
      <c r="XEG11" s="7"/>
      <c r="XEH11" s="7"/>
      <c r="XEI11" s="7"/>
      <c r="XEJ11" s="7"/>
      <c r="XEK11" s="7"/>
      <c r="XEL11" s="7"/>
      <c r="XEM11" s="7"/>
      <c r="XEN11" s="7"/>
      <c r="XEO11" s="7"/>
      <c r="XEP11" s="7"/>
      <c r="XEQ11" s="7"/>
      <c r="XER11" s="7"/>
      <c r="XES11" s="7"/>
      <c r="XET11" s="7"/>
      <c r="XEU11" s="7"/>
      <c r="XEV11" s="7"/>
      <c r="XEW11" s="7"/>
      <c r="XEX11" s="7"/>
      <c r="XEY11" s="7"/>
      <c r="XEZ11" s="7"/>
      <c r="XFA11" s="7"/>
      <c r="XFB11" s="7"/>
    </row>
    <row r="12" spans="1:44 16327:16382" x14ac:dyDescent="0.2">
      <c r="A12" s="214"/>
      <c r="B12" s="54" t="str">
        <f t="shared" si="1"/>
        <v>B</v>
      </c>
      <c r="C12" s="48" t="str">
        <f t="shared" si="0"/>
        <v>C</v>
      </c>
      <c r="D12" s="48" t="s">
        <v>20</v>
      </c>
      <c r="E12" s="55" t="str">
        <f>LEFT('REPORTS PER EVALUATOR'!$L$6,1)</f>
        <v>B</v>
      </c>
      <c r="F12" s="73">
        <f>(RIGHT('REPORTS PER EVALUATOR'!$L$6,1))*1</f>
        <v>2</v>
      </c>
      <c r="G12" s="56" t="str">
        <f>LEFT('REPORTS PER EVALUATOR'!$L$18,1)</f>
        <v>B</v>
      </c>
      <c r="H12" s="81">
        <f>(RIGHT('REPORTS PER EVALUATOR'!$L$18,1))*1</f>
        <v>4</v>
      </c>
      <c r="I12" s="56" t="str">
        <f>LEFT('REPORTS PER EVALUATOR'!$L$30,1)</f>
        <v>B</v>
      </c>
      <c r="J12" s="81">
        <f>(RIGHT('REPORTS PER EVALUATOR'!$L$30,1))*1</f>
        <v>2</v>
      </c>
      <c r="K12" s="56" t="str">
        <f>LEFT('REPORTS PER EVALUATOR'!$L$42,1)</f>
        <v>B</v>
      </c>
      <c r="L12" s="81">
        <f>(RIGHT('REPORTS PER EVALUATOR'!$L$42,1))*1</f>
        <v>3</v>
      </c>
      <c r="M12" s="56" t="str">
        <f>LEFT('REPORTS PER EVALUATOR'!$L$54,1)</f>
        <v>B</v>
      </c>
      <c r="N12" s="81">
        <f>(RIGHT('REPORTS PER EVALUATOR'!$L$54,1))*1</f>
        <v>3</v>
      </c>
      <c r="O12" s="56" t="str">
        <f>LEFT('REPORTS PER EVALUATOR'!$L$66,1)</f>
        <v>B</v>
      </c>
      <c r="P12" s="81">
        <f>(RIGHT('REPORTS PER EVALUATOR'!$L$66,1))*1</f>
        <v>3</v>
      </c>
      <c r="Q12" s="56" t="str">
        <f>LEFT('REPORTS PER EVALUATOR'!$L$78,1)</f>
        <v>B</v>
      </c>
      <c r="R12" s="81">
        <f>(RIGHT('REPORTS PER EVALUATOR'!$L$78,1))*1</f>
        <v>3</v>
      </c>
      <c r="S12" s="56" t="str">
        <f>LEFT('REPORTS PER EVALUATOR'!$L$90,1)</f>
        <v>B</v>
      </c>
      <c r="T12" s="81">
        <f>(RIGHT('REPORTS PER EVALUATOR'!$L$90,1))*1</f>
        <v>2</v>
      </c>
      <c r="U12" s="56" t="str">
        <f>LEFT('REPORTS PER EVALUATOR'!$L$102,1)</f>
        <v>B</v>
      </c>
      <c r="V12" s="81">
        <f>(RIGHT('REPORTS PER EVALUATOR'!$L$102,1))*1</f>
        <v>2</v>
      </c>
      <c r="W12" s="56" t="str">
        <f>LEFT('REPORTS PER EVALUATOR'!$L$114,1)</f>
        <v>B</v>
      </c>
      <c r="X12" s="81">
        <f>(RIGHT('REPORTS PER EVALUATOR'!$L$114,1))*1</f>
        <v>3</v>
      </c>
      <c r="Y12" s="56" t="str">
        <f>LEFT('REPORTS PER EVALUATOR'!$L$126,1)</f>
        <v>B</v>
      </c>
      <c r="Z12" s="91">
        <f>(RIGHT('REPORTS PER EVALUATOR'!$L$126,1))*1</f>
        <v>2</v>
      </c>
      <c r="AA12" s="56" t="e">
        <f>LEFT('REPORTS PER EVALUATOR'!#REF!,1)</f>
        <v>#REF!</v>
      </c>
      <c r="AB12" s="91" t="e">
        <f>(RIGHT('REPORTS PER EVALUATOR'!#REF!,1))*1</f>
        <v>#REF!</v>
      </c>
      <c r="AC12" s="56" t="e">
        <f>LEFT('REPORTS PER EVALUATOR'!#REF!,1)</f>
        <v>#REF!</v>
      </c>
      <c r="AD12" s="91" t="e">
        <f>(RIGHT('REPORTS PER EVALUATOR'!#REF!,1))*1</f>
        <v>#REF!</v>
      </c>
      <c r="AE12" s="56" t="e">
        <f>LEFT('REPORTS PER EVALUATOR'!#REF!,1)</f>
        <v>#REF!</v>
      </c>
      <c r="AF12" s="91" t="e">
        <f>(RIGHT('REPORTS PER EVALUATOR'!#REF!,1))*1</f>
        <v>#REF!</v>
      </c>
      <c r="AG12" s="56" t="e">
        <f>LEFT('REPORTS PER EVALUATOR'!#REF!,1)</f>
        <v>#REF!</v>
      </c>
      <c r="AH12" s="91" t="e">
        <f>(RIGHT('REPORTS PER EVALUATOR'!#REF!,1))*1</f>
        <v>#REF!</v>
      </c>
      <c r="AI12" s="56" t="e">
        <f>LEFT('REPORTS PER EVALUATOR'!#REF!,1)</f>
        <v>#REF!</v>
      </c>
      <c r="AJ12" s="91" t="e">
        <f>(RIGHT('REPORTS PER EVALUATOR'!#REF!,1))*1</f>
        <v>#REF!</v>
      </c>
      <c r="AK12" s="56" t="e">
        <f>LEFT('REPORTS PER EVALUATOR'!#REF!,1)</f>
        <v>#REF!</v>
      </c>
      <c r="AL12" s="91" t="e">
        <f>(RIGHT('REPORTS PER EVALUATOR'!#REF!,1))*1</f>
        <v>#REF!</v>
      </c>
      <c r="AM12" s="56" t="e">
        <f>LEFT('REPORTS PER EVALUATOR'!#REF!,1)</f>
        <v>#REF!</v>
      </c>
      <c r="AN12" s="91" t="e">
        <f>(RIGHT('REPORTS PER EVALUATOR'!#REF!,1))*1</f>
        <v>#REF!</v>
      </c>
      <c r="AO12" s="56" t="e">
        <f>LEFT('REPORTS PER EVALUATOR'!#REF!,1)</f>
        <v>#REF!</v>
      </c>
      <c r="AP12" s="91" t="e">
        <f>(RIGHT('REPORTS PER EVALUATOR'!#REF!,1))*1</f>
        <v>#REF!</v>
      </c>
      <c r="AQ12" s="56" t="e">
        <f>LEFT('REPORTS PER EVALUATOR'!#REF!,1)</f>
        <v>#REF!</v>
      </c>
      <c r="AR12" s="91" t="e">
        <f>(RIGHT('REPORTS PER EVALUATOR'!#REF!,1))*1</f>
        <v>#REF!</v>
      </c>
      <c r="XCY12" s="7" t="s">
        <v>155</v>
      </c>
      <c r="XCZ12" s="7" t="s">
        <v>155</v>
      </c>
      <c r="XDA12" s="7" t="s">
        <v>155</v>
      </c>
      <c r="XDB12" s="7" t="s">
        <v>155</v>
      </c>
      <c r="XDC12" s="7" t="s">
        <v>155</v>
      </c>
      <c r="XDD12" s="7" t="s">
        <v>155</v>
      </c>
      <c r="XDE12" s="7" t="s">
        <v>155</v>
      </c>
      <c r="XDF12" s="7" t="s">
        <v>155</v>
      </c>
      <c r="XDG12" s="7" t="s">
        <v>155</v>
      </c>
      <c r="XDH12" s="7" t="s">
        <v>155</v>
      </c>
      <c r="XDJ12" s="7" t="s">
        <v>124</v>
      </c>
      <c r="XDK12" s="7" t="s">
        <v>125</v>
      </c>
      <c r="XDL12" s="7" t="s">
        <v>126</v>
      </c>
      <c r="XDM12" s="7" t="s">
        <v>127</v>
      </c>
      <c r="XDN12" s="7" t="s">
        <v>128</v>
      </c>
      <c r="XDO12" s="7" t="s">
        <v>129</v>
      </c>
      <c r="XDP12" s="7" t="s">
        <v>130</v>
      </c>
      <c r="XDQ12" s="7" t="s">
        <v>131</v>
      </c>
      <c r="XDR12" s="7" t="s">
        <v>136</v>
      </c>
      <c r="XDS12" s="7" t="s">
        <v>125</v>
      </c>
      <c r="XDT12" s="7" t="s">
        <v>126</v>
      </c>
      <c r="XDU12" s="7" t="s">
        <v>127</v>
      </c>
      <c r="XDV12" s="7" t="s">
        <v>128</v>
      </c>
      <c r="XDW12" s="7" t="s">
        <v>129</v>
      </c>
      <c r="XDX12" s="7" t="s">
        <v>130</v>
      </c>
      <c r="XDY12" s="7" t="s">
        <v>131</v>
      </c>
      <c r="XDZ12" s="7" t="s">
        <v>136</v>
      </c>
      <c r="XEA12" s="7" t="s">
        <v>126</v>
      </c>
      <c r="XEB12" s="7" t="s">
        <v>127</v>
      </c>
      <c r="XEC12" s="7" t="s">
        <v>128</v>
      </c>
      <c r="XED12" s="7" t="s">
        <v>129</v>
      </c>
      <c r="XEE12" s="7" t="s">
        <v>130</v>
      </c>
      <c r="XEF12" s="7" t="s">
        <v>131</v>
      </c>
      <c r="XEG12" s="7" t="s">
        <v>136</v>
      </c>
      <c r="XEH12" s="7" t="s">
        <v>127</v>
      </c>
      <c r="XEI12" s="7" t="s">
        <v>128</v>
      </c>
      <c r="XEJ12" s="7" t="s">
        <v>129</v>
      </c>
      <c r="XEK12" s="7" t="s">
        <v>130</v>
      </c>
      <c r="XEL12" s="7" t="s">
        <v>131</v>
      </c>
      <c r="XEM12" s="7" t="s">
        <v>136</v>
      </c>
      <c r="XEN12" s="7" t="s">
        <v>128</v>
      </c>
      <c r="XEO12" s="7" t="s">
        <v>129</v>
      </c>
      <c r="XEP12" s="7" t="s">
        <v>130</v>
      </c>
      <c r="XEQ12" s="7" t="s">
        <v>131</v>
      </c>
      <c r="XER12" s="7" t="s">
        <v>136</v>
      </c>
      <c r="XES12" s="7" t="s">
        <v>129</v>
      </c>
      <c r="XET12" s="7" t="s">
        <v>130</v>
      </c>
      <c r="XEU12" s="7" t="s">
        <v>131</v>
      </c>
      <c r="XEV12" s="7" t="s">
        <v>136</v>
      </c>
      <c r="XEW12" s="7" t="s">
        <v>130</v>
      </c>
      <c r="XEX12" s="7" t="s">
        <v>131</v>
      </c>
      <c r="XEY12" s="7" t="s">
        <v>136</v>
      </c>
      <c r="XEZ12" s="7" t="s">
        <v>131</v>
      </c>
      <c r="XFA12" s="7" t="s">
        <v>136</v>
      </c>
      <c r="XFB12" s="7" t="s">
        <v>136</v>
      </c>
    </row>
    <row r="13" spans="1:44 16327:16382" x14ac:dyDescent="0.2">
      <c r="A13" s="214"/>
      <c r="B13" s="54" t="str">
        <f t="shared" si="1"/>
        <v>B</v>
      </c>
      <c r="C13" s="48" t="str">
        <f t="shared" si="0"/>
        <v>D</v>
      </c>
      <c r="D13" s="48" t="s">
        <v>21</v>
      </c>
      <c r="E13" s="52" t="str">
        <f>LEFT('REPORTS PER EVALUATOR'!$M$6,1)</f>
        <v>D</v>
      </c>
      <c r="F13" s="74">
        <f>(RIGHT('REPORTS PER EVALUATOR'!$M$6,1))*1</f>
        <v>2</v>
      </c>
      <c r="G13" s="53" t="str">
        <f>LEFT('REPORTS PER EVALUATOR'!$M$18,1)</f>
        <v>1</v>
      </c>
      <c r="H13" s="82">
        <f>(RIGHT('REPORTS PER EVALUATOR'!$M$18,1))*1</f>
        <v>1</v>
      </c>
      <c r="I13" s="53" t="str">
        <f>LEFT('REPORTS PER EVALUATOR'!$M$30,1)</f>
        <v>D</v>
      </c>
      <c r="J13" s="82">
        <f>(RIGHT('REPORTS PER EVALUATOR'!$M$30,1))*1</f>
        <v>2</v>
      </c>
      <c r="K13" s="53" t="str">
        <f>LEFT('REPORTS PER EVALUATOR'!$M$42,1)</f>
        <v>D</v>
      </c>
      <c r="L13" s="82">
        <f>(RIGHT('REPORTS PER EVALUATOR'!$M$42,1))*1</f>
        <v>2</v>
      </c>
      <c r="M13" s="53" t="str">
        <f>LEFT('REPORTS PER EVALUATOR'!$M$54,1)</f>
        <v>D</v>
      </c>
      <c r="N13" s="82">
        <f>(RIGHT('REPORTS PER EVALUATOR'!$M$54,1))*1</f>
        <v>2</v>
      </c>
      <c r="O13" s="53" t="str">
        <f>LEFT('REPORTS PER EVALUATOR'!$M$66,1)</f>
        <v>1</v>
      </c>
      <c r="P13" s="82">
        <f>(RIGHT('REPORTS PER EVALUATOR'!$M$66,1))*1</f>
        <v>1</v>
      </c>
      <c r="Q13" s="53" t="str">
        <f>LEFT('REPORTS PER EVALUATOR'!$M$78,1)</f>
        <v>D</v>
      </c>
      <c r="R13" s="82">
        <f>(RIGHT('REPORTS PER EVALUATOR'!$M$78,1))*1</f>
        <v>2</v>
      </c>
      <c r="S13" s="53" t="str">
        <f>LEFT('REPORTS PER EVALUATOR'!$M$90,1)</f>
        <v>D</v>
      </c>
      <c r="T13" s="82">
        <f>(RIGHT('REPORTS PER EVALUATOR'!$M$90,1))*1</f>
        <v>3</v>
      </c>
      <c r="U13" s="53" t="str">
        <f>LEFT('REPORTS PER EVALUATOR'!$M$102,1)</f>
        <v>D</v>
      </c>
      <c r="V13" s="82">
        <f>(RIGHT('REPORTS PER EVALUATOR'!$M$102,1))*1</f>
        <v>2</v>
      </c>
      <c r="W13" s="53" t="str">
        <f>LEFT('REPORTS PER EVALUATOR'!$M$114,1)</f>
        <v>1</v>
      </c>
      <c r="X13" s="82">
        <f>(RIGHT('REPORTS PER EVALUATOR'!$M$114,1))*1</f>
        <v>1</v>
      </c>
      <c r="Y13" s="53" t="str">
        <f>LEFT('REPORTS PER EVALUATOR'!$M$126,1)</f>
        <v>B</v>
      </c>
      <c r="Z13" s="92">
        <f>(RIGHT('REPORTS PER EVALUATOR'!$M$126,1))*1</f>
        <v>2</v>
      </c>
      <c r="AA13" s="53" t="e">
        <f>LEFT('REPORTS PER EVALUATOR'!#REF!,1)</f>
        <v>#REF!</v>
      </c>
      <c r="AB13" s="92" t="e">
        <f>(RIGHT('REPORTS PER EVALUATOR'!#REF!,1))*1</f>
        <v>#REF!</v>
      </c>
      <c r="AC13" s="53" t="e">
        <f>LEFT('REPORTS PER EVALUATOR'!#REF!,1)</f>
        <v>#REF!</v>
      </c>
      <c r="AD13" s="92" t="e">
        <f>(RIGHT('REPORTS PER EVALUATOR'!#REF!,1))*1</f>
        <v>#REF!</v>
      </c>
      <c r="AE13" s="53" t="e">
        <f>LEFT('REPORTS PER EVALUATOR'!#REF!,1)</f>
        <v>#REF!</v>
      </c>
      <c r="AF13" s="92" t="e">
        <f>(RIGHT('REPORTS PER EVALUATOR'!#REF!,1))*1</f>
        <v>#REF!</v>
      </c>
      <c r="AG13" s="53" t="e">
        <f>LEFT('REPORTS PER EVALUATOR'!#REF!,1)</f>
        <v>#REF!</v>
      </c>
      <c r="AH13" s="92" t="e">
        <f>(RIGHT('REPORTS PER EVALUATOR'!#REF!,1))*1</f>
        <v>#REF!</v>
      </c>
      <c r="AI13" s="53" t="e">
        <f>LEFT('REPORTS PER EVALUATOR'!#REF!,1)</f>
        <v>#REF!</v>
      </c>
      <c r="AJ13" s="92" t="e">
        <f>(RIGHT('REPORTS PER EVALUATOR'!#REF!,1))*1</f>
        <v>#REF!</v>
      </c>
      <c r="AK13" s="53" t="e">
        <f>LEFT('REPORTS PER EVALUATOR'!#REF!,1)</f>
        <v>#REF!</v>
      </c>
      <c r="AL13" s="92" t="e">
        <f>(RIGHT('REPORTS PER EVALUATOR'!#REF!,1))*1</f>
        <v>#REF!</v>
      </c>
      <c r="AM13" s="53" t="e">
        <f>LEFT('REPORTS PER EVALUATOR'!#REF!,1)</f>
        <v>#REF!</v>
      </c>
      <c r="AN13" s="92" t="e">
        <f>(RIGHT('REPORTS PER EVALUATOR'!#REF!,1))*1</f>
        <v>#REF!</v>
      </c>
      <c r="AO13" s="53" t="e">
        <f>LEFT('REPORTS PER EVALUATOR'!#REF!,1)</f>
        <v>#REF!</v>
      </c>
      <c r="AP13" s="92" t="e">
        <f>(RIGHT('REPORTS PER EVALUATOR'!#REF!,1))*1</f>
        <v>#REF!</v>
      </c>
      <c r="AQ13" s="53" t="e">
        <f>LEFT('REPORTS PER EVALUATOR'!#REF!,1)</f>
        <v>#REF!</v>
      </c>
      <c r="AR13" s="92" t="e">
        <f>(RIGHT('REPORTS PER EVALUATOR'!#REF!,1))*1</f>
        <v>#REF!</v>
      </c>
    </row>
    <row r="14" spans="1:44 16327:16382" x14ac:dyDescent="0.2">
      <c r="A14" s="214"/>
      <c r="B14" s="54" t="str">
        <f t="shared" si="1"/>
        <v>B</v>
      </c>
      <c r="C14" s="48" t="str">
        <f t="shared" si="0"/>
        <v>E</v>
      </c>
      <c r="D14" s="48" t="s">
        <v>22</v>
      </c>
      <c r="E14" s="52" t="str">
        <f>LEFT('REPORTS PER EVALUATOR'!$N$6,1)</f>
        <v>B</v>
      </c>
      <c r="F14" s="74">
        <f>(RIGHT('REPORTS PER EVALUATOR'!$N$6,1))*1</f>
        <v>2</v>
      </c>
      <c r="G14" s="53" t="str">
        <f>LEFT('REPORTS PER EVALUATOR'!$N$18,1)</f>
        <v>E</v>
      </c>
      <c r="H14" s="82">
        <f>(RIGHT('REPORTS PER EVALUATOR'!$N$18,1))*1</f>
        <v>3</v>
      </c>
      <c r="I14" s="53" t="str">
        <f>LEFT('REPORTS PER EVALUATOR'!$N$30,1)</f>
        <v>1</v>
      </c>
      <c r="J14" s="82">
        <f>(RIGHT('REPORTS PER EVALUATOR'!$N$30,1))*1</f>
        <v>1</v>
      </c>
      <c r="K14" s="53" t="str">
        <f>LEFT('REPORTS PER EVALUATOR'!$N$42,1)</f>
        <v>E</v>
      </c>
      <c r="L14" s="82">
        <f>(RIGHT('REPORTS PER EVALUATOR'!$N$42,1))*1</f>
        <v>2</v>
      </c>
      <c r="M14" s="53" t="str">
        <f>LEFT('REPORTS PER EVALUATOR'!$N$54,1)</f>
        <v>1</v>
      </c>
      <c r="N14" s="82">
        <f>(RIGHT('REPORTS PER EVALUATOR'!$N$54,1))*1</f>
        <v>1</v>
      </c>
      <c r="O14" s="53" t="str">
        <f>LEFT('REPORTS PER EVALUATOR'!$N$66,1)</f>
        <v>B</v>
      </c>
      <c r="P14" s="82">
        <f>(RIGHT('REPORTS PER EVALUATOR'!$N$66,1))*1</f>
        <v>2</v>
      </c>
      <c r="Q14" s="53" t="str">
        <f>LEFT('REPORTS PER EVALUATOR'!$N$78,1)</f>
        <v>E</v>
      </c>
      <c r="R14" s="82">
        <f>(RIGHT('REPORTS PER EVALUATOR'!$N$78,1))*1</f>
        <v>3</v>
      </c>
      <c r="S14" s="53" t="str">
        <f>LEFT('REPORTS PER EVALUATOR'!$N$90,1)</f>
        <v>1</v>
      </c>
      <c r="T14" s="82">
        <f>(RIGHT('REPORTS PER EVALUATOR'!$N$90,1))*1</f>
        <v>1</v>
      </c>
      <c r="U14" s="53" t="str">
        <f>LEFT('REPORTS PER EVALUATOR'!$N$102,1)</f>
        <v>B</v>
      </c>
      <c r="V14" s="82">
        <f>(RIGHT('REPORTS PER EVALUATOR'!$N$102,1))*1</f>
        <v>2</v>
      </c>
      <c r="W14" s="53" t="str">
        <f>LEFT('REPORTS PER EVALUATOR'!$N$114,1)</f>
        <v>1</v>
      </c>
      <c r="X14" s="82">
        <f>(RIGHT('REPORTS PER EVALUATOR'!$N$114,1))*1</f>
        <v>1</v>
      </c>
      <c r="Y14" s="53" t="str">
        <f>LEFT('REPORTS PER EVALUATOR'!$N$126,1)</f>
        <v>1</v>
      </c>
      <c r="Z14" s="92">
        <f>(RIGHT('REPORTS PER EVALUATOR'!$N$126,1))*1</f>
        <v>1</v>
      </c>
      <c r="AA14" s="53" t="e">
        <f>LEFT('REPORTS PER EVALUATOR'!#REF!,1)</f>
        <v>#REF!</v>
      </c>
      <c r="AB14" s="92" t="e">
        <f>(RIGHT('REPORTS PER EVALUATOR'!#REF!,1))*1</f>
        <v>#REF!</v>
      </c>
      <c r="AC14" s="53" t="e">
        <f>LEFT('REPORTS PER EVALUATOR'!#REF!,1)</f>
        <v>#REF!</v>
      </c>
      <c r="AD14" s="92" t="e">
        <f>(RIGHT('REPORTS PER EVALUATOR'!#REF!,1))*1</f>
        <v>#REF!</v>
      </c>
      <c r="AE14" s="53" t="e">
        <f>LEFT('REPORTS PER EVALUATOR'!#REF!,1)</f>
        <v>#REF!</v>
      </c>
      <c r="AF14" s="92" t="e">
        <f>(RIGHT('REPORTS PER EVALUATOR'!#REF!,1))*1</f>
        <v>#REF!</v>
      </c>
      <c r="AG14" s="53" t="e">
        <f>LEFT('REPORTS PER EVALUATOR'!#REF!,1)</f>
        <v>#REF!</v>
      </c>
      <c r="AH14" s="92" t="e">
        <f>(RIGHT('REPORTS PER EVALUATOR'!#REF!,1))*1</f>
        <v>#REF!</v>
      </c>
      <c r="AI14" s="53" t="e">
        <f>LEFT('REPORTS PER EVALUATOR'!#REF!,1)</f>
        <v>#REF!</v>
      </c>
      <c r="AJ14" s="92" t="e">
        <f>(RIGHT('REPORTS PER EVALUATOR'!#REF!,1))*1</f>
        <v>#REF!</v>
      </c>
      <c r="AK14" s="53" t="e">
        <f>LEFT('REPORTS PER EVALUATOR'!#REF!,1)</f>
        <v>#REF!</v>
      </c>
      <c r="AL14" s="92" t="e">
        <f>(RIGHT('REPORTS PER EVALUATOR'!#REF!,1))*1</f>
        <v>#REF!</v>
      </c>
      <c r="AM14" s="53" t="e">
        <f>LEFT('REPORTS PER EVALUATOR'!#REF!,1)</f>
        <v>#REF!</v>
      </c>
      <c r="AN14" s="92" t="e">
        <f>(RIGHT('REPORTS PER EVALUATOR'!#REF!,1))*1</f>
        <v>#REF!</v>
      </c>
      <c r="AO14" s="53" t="e">
        <f>LEFT('REPORTS PER EVALUATOR'!#REF!,1)</f>
        <v>#REF!</v>
      </c>
      <c r="AP14" s="92" t="e">
        <f>(RIGHT('REPORTS PER EVALUATOR'!#REF!,1))*1</f>
        <v>#REF!</v>
      </c>
      <c r="AQ14" s="53" t="e">
        <f>LEFT('REPORTS PER EVALUATOR'!#REF!,1)</f>
        <v>#REF!</v>
      </c>
      <c r="AR14" s="92" t="e">
        <f>(RIGHT('REPORTS PER EVALUATOR'!#REF!,1))*1</f>
        <v>#REF!</v>
      </c>
    </row>
    <row r="15" spans="1:44 16327:16382" x14ac:dyDescent="0.2">
      <c r="A15" s="214"/>
      <c r="B15" s="54" t="str">
        <f t="shared" si="1"/>
        <v>B</v>
      </c>
      <c r="C15" s="48" t="str">
        <f t="shared" si="0"/>
        <v>F</v>
      </c>
      <c r="D15" s="48" t="s">
        <v>23</v>
      </c>
      <c r="E15" s="52" t="str">
        <f>LEFT('REPORTS PER EVALUATOR'!$O$6,1)</f>
        <v>B</v>
      </c>
      <c r="F15" s="74">
        <f>(RIGHT('REPORTS PER EVALUATOR'!$O$6,1))*1</f>
        <v>2</v>
      </c>
      <c r="G15" s="53" t="str">
        <f>LEFT('REPORTS PER EVALUATOR'!$O$18,1)</f>
        <v>B</v>
      </c>
      <c r="H15" s="82">
        <f>(RIGHT('REPORTS PER EVALUATOR'!$O$18,1))*1</f>
        <v>2</v>
      </c>
      <c r="I15" s="53" t="str">
        <f>LEFT('REPORTS PER EVALUATOR'!$O$30,1)</f>
        <v>B</v>
      </c>
      <c r="J15" s="82">
        <f>(RIGHT('REPORTS PER EVALUATOR'!$O$30,1))*1</f>
        <v>2</v>
      </c>
      <c r="K15" s="53" t="str">
        <f>LEFT('REPORTS PER EVALUATOR'!$O$42,1)</f>
        <v>F</v>
      </c>
      <c r="L15" s="82">
        <f>(RIGHT('REPORTS PER EVALUATOR'!$O$42,1))*1</f>
        <v>3</v>
      </c>
      <c r="M15" s="53" t="str">
        <f>LEFT('REPORTS PER EVALUATOR'!$O$54,1)</f>
        <v>B</v>
      </c>
      <c r="N15" s="82">
        <f>(RIGHT('REPORTS PER EVALUATOR'!$O$54,1))*1</f>
        <v>2</v>
      </c>
      <c r="O15" s="53" t="str">
        <f>LEFT('REPORTS PER EVALUATOR'!$O$66,1)</f>
        <v>B</v>
      </c>
      <c r="P15" s="82">
        <f>(RIGHT('REPORTS PER EVALUATOR'!$O$66,1))*1</f>
        <v>2</v>
      </c>
      <c r="Q15" s="53" t="str">
        <f>LEFT('REPORTS PER EVALUATOR'!$O$78,1)</f>
        <v>1</v>
      </c>
      <c r="R15" s="82">
        <f>(RIGHT('REPORTS PER EVALUATOR'!$O$78,1))*1</f>
        <v>1</v>
      </c>
      <c r="S15" s="53" t="str">
        <f>LEFT('REPORTS PER EVALUATOR'!$O$90,1)</f>
        <v>B</v>
      </c>
      <c r="T15" s="82">
        <f>(RIGHT('REPORTS PER EVALUATOR'!$O$90,1))*1</f>
        <v>2</v>
      </c>
      <c r="U15" s="53" t="str">
        <f>LEFT('REPORTS PER EVALUATOR'!$O$102,1)</f>
        <v>1</v>
      </c>
      <c r="V15" s="82">
        <f>(RIGHT('REPORTS PER EVALUATOR'!$O$102,1))*1</f>
        <v>1</v>
      </c>
      <c r="W15" s="53" t="str">
        <f>LEFT('REPORTS PER EVALUATOR'!$O$114,1)</f>
        <v>B</v>
      </c>
      <c r="X15" s="82">
        <f>(RIGHT('REPORTS PER EVALUATOR'!$O$114,1))*1</f>
        <v>2</v>
      </c>
      <c r="Y15" s="53" t="str">
        <f>LEFT('REPORTS PER EVALUATOR'!$O$126,1)</f>
        <v>F</v>
      </c>
      <c r="Z15" s="92">
        <f>(RIGHT('REPORTS PER EVALUATOR'!$O$126,1))*1</f>
        <v>2</v>
      </c>
      <c r="AA15" s="53" t="e">
        <f>LEFT('REPORTS PER EVALUATOR'!#REF!,1)</f>
        <v>#REF!</v>
      </c>
      <c r="AB15" s="92" t="e">
        <f>(RIGHT('REPORTS PER EVALUATOR'!#REF!,1))*1</f>
        <v>#REF!</v>
      </c>
      <c r="AC15" s="53" t="e">
        <f>LEFT('REPORTS PER EVALUATOR'!#REF!,1)</f>
        <v>#REF!</v>
      </c>
      <c r="AD15" s="92" t="e">
        <f>(RIGHT('REPORTS PER EVALUATOR'!#REF!,1))*1</f>
        <v>#REF!</v>
      </c>
      <c r="AE15" s="53" t="e">
        <f>LEFT('REPORTS PER EVALUATOR'!#REF!,1)</f>
        <v>#REF!</v>
      </c>
      <c r="AF15" s="92" t="e">
        <f>(RIGHT('REPORTS PER EVALUATOR'!#REF!,1))*1</f>
        <v>#REF!</v>
      </c>
      <c r="AG15" s="53" t="e">
        <f>LEFT('REPORTS PER EVALUATOR'!#REF!,1)</f>
        <v>#REF!</v>
      </c>
      <c r="AH15" s="92" t="e">
        <f>(RIGHT('REPORTS PER EVALUATOR'!#REF!,1))*1</f>
        <v>#REF!</v>
      </c>
      <c r="AI15" s="53" t="e">
        <f>LEFT('REPORTS PER EVALUATOR'!#REF!,1)</f>
        <v>#REF!</v>
      </c>
      <c r="AJ15" s="92" t="e">
        <f>(RIGHT('REPORTS PER EVALUATOR'!#REF!,1))*1</f>
        <v>#REF!</v>
      </c>
      <c r="AK15" s="53" t="e">
        <f>LEFT('REPORTS PER EVALUATOR'!#REF!,1)</f>
        <v>#REF!</v>
      </c>
      <c r="AL15" s="92" t="e">
        <f>(RIGHT('REPORTS PER EVALUATOR'!#REF!,1))*1</f>
        <v>#REF!</v>
      </c>
      <c r="AM15" s="53" t="e">
        <f>LEFT('REPORTS PER EVALUATOR'!#REF!,1)</f>
        <v>#REF!</v>
      </c>
      <c r="AN15" s="92" t="e">
        <f>(RIGHT('REPORTS PER EVALUATOR'!#REF!,1))*1</f>
        <v>#REF!</v>
      </c>
      <c r="AO15" s="53" t="e">
        <f>LEFT('REPORTS PER EVALUATOR'!#REF!,1)</f>
        <v>#REF!</v>
      </c>
      <c r="AP15" s="92" t="e">
        <f>(RIGHT('REPORTS PER EVALUATOR'!#REF!,1))*1</f>
        <v>#REF!</v>
      </c>
      <c r="AQ15" s="53" t="e">
        <f>LEFT('REPORTS PER EVALUATOR'!#REF!,1)</f>
        <v>#REF!</v>
      </c>
      <c r="AR15" s="92" t="e">
        <f>(RIGHT('REPORTS PER EVALUATOR'!#REF!,1))*1</f>
        <v>#REF!</v>
      </c>
    </row>
    <row r="16" spans="1:44 16327:16382" x14ac:dyDescent="0.2">
      <c r="A16" s="214"/>
      <c r="B16" s="54" t="str">
        <f t="shared" si="1"/>
        <v>B</v>
      </c>
      <c r="C16" s="48" t="str">
        <f t="shared" si="0"/>
        <v>G</v>
      </c>
      <c r="D16" s="48" t="s">
        <v>24</v>
      </c>
      <c r="E16" s="52" t="str">
        <f>LEFT('REPORTS PER EVALUATOR'!$P$6,1)</f>
        <v>B</v>
      </c>
      <c r="F16" s="74">
        <f>(RIGHT('REPORTS PER EVALUATOR'!$P$6,1))*1</f>
        <v>3</v>
      </c>
      <c r="G16" s="53" t="str">
        <f>LEFT('REPORTS PER EVALUATOR'!$P$18,1)</f>
        <v>B</v>
      </c>
      <c r="H16" s="82">
        <f>(RIGHT('REPORTS PER EVALUATOR'!$P$18,1))*1</f>
        <v>2</v>
      </c>
      <c r="I16" s="53" t="str">
        <f>LEFT('REPORTS PER EVALUATOR'!$P$30,1)</f>
        <v>B</v>
      </c>
      <c r="J16" s="82">
        <f>(RIGHT('REPORTS PER EVALUATOR'!$P$30,1))*1</f>
        <v>2</v>
      </c>
      <c r="K16" s="53" t="str">
        <f>LEFT('REPORTS PER EVALUATOR'!$P$42,1)</f>
        <v>1</v>
      </c>
      <c r="L16" s="82">
        <f>(RIGHT('REPORTS PER EVALUATOR'!$P$42,1))*1</f>
        <v>1</v>
      </c>
      <c r="M16" s="53" t="str">
        <f>LEFT('REPORTS PER EVALUATOR'!$P$54,1)</f>
        <v>B</v>
      </c>
      <c r="N16" s="82">
        <f>(RIGHT('REPORTS PER EVALUATOR'!$P$54,1))*1</f>
        <v>2</v>
      </c>
      <c r="O16" s="53" t="str">
        <f>LEFT('REPORTS PER EVALUATOR'!$P$66,1)</f>
        <v>B</v>
      </c>
      <c r="P16" s="82">
        <f>(RIGHT('REPORTS PER EVALUATOR'!$P$66,1))*1</f>
        <v>2</v>
      </c>
      <c r="Q16" s="53" t="str">
        <f>LEFT('REPORTS PER EVALUATOR'!$P$78,1)</f>
        <v>1</v>
      </c>
      <c r="R16" s="82">
        <f>(RIGHT('REPORTS PER EVALUATOR'!$P$78,1))*1</f>
        <v>1</v>
      </c>
      <c r="S16" s="53" t="str">
        <f>LEFT('REPORTS PER EVALUATOR'!$P$90,1)</f>
        <v>B</v>
      </c>
      <c r="T16" s="82">
        <f>(RIGHT('REPORTS PER EVALUATOR'!$P$90,1))*1</f>
        <v>6</v>
      </c>
      <c r="U16" s="53" t="str">
        <f>LEFT('REPORTS PER EVALUATOR'!$P$102,1)</f>
        <v>B</v>
      </c>
      <c r="V16" s="82">
        <f>(RIGHT('REPORTS PER EVALUATOR'!$P$102,1))*1</f>
        <v>3</v>
      </c>
      <c r="W16" s="53" t="str">
        <f>LEFT('REPORTS PER EVALUATOR'!$P$114,1)</f>
        <v>B</v>
      </c>
      <c r="X16" s="82">
        <f>(RIGHT('REPORTS PER EVALUATOR'!$P$114,1))*1</f>
        <v>3</v>
      </c>
      <c r="Y16" s="53" t="str">
        <f>LEFT('REPORTS PER EVALUATOR'!$P$126,1)</f>
        <v>B</v>
      </c>
      <c r="Z16" s="92">
        <f>(RIGHT('REPORTS PER EVALUATOR'!$P$126,1))*1</f>
        <v>3</v>
      </c>
      <c r="AA16" s="53" t="e">
        <f>LEFT('REPORTS PER EVALUATOR'!#REF!,1)</f>
        <v>#REF!</v>
      </c>
      <c r="AB16" s="92" t="e">
        <f>(RIGHT('REPORTS PER EVALUATOR'!#REF!,1))*1</f>
        <v>#REF!</v>
      </c>
      <c r="AC16" s="53" t="e">
        <f>LEFT('REPORTS PER EVALUATOR'!#REF!,1)</f>
        <v>#REF!</v>
      </c>
      <c r="AD16" s="92" t="e">
        <f>(RIGHT('REPORTS PER EVALUATOR'!#REF!,1))*1</f>
        <v>#REF!</v>
      </c>
      <c r="AE16" s="53" t="e">
        <f>LEFT('REPORTS PER EVALUATOR'!#REF!,1)</f>
        <v>#REF!</v>
      </c>
      <c r="AF16" s="92" t="e">
        <f>(RIGHT('REPORTS PER EVALUATOR'!#REF!,1))*1</f>
        <v>#REF!</v>
      </c>
      <c r="AG16" s="53" t="e">
        <f>LEFT('REPORTS PER EVALUATOR'!#REF!,1)</f>
        <v>#REF!</v>
      </c>
      <c r="AH16" s="92" t="e">
        <f>(RIGHT('REPORTS PER EVALUATOR'!#REF!,1))*1</f>
        <v>#REF!</v>
      </c>
      <c r="AI16" s="53" t="e">
        <f>LEFT('REPORTS PER EVALUATOR'!#REF!,1)</f>
        <v>#REF!</v>
      </c>
      <c r="AJ16" s="92" t="e">
        <f>(RIGHT('REPORTS PER EVALUATOR'!#REF!,1))*1</f>
        <v>#REF!</v>
      </c>
      <c r="AK16" s="53" t="e">
        <f>LEFT('REPORTS PER EVALUATOR'!#REF!,1)</f>
        <v>#REF!</v>
      </c>
      <c r="AL16" s="92" t="e">
        <f>(RIGHT('REPORTS PER EVALUATOR'!#REF!,1))*1</f>
        <v>#REF!</v>
      </c>
      <c r="AM16" s="53" t="e">
        <f>LEFT('REPORTS PER EVALUATOR'!#REF!,1)</f>
        <v>#REF!</v>
      </c>
      <c r="AN16" s="92" t="e">
        <f>(RIGHT('REPORTS PER EVALUATOR'!#REF!,1))*1</f>
        <v>#REF!</v>
      </c>
      <c r="AO16" s="53" t="e">
        <f>LEFT('REPORTS PER EVALUATOR'!#REF!,1)</f>
        <v>#REF!</v>
      </c>
      <c r="AP16" s="92" t="e">
        <f>(RIGHT('REPORTS PER EVALUATOR'!#REF!,1))*1</f>
        <v>#REF!</v>
      </c>
      <c r="AQ16" s="53" t="e">
        <f>LEFT('REPORTS PER EVALUATOR'!#REF!,1)</f>
        <v>#REF!</v>
      </c>
      <c r="AR16" s="92" t="e">
        <f>(RIGHT('REPORTS PER EVALUATOR'!#REF!,1))*1</f>
        <v>#REF!</v>
      </c>
    </row>
    <row r="17" spans="1:44" x14ac:dyDescent="0.2">
      <c r="A17" s="214"/>
      <c r="B17" s="54" t="str">
        <f t="shared" si="1"/>
        <v>B</v>
      </c>
      <c r="C17" s="48" t="str">
        <f t="shared" si="0"/>
        <v>H</v>
      </c>
      <c r="D17" s="48" t="s">
        <v>25</v>
      </c>
      <c r="E17" s="52" t="str">
        <f>LEFT('REPORTS PER EVALUATOR'!$Q$6,1)</f>
        <v>1</v>
      </c>
      <c r="F17" s="74">
        <f>(RIGHT('REPORTS PER EVALUATOR'!$Q$6,1))*1</f>
        <v>1</v>
      </c>
      <c r="G17" s="53" t="str">
        <f>LEFT('REPORTS PER EVALUATOR'!$Q$18,1)</f>
        <v>B</v>
      </c>
      <c r="H17" s="82">
        <f>(RIGHT('REPORTS PER EVALUATOR'!$Q$18,1))*1</f>
        <v>2</v>
      </c>
      <c r="I17" s="53" t="str">
        <f>LEFT('REPORTS PER EVALUATOR'!$Q$30,1)</f>
        <v>B</v>
      </c>
      <c r="J17" s="82">
        <f>(RIGHT('REPORTS PER EVALUATOR'!$Q$30,1))*1</f>
        <v>3</v>
      </c>
      <c r="K17" s="53" t="str">
        <f>LEFT('REPORTS PER EVALUATOR'!$Q$42,1)</f>
        <v>B</v>
      </c>
      <c r="L17" s="82">
        <f>(RIGHT('REPORTS PER EVALUATOR'!$Q$42,1))*1</f>
        <v>3</v>
      </c>
      <c r="M17" s="53" t="str">
        <f>LEFT('REPORTS PER EVALUATOR'!$Q$54,1)</f>
        <v>1</v>
      </c>
      <c r="N17" s="82">
        <f>(RIGHT('REPORTS PER EVALUATOR'!$Q$54,1))*1</f>
        <v>1</v>
      </c>
      <c r="O17" s="53" t="str">
        <f>LEFT('REPORTS PER EVALUATOR'!$Q$66,1)</f>
        <v>1</v>
      </c>
      <c r="P17" s="82">
        <f>(RIGHT('REPORTS PER EVALUATOR'!$Q$66,1))*1</f>
        <v>1</v>
      </c>
      <c r="Q17" s="53" t="str">
        <f>LEFT('REPORTS PER EVALUATOR'!$Q$78,1)</f>
        <v>B</v>
      </c>
      <c r="R17" s="82">
        <f>(RIGHT('REPORTS PER EVALUATOR'!$Q$78,1))*1</f>
        <v>3</v>
      </c>
      <c r="S17" s="53" t="str">
        <f>LEFT('REPORTS PER EVALUATOR'!$Q$90,1)</f>
        <v>B</v>
      </c>
      <c r="T17" s="82">
        <f>(RIGHT('REPORTS PER EVALUATOR'!$Q$90,1))*1</f>
        <v>2</v>
      </c>
      <c r="U17" s="53" t="str">
        <f>LEFT('REPORTS PER EVALUATOR'!$Q$102,1)</f>
        <v>H</v>
      </c>
      <c r="V17" s="82">
        <f>(RIGHT('REPORTS PER EVALUATOR'!$Q$102,1))*1</f>
        <v>2</v>
      </c>
      <c r="W17" s="53" t="str">
        <f>LEFT('REPORTS PER EVALUATOR'!$Q$114,1)</f>
        <v>H</v>
      </c>
      <c r="X17" s="82">
        <f>(RIGHT('REPORTS PER EVALUATOR'!$Q$114,1))*1</f>
        <v>2</v>
      </c>
      <c r="Y17" s="53" t="str">
        <f>LEFT('REPORTS PER EVALUATOR'!$Q$126,1)</f>
        <v>B</v>
      </c>
      <c r="Z17" s="92">
        <f>(RIGHT('REPORTS PER EVALUATOR'!$Q$126,1))*1</f>
        <v>2</v>
      </c>
      <c r="AA17" s="53" t="e">
        <f>LEFT('REPORTS PER EVALUATOR'!#REF!,1)</f>
        <v>#REF!</v>
      </c>
      <c r="AB17" s="92" t="e">
        <f>(RIGHT('REPORTS PER EVALUATOR'!#REF!,1))*1</f>
        <v>#REF!</v>
      </c>
      <c r="AC17" s="53" t="e">
        <f>LEFT('REPORTS PER EVALUATOR'!#REF!,1)</f>
        <v>#REF!</v>
      </c>
      <c r="AD17" s="92" t="e">
        <f>(RIGHT('REPORTS PER EVALUATOR'!#REF!,1))*1</f>
        <v>#REF!</v>
      </c>
      <c r="AE17" s="53" t="e">
        <f>LEFT('REPORTS PER EVALUATOR'!#REF!,1)</f>
        <v>#REF!</v>
      </c>
      <c r="AF17" s="92" t="e">
        <f>(RIGHT('REPORTS PER EVALUATOR'!#REF!,1))*1</f>
        <v>#REF!</v>
      </c>
      <c r="AG17" s="53" t="e">
        <f>LEFT('REPORTS PER EVALUATOR'!#REF!,1)</f>
        <v>#REF!</v>
      </c>
      <c r="AH17" s="92" t="e">
        <f>(RIGHT('REPORTS PER EVALUATOR'!#REF!,1))*1</f>
        <v>#REF!</v>
      </c>
      <c r="AI17" s="53" t="e">
        <f>LEFT('REPORTS PER EVALUATOR'!#REF!,1)</f>
        <v>#REF!</v>
      </c>
      <c r="AJ17" s="92" t="e">
        <f>(RIGHT('REPORTS PER EVALUATOR'!#REF!,1))*1</f>
        <v>#REF!</v>
      </c>
      <c r="AK17" s="53" t="e">
        <f>LEFT('REPORTS PER EVALUATOR'!#REF!,1)</f>
        <v>#REF!</v>
      </c>
      <c r="AL17" s="92" t="e">
        <f>(RIGHT('REPORTS PER EVALUATOR'!#REF!,1))*1</f>
        <v>#REF!</v>
      </c>
      <c r="AM17" s="53" t="e">
        <f>LEFT('REPORTS PER EVALUATOR'!#REF!,1)</f>
        <v>#REF!</v>
      </c>
      <c r="AN17" s="92" t="e">
        <f>(RIGHT('REPORTS PER EVALUATOR'!#REF!,1))*1</f>
        <v>#REF!</v>
      </c>
      <c r="AO17" s="53" t="e">
        <f>LEFT('REPORTS PER EVALUATOR'!#REF!,1)</f>
        <v>#REF!</v>
      </c>
      <c r="AP17" s="92" t="e">
        <f>(RIGHT('REPORTS PER EVALUATOR'!#REF!,1))*1</f>
        <v>#REF!</v>
      </c>
      <c r="AQ17" s="53" t="e">
        <f>LEFT('REPORTS PER EVALUATOR'!#REF!,1)</f>
        <v>#REF!</v>
      </c>
      <c r="AR17" s="92" t="e">
        <f>(RIGHT('REPORTS PER EVALUATOR'!#REF!,1))*1</f>
        <v>#REF!</v>
      </c>
    </row>
    <row r="18" spans="1:44" x14ac:dyDescent="0.2">
      <c r="A18" s="214"/>
      <c r="B18" s="54" t="str">
        <f t="shared" si="1"/>
        <v>B</v>
      </c>
      <c r="C18" s="48" t="str">
        <f t="shared" si="0"/>
        <v>I</v>
      </c>
      <c r="D18" s="48" t="s">
        <v>26</v>
      </c>
      <c r="E18" s="52" t="str">
        <f>LEFT('REPORTS PER EVALUATOR'!$R$6,1)</f>
        <v>B</v>
      </c>
      <c r="F18" s="74">
        <f>(RIGHT('REPORTS PER EVALUATOR'!$R$6,1))*1</f>
        <v>2</v>
      </c>
      <c r="G18" s="53" t="str">
        <f>LEFT('REPORTS PER EVALUATOR'!$R$18,1)</f>
        <v>B</v>
      </c>
      <c r="H18" s="82">
        <f>(RIGHT('REPORTS PER EVALUATOR'!$R$18,1))*1</f>
        <v>2</v>
      </c>
      <c r="I18" s="53" t="str">
        <f>LEFT('REPORTS PER EVALUATOR'!$R$30,1)</f>
        <v>I</v>
      </c>
      <c r="J18" s="82">
        <f>(RIGHT('REPORTS PER EVALUATOR'!$R$30,1))*1</f>
        <v>2</v>
      </c>
      <c r="K18" s="53" t="str">
        <f>LEFT('REPORTS PER EVALUATOR'!$R$42,1)</f>
        <v>B</v>
      </c>
      <c r="L18" s="82">
        <f>(RIGHT('REPORTS PER EVALUATOR'!$R$42,1))*1</f>
        <v>3</v>
      </c>
      <c r="M18" s="53" t="str">
        <f>LEFT('REPORTS PER EVALUATOR'!$R$54,1)</f>
        <v>1</v>
      </c>
      <c r="N18" s="82">
        <f>(RIGHT('REPORTS PER EVALUATOR'!$R$54,1))*1</f>
        <v>1</v>
      </c>
      <c r="O18" s="53" t="str">
        <f>LEFT('REPORTS PER EVALUATOR'!$R$66,1)</f>
        <v>1</v>
      </c>
      <c r="P18" s="82">
        <f>(RIGHT('REPORTS PER EVALUATOR'!$R$66,1))*1</f>
        <v>1</v>
      </c>
      <c r="Q18" s="53" t="str">
        <f>LEFT('REPORTS PER EVALUATOR'!$R$78,1)</f>
        <v>B</v>
      </c>
      <c r="R18" s="82">
        <f>(RIGHT('REPORTS PER EVALUATOR'!$R$78,1))*1</f>
        <v>2</v>
      </c>
      <c r="S18" s="53" t="str">
        <f>LEFT('REPORTS PER EVALUATOR'!$R$90,1)</f>
        <v>1</v>
      </c>
      <c r="T18" s="82">
        <f>(RIGHT('REPORTS PER EVALUATOR'!$R$90,1))*1</f>
        <v>1</v>
      </c>
      <c r="U18" s="53" t="str">
        <f>LEFT('REPORTS PER EVALUATOR'!$R$102,1)</f>
        <v>B</v>
      </c>
      <c r="V18" s="82">
        <f>(RIGHT('REPORTS PER EVALUATOR'!$R$102,1))*1</f>
        <v>2</v>
      </c>
      <c r="W18" s="53" t="str">
        <f>LEFT('REPORTS PER EVALUATOR'!$R$114,1)</f>
        <v>1</v>
      </c>
      <c r="X18" s="82">
        <f>(RIGHT('REPORTS PER EVALUATOR'!$R$114,1))*1</f>
        <v>1</v>
      </c>
      <c r="Y18" s="53" t="str">
        <f>LEFT('REPORTS PER EVALUATOR'!$R$126,1)</f>
        <v>B</v>
      </c>
      <c r="Z18" s="92">
        <f>(RIGHT('REPORTS PER EVALUATOR'!$R$126,1))*1</f>
        <v>2</v>
      </c>
      <c r="AA18" s="53" t="e">
        <f>LEFT('REPORTS PER EVALUATOR'!#REF!,1)</f>
        <v>#REF!</v>
      </c>
      <c r="AB18" s="92" t="e">
        <f>(RIGHT('REPORTS PER EVALUATOR'!#REF!,1))*1</f>
        <v>#REF!</v>
      </c>
      <c r="AC18" s="53" t="e">
        <f>LEFT('REPORTS PER EVALUATOR'!#REF!,1)</f>
        <v>#REF!</v>
      </c>
      <c r="AD18" s="92" t="e">
        <f>(RIGHT('REPORTS PER EVALUATOR'!#REF!,1))*1</f>
        <v>#REF!</v>
      </c>
      <c r="AE18" s="53" t="e">
        <f>LEFT('REPORTS PER EVALUATOR'!#REF!,1)</f>
        <v>#REF!</v>
      </c>
      <c r="AF18" s="92" t="e">
        <f>(RIGHT('REPORTS PER EVALUATOR'!#REF!,1))*1</f>
        <v>#REF!</v>
      </c>
      <c r="AG18" s="53" t="e">
        <f>LEFT('REPORTS PER EVALUATOR'!#REF!,1)</f>
        <v>#REF!</v>
      </c>
      <c r="AH18" s="92" t="e">
        <f>(RIGHT('REPORTS PER EVALUATOR'!#REF!,1))*1</f>
        <v>#REF!</v>
      </c>
      <c r="AI18" s="53" t="e">
        <f>LEFT('REPORTS PER EVALUATOR'!#REF!,1)</f>
        <v>#REF!</v>
      </c>
      <c r="AJ18" s="92" t="e">
        <f>(RIGHT('REPORTS PER EVALUATOR'!#REF!,1))*1</f>
        <v>#REF!</v>
      </c>
      <c r="AK18" s="53" t="e">
        <f>LEFT('REPORTS PER EVALUATOR'!#REF!,1)</f>
        <v>#REF!</v>
      </c>
      <c r="AL18" s="92" t="e">
        <f>(RIGHT('REPORTS PER EVALUATOR'!#REF!,1))*1</f>
        <v>#REF!</v>
      </c>
      <c r="AM18" s="53" t="e">
        <f>LEFT('REPORTS PER EVALUATOR'!#REF!,1)</f>
        <v>#REF!</v>
      </c>
      <c r="AN18" s="92" t="e">
        <f>(RIGHT('REPORTS PER EVALUATOR'!#REF!,1))*1</f>
        <v>#REF!</v>
      </c>
      <c r="AO18" s="53" t="e">
        <f>LEFT('REPORTS PER EVALUATOR'!#REF!,1)</f>
        <v>#REF!</v>
      </c>
      <c r="AP18" s="92" t="e">
        <f>(RIGHT('REPORTS PER EVALUATOR'!#REF!,1))*1</f>
        <v>#REF!</v>
      </c>
      <c r="AQ18" s="53" t="e">
        <f>LEFT('REPORTS PER EVALUATOR'!#REF!,1)</f>
        <v>#REF!</v>
      </c>
      <c r="AR18" s="92" t="e">
        <f>(RIGHT('REPORTS PER EVALUATOR'!#REF!,1))*1</f>
        <v>#REF!</v>
      </c>
    </row>
    <row r="19" spans="1:44" x14ac:dyDescent="0.2">
      <c r="B19" s="19" t="str">
        <f t="shared" si="1"/>
        <v>B</v>
      </c>
      <c r="C19" s="18" t="str">
        <f t="shared" si="0"/>
        <v>L</v>
      </c>
      <c r="D19" s="18" t="s">
        <v>27</v>
      </c>
      <c r="E19" s="26" t="str">
        <f>LEFT('REPORTS PER EVALUATOR'!$S$6,1)</f>
        <v>B</v>
      </c>
      <c r="F19" s="74">
        <f>(RIGHT('REPORTS PER EVALUATOR'!$S$6,1))*1</f>
        <v>3</v>
      </c>
      <c r="G19" s="11" t="str">
        <f>LEFT('REPORTS PER EVALUATOR'!$S$18,1)</f>
        <v>B</v>
      </c>
      <c r="H19" s="82">
        <f>(RIGHT('REPORTS PER EVALUATOR'!$S$18,1))*1</f>
        <v>3</v>
      </c>
      <c r="I19" s="11" t="str">
        <f>LEFT('REPORTS PER EVALUATOR'!$S$30,1)</f>
        <v>B</v>
      </c>
      <c r="J19" s="82">
        <f>(RIGHT('REPORTS PER EVALUATOR'!$S$30,1))*1</f>
        <v>3</v>
      </c>
      <c r="K19" s="11" t="str">
        <f>LEFT('REPORTS PER EVALUATOR'!$S$42,1)</f>
        <v>B</v>
      </c>
      <c r="L19" s="82">
        <f>(RIGHT('REPORTS PER EVALUATOR'!$S$42,1))*1</f>
        <v>2</v>
      </c>
      <c r="M19" s="11" t="str">
        <f>LEFT('REPORTS PER EVALUATOR'!$S$54,1)</f>
        <v>B</v>
      </c>
      <c r="N19" s="82">
        <f>(RIGHT('REPORTS PER EVALUATOR'!$S$54,1))*1</f>
        <v>2</v>
      </c>
      <c r="O19" s="11" t="str">
        <f>LEFT('REPORTS PER EVALUATOR'!$S$66,1)</f>
        <v>B</v>
      </c>
      <c r="P19" s="82">
        <f>(RIGHT('REPORTS PER EVALUATOR'!$S$66,1))*1</f>
        <v>2</v>
      </c>
      <c r="Q19" s="11" t="str">
        <f>LEFT('REPORTS PER EVALUATOR'!$S$78,1)</f>
        <v>B</v>
      </c>
      <c r="R19" s="82">
        <f>(RIGHT('REPORTS PER EVALUATOR'!$S$78,1))*1</f>
        <v>2</v>
      </c>
      <c r="S19" s="11" t="str">
        <f>LEFT('REPORTS PER EVALUATOR'!$S$90,1)</f>
        <v>B</v>
      </c>
      <c r="T19" s="82">
        <f>(RIGHT('REPORTS PER EVALUATOR'!$S$90,1))*1</f>
        <v>2</v>
      </c>
      <c r="U19" s="11" t="str">
        <f>LEFT('REPORTS PER EVALUATOR'!$S$102,1)</f>
        <v>B</v>
      </c>
      <c r="V19" s="82">
        <f>(RIGHT('REPORTS PER EVALUATOR'!$S$102,1))*1</f>
        <v>2</v>
      </c>
      <c r="W19" s="11" t="str">
        <f>LEFT('REPORTS PER EVALUATOR'!$S$114,1)</f>
        <v>B</v>
      </c>
      <c r="X19" s="82">
        <f>(RIGHT('REPORTS PER EVALUATOR'!$S$114,1))*1</f>
        <v>3</v>
      </c>
      <c r="Y19" s="11" t="str">
        <f>LEFT('REPORTS PER EVALUATOR'!$S$126,1)</f>
        <v>B</v>
      </c>
      <c r="Z19" s="93">
        <f>(RIGHT('REPORTS PER EVALUATOR'!$S$126,1))*1</f>
        <v>3</v>
      </c>
      <c r="AA19" s="11" t="e">
        <f>LEFT('REPORTS PER EVALUATOR'!#REF!,1)</f>
        <v>#REF!</v>
      </c>
      <c r="AB19" s="93" t="e">
        <f>(RIGHT('REPORTS PER EVALUATOR'!#REF!,1))*1</f>
        <v>#REF!</v>
      </c>
      <c r="AC19" s="11" t="e">
        <f>LEFT('REPORTS PER EVALUATOR'!#REF!,1)</f>
        <v>#REF!</v>
      </c>
      <c r="AD19" s="93" t="e">
        <f>(RIGHT('REPORTS PER EVALUATOR'!#REF!,1))*1</f>
        <v>#REF!</v>
      </c>
      <c r="AE19" s="11" t="e">
        <f>LEFT('REPORTS PER EVALUATOR'!#REF!,1)</f>
        <v>#REF!</v>
      </c>
      <c r="AF19" s="93" t="e">
        <f>(RIGHT('REPORTS PER EVALUATOR'!#REF!,1))*1</f>
        <v>#REF!</v>
      </c>
      <c r="AG19" s="11" t="e">
        <f>LEFT('REPORTS PER EVALUATOR'!#REF!,1)</f>
        <v>#REF!</v>
      </c>
      <c r="AH19" s="93" t="e">
        <f>(RIGHT('REPORTS PER EVALUATOR'!#REF!,1))*1</f>
        <v>#REF!</v>
      </c>
      <c r="AI19" s="11" t="e">
        <f>LEFT('REPORTS PER EVALUATOR'!#REF!,1)</f>
        <v>#REF!</v>
      </c>
      <c r="AJ19" s="93" t="e">
        <f>(RIGHT('REPORTS PER EVALUATOR'!#REF!,1))*1</f>
        <v>#REF!</v>
      </c>
      <c r="AK19" s="11" t="e">
        <f>LEFT('REPORTS PER EVALUATOR'!#REF!,1)</f>
        <v>#REF!</v>
      </c>
      <c r="AL19" s="93" t="e">
        <f>(RIGHT('REPORTS PER EVALUATOR'!#REF!,1))*1</f>
        <v>#REF!</v>
      </c>
      <c r="AM19" s="11" t="e">
        <f>LEFT('REPORTS PER EVALUATOR'!#REF!,1)</f>
        <v>#REF!</v>
      </c>
      <c r="AN19" s="93" t="e">
        <f>(RIGHT('REPORTS PER EVALUATOR'!#REF!,1))*1</f>
        <v>#REF!</v>
      </c>
      <c r="AO19" s="11" t="e">
        <f>LEFT('REPORTS PER EVALUATOR'!#REF!,1)</f>
        <v>#REF!</v>
      </c>
      <c r="AP19" s="93" t="e">
        <f>(RIGHT('REPORTS PER EVALUATOR'!#REF!,1))*1</f>
        <v>#REF!</v>
      </c>
      <c r="AQ19" s="11" t="e">
        <f>LEFT('REPORTS PER EVALUATOR'!#REF!,1)</f>
        <v>#REF!</v>
      </c>
      <c r="AR19" s="93" t="e">
        <f>(RIGHT('REPORTS PER EVALUATOR'!#REF!,1))*1</f>
        <v>#REF!</v>
      </c>
    </row>
    <row r="20" spans="1:44" x14ac:dyDescent="0.2">
      <c r="B20" s="19" t="str">
        <f t="shared" si="1"/>
        <v>B</v>
      </c>
      <c r="C20" s="18" t="str">
        <f t="shared" si="0"/>
        <v>M</v>
      </c>
      <c r="D20" s="18" t="s">
        <v>158</v>
      </c>
      <c r="E20" s="26" t="str">
        <f>LEFT('REPORTS PER EVALUATOR'!$T$6,1)</f>
        <v/>
      </c>
      <c r="F20" s="74" t="e">
        <f>(RIGHT('REPORTS PER EVALUATOR'!$T$6,1))*1</f>
        <v>#VALUE!</v>
      </c>
      <c r="G20" s="11" t="str">
        <f>LEFT('REPORTS PER EVALUATOR'!$T$18,1)</f>
        <v/>
      </c>
      <c r="H20" s="82" t="e">
        <f>(RIGHT('REPORTS PER EVALUATOR'!$T$18,1))*1</f>
        <v>#VALUE!</v>
      </c>
      <c r="I20" s="11" t="str">
        <f>LEFT('REPORTS PER EVALUATOR'!$T$30,1)</f>
        <v/>
      </c>
      <c r="J20" s="82" t="e">
        <f>(RIGHT('REPORTS PER EVALUATOR'!$T$30,1))*1</f>
        <v>#VALUE!</v>
      </c>
      <c r="K20" s="11" t="str">
        <f>LEFT('REPORTS PER EVALUATOR'!$T$42,1)</f>
        <v/>
      </c>
      <c r="L20" s="82" t="e">
        <f>(RIGHT('REPORTS PER EVALUATOR'!$T$42,1))*1</f>
        <v>#VALUE!</v>
      </c>
      <c r="M20" s="11" t="str">
        <f>LEFT('REPORTS PER EVALUATOR'!$T$54,1)</f>
        <v/>
      </c>
      <c r="N20" s="82" t="e">
        <f>(RIGHT('REPORTS PER EVALUATOR'!$T$54,1))*1</f>
        <v>#VALUE!</v>
      </c>
      <c r="O20" s="11" t="str">
        <f>LEFT('REPORTS PER EVALUATOR'!$T$66,1)</f>
        <v/>
      </c>
      <c r="P20" s="82" t="e">
        <f>(RIGHT('REPORTS PER EVALUATOR'!$T$66,1))*1</f>
        <v>#VALUE!</v>
      </c>
      <c r="Q20" s="11" t="str">
        <f>LEFT('REPORTS PER EVALUATOR'!$T$78,1)</f>
        <v/>
      </c>
      <c r="R20" s="82" t="e">
        <f>(RIGHT('REPORTS PER EVALUATOR'!$T$78,1))*1</f>
        <v>#VALUE!</v>
      </c>
      <c r="S20" s="11" t="str">
        <f>LEFT('REPORTS PER EVALUATOR'!$T$90,1)</f>
        <v/>
      </c>
      <c r="T20" s="82" t="e">
        <f>(RIGHT('REPORTS PER EVALUATOR'!$T$90,1))*1</f>
        <v>#VALUE!</v>
      </c>
      <c r="U20" s="11" t="str">
        <f>LEFT('REPORTS PER EVALUATOR'!$T$102,1)</f>
        <v/>
      </c>
      <c r="V20" s="82" t="e">
        <f>(RIGHT('REPORTS PER EVALUATOR'!$T$102,1))*1</f>
        <v>#VALUE!</v>
      </c>
      <c r="W20" s="11" t="str">
        <f>LEFT('REPORTS PER EVALUATOR'!$T$114,1)</f>
        <v/>
      </c>
      <c r="X20" s="82" t="e">
        <f>(RIGHT('REPORTS PER EVALUATOR'!$T$114,1))*1</f>
        <v>#VALUE!</v>
      </c>
      <c r="Y20" s="11" t="str">
        <f>LEFT('REPORTS PER EVALUATOR'!$T$126,1)</f>
        <v/>
      </c>
      <c r="Z20" s="93" t="e">
        <f>(RIGHT('REPORTS PER EVALUATOR'!$T$126,1))*1</f>
        <v>#VALUE!</v>
      </c>
      <c r="AA20" s="11" t="e">
        <f>LEFT('REPORTS PER EVALUATOR'!#REF!,1)</f>
        <v>#REF!</v>
      </c>
      <c r="AB20" s="93" t="e">
        <f>(RIGHT('REPORTS PER EVALUATOR'!#REF!,1))*1</f>
        <v>#REF!</v>
      </c>
      <c r="AC20" s="11" t="e">
        <f>LEFT('REPORTS PER EVALUATOR'!#REF!,1)</f>
        <v>#REF!</v>
      </c>
      <c r="AD20" s="93" t="e">
        <f>(RIGHT('REPORTS PER EVALUATOR'!#REF!,1))*1</f>
        <v>#REF!</v>
      </c>
      <c r="AE20" s="11" t="e">
        <f>LEFT('REPORTS PER EVALUATOR'!#REF!,1)</f>
        <v>#REF!</v>
      </c>
      <c r="AF20" s="93" t="e">
        <f>(RIGHT('REPORTS PER EVALUATOR'!#REF!,1))*1</f>
        <v>#REF!</v>
      </c>
      <c r="AG20" s="11" t="e">
        <f>LEFT('REPORTS PER EVALUATOR'!#REF!,1)</f>
        <v>#REF!</v>
      </c>
      <c r="AH20" s="93" t="e">
        <f>(RIGHT('REPORTS PER EVALUATOR'!#REF!,1))*1</f>
        <v>#REF!</v>
      </c>
      <c r="AI20" s="11" t="e">
        <f>LEFT('REPORTS PER EVALUATOR'!#REF!,1)</f>
        <v>#REF!</v>
      </c>
      <c r="AJ20" s="93" t="e">
        <f>(RIGHT('REPORTS PER EVALUATOR'!#REF!,1))*1</f>
        <v>#REF!</v>
      </c>
      <c r="AK20" s="11" t="e">
        <f>LEFT('REPORTS PER EVALUATOR'!#REF!,1)</f>
        <v>#REF!</v>
      </c>
      <c r="AL20" s="93" t="e">
        <f>(RIGHT('REPORTS PER EVALUATOR'!#REF!,1))*1</f>
        <v>#REF!</v>
      </c>
      <c r="AM20" s="11" t="e">
        <f>LEFT('REPORTS PER EVALUATOR'!#REF!,1)</f>
        <v>#REF!</v>
      </c>
      <c r="AN20" s="93" t="e">
        <f>(RIGHT('REPORTS PER EVALUATOR'!#REF!,1))*1</f>
        <v>#REF!</v>
      </c>
      <c r="AO20" s="11" t="e">
        <f>LEFT('REPORTS PER EVALUATOR'!#REF!,1)</f>
        <v>#REF!</v>
      </c>
      <c r="AP20" s="93" t="e">
        <f>(RIGHT('REPORTS PER EVALUATOR'!#REF!,1))*1</f>
        <v>#REF!</v>
      </c>
      <c r="AQ20" s="11" t="e">
        <f>LEFT('REPORTS PER EVALUATOR'!#REF!,1)</f>
        <v>#REF!</v>
      </c>
      <c r="AR20" s="93" t="e">
        <f>(RIGHT('REPORTS PER EVALUATOR'!#REF!,1))*1</f>
        <v>#REF!</v>
      </c>
    </row>
    <row r="21" spans="1:44" x14ac:dyDescent="0.2">
      <c r="B21" s="19" t="str">
        <f t="shared" si="1"/>
        <v>C</v>
      </c>
      <c r="C21" s="18" t="str">
        <f t="shared" si="0"/>
        <v>D</v>
      </c>
      <c r="D21" s="18" t="s">
        <v>28</v>
      </c>
      <c r="E21" s="57" t="str">
        <f>LEFT('REPORTS PER EVALUATOR'!$M$7,1)</f>
        <v>D</v>
      </c>
      <c r="F21" s="73">
        <f>(RIGHT('REPORTS PER EVALUATOR'!$M$7,1))*1</f>
        <v>4</v>
      </c>
      <c r="G21" s="58" t="str">
        <f>LEFT('REPORTS PER EVALUATOR'!$M$19,1)</f>
        <v>D</v>
      </c>
      <c r="H21" s="81">
        <f>(RIGHT('REPORTS PER EVALUATOR'!$M$19,1))*1</f>
        <v>4</v>
      </c>
      <c r="I21" s="58" t="str">
        <f>LEFT('REPORTS PER EVALUATOR'!$M$31,1)</f>
        <v>D</v>
      </c>
      <c r="J21" s="81">
        <f>(RIGHT('REPORTS PER EVALUATOR'!$M$31,1))*1</f>
        <v>5</v>
      </c>
      <c r="K21" s="58" t="str">
        <f>LEFT('REPORTS PER EVALUATOR'!$M$43,1)</f>
        <v>D</v>
      </c>
      <c r="L21" s="81">
        <f>(RIGHT('REPORTS PER EVALUATOR'!$M$43,1))*1</f>
        <v>3</v>
      </c>
      <c r="M21" s="58" t="str">
        <f>LEFT('REPORTS PER EVALUATOR'!$M$55,1)</f>
        <v>D</v>
      </c>
      <c r="N21" s="81">
        <f>(RIGHT('REPORTS PER EVALUATOR'!$M$55,1))*1</f>
        <v>5</v>
      </c>
      <c r="O21" s="58" t="str">
        <f>LEFT('REPORTS PER EVALUATOR'!$M$67,1)</f>
        <v>D</v>
      </c>
      <c r="P21" s="81">
        <f>(RIGHT('REPORTS PER EVALUATOR'!$M$67,1))*1</f>
        <v>3</v>
      </c>
      <c r="Q21" s="58" t="str">
        <f>LEFT('REPORTS PER EVALUATOR'!$M$79,1)</f>
        <v>D</v>
      </c>
      <c r="R21" s="81">
        <f>(RIGHT('REPORTS PER EVALUATOR'!$M$79,1))*1</f>
        <v>3</v>
      </c>
      <c r="S21" s="58" t="str">
        <f>LEFT('REPORTS PER EVALUATOR'!$M$91,1)</f>
        <v>D</v>
      </c>
      <c r="T21" s="81">
        <f>(RIGHT('REPORTS PER EVALUATOR'!$M$91,1))*1</f>
        <v>3</v>
      </c>
      <c r="U21" s="58" t="str">
        <f>LEFT('REPORTS PER EVALUATOR'!$M$103,1)</f>
        <v>D</v>
      </c>
      <c r="V21" s="81">
        <f>(RIGHT('REPORTS PER EVALUATOR'!$M$103,1))*1</f>
        <v>2</v>
      </c>
      <c r="W21" s="58" t="str">
        <f>LEFT('REPORTS PER EVALUATOR'!$M$115,1)</f>
        <v>D</v>
      </c>
      <c r="X21" s="81">
        <f>(RIGHT('REPORTS PER EVALUATOR'!$M$115,1))*1</f>
        <v>3</v>
      </c>
      <c r="Y21" s="58" t="str">
        <f>LEFT('REPORTS PER EVALUATOR'!$M$127,1)</f>
        <v>D</v>
      </c>
      <c r="Z21" s="94">
        <f>(RIGHT('REPORTS PER EVALUATOR'!$M$127,1))*1</f>
        <v>2</v>
      </c>
      <c r="AA21" s="58" t="e">
        <f>LEFT('REPORTS PER EVALUATOR'!#REF!,1)</f>
        <v>#REF!</v>
      </c>
      <c r="AB21" s="94" t="e">
        <f>(RIGHT('REPORTS PER EVALUATOR'!#REF!,1))*1</f>
        <v>#REF!</v>
      </c>
      <c r="AC21" s="58" t="e">
        <f>LEFT('REPORTS PER EVALUATOR'!#REF!,1)</f>
        <v>#REF!</v>
      </c>
      <c r="AD21" s="94" t="e">
        <f>(RIGHT('REPORTS PER EVALUATOR'!#REF!,1))*1</f>
        <v>#REF!</v>
      </c>
      <c r="AE21" s="58" t="e">
        <f>LEFT('REPORTS PER EVALUATOR'!#REF!,1)</f>
        <v>#REF!</v>
      </c>
      <c r="AF21" s="94" t="e">
        <f>(RIGHT('REPORTS PER EVALUATOR'!#REF!,1))*1</f>
        <v>#REF!</v>
      </c>
      <c r="AG21" s="58" t="e">
        <f>LEFT('REPORTS PER EVALUATOR'!#REF!,1)</f>
        <v>#REF!</v>
      </c>
      <c r="AH21" s="94" t="e">
        <f>(RIGHT('REPORTS PER EVALUATOR'!#REF!,1))*1</f>
        <v>#REF!</v>
      </c>
      <c r="AI21" s="58" t="e">
        <f>LEFT('REPORTS PER EVALUATOR'!#REF!,1)</f>
        <v>#REF!</v>
      </c>
      <c r="AJ21" s="94" t="e">
        <f>(RIGHT('REPORTS PER EVALUATOR'!#REF!,1))*1</f>
        <v>#REF!</v>
      </c>
      <c r="AK21" s="58" t="e">
        <f>LEFT('REPORTS PER EVALUATOR'!#REF!,1)</f>
        <v>#REF!</v>
      </c>
      <c r="AL21" s="94" t="e">
        <f>(RIGHT('REPORTS PER EVALUATOR'!#REF!,1))*1</f>
        <v>#REF!</v>
      </c>
      <c r="AM21" s="58" t="e">
        <f>LEFT('REPORTS PER EVALUATOR'!#REF!,1)</f>
        <v>#REF!</v>
      </c>
      <c r="AN21" s="94" t="e">
        <f>(RIGHT('REPORTS PER EVALUATOR'!#REF!,1))*1</f>
        <v>#REF!</v>
      </c>
      <c r="AO21" s="58" t="e">
        <f>LEFT('REPORTS PER EVALUATOR'!#REF!,1)</f>
        <v>#REF!</v>
      </c>
      <c r="AP21" s="94" t="e">
        <f>(RIGHT('REPORTS PER EVALUATOR'!#REF!,1))*1</f>
        <v>#REF!</v>
      </c>
      <c r="AQ21" s="58" t="e">
        <f>LEFT('REPORTS PER EVALUATOR'!#REF!,1)</f>
        <v>#REF!</v>
      </c>
      <c r="AR21" s="94" t="e">
        <f>(RIGHT('REPORTS PER EVALUATOR'!#REF!,1))*1</f>
        <v>#REF!</v>
      </c>
    </row>
    <row r="22" spans="1:44" x14ac:dyDescent="0.2">
      <c r="B22" s="19" t="str">
        <f t="shared" si="1"/>
        <v>C</v>
      </c>
      <c r="C22" s="18" t="str">
        <f t="shared" si="0"/>
        <v>E</v>
      </c>
      <c r="D22" s="18" t="s">
        <v>29</v>
      </c>
      <c r="E22" s="26" t="str">
        <f>LEFT('REPORTS PER EVALUATOR'!$N$7,1)</f>
        <v>E</v>
      </c>
      <c r="F22" s="74">
        <f>(RIGHT('REPORTS PER EVALUATOR'!$N$7,1))*1</f>
        <v>3</v>
      </c>
      <c r="G22" s="11" t="str">
        <f>LEFT('REPORTS PER EVALUATOR'!$N$19,1)</f>
        <v>E</v>
      </c>
      <c r="H22" s="82">
        <f>(RIGHT('REPORTS PER EVALUATOR'!$N$19,1))*1</f>
        <v>4</v>
      </c>
      <c r="I22" s="11" t="str">
        <f>LEFT('REPORTS PER EVALUATOR'!$N$31,1)</f>
        <v>E</v>
      </c>
      <c r="J22" s="82">
        <f>(RIGHT('REPORTS PER EVALUATOR'!$N$31,1))*1</f>
        <v>3</v>
      </c>
      <c r="K22" s="11" t="str">
        <f>LEFT('REPORTS PER EVALUATOR'!$N$43,1)</f>
        <v>E</v>
      </c>
      <c r="L22" s="82">
        <f>(RIGHT('REPORTS PER EVALUATOR'!$N$43,1))*1</f>
        <v>2</v>
      </c>
      <c r="M22" s="11" t="str">
        <f>LEFT('REPORTS PER EVALUATOR'!$N$55,1)</f>
        <v>E</v>
      </c>
      <c r="N22" s="82">
        <f>(RIGHT('REPORTS PER EVALUATOR'!$N$55,1))*1</f>
        <v>3</v>
      </c>
      <c r="O22" s="11" t="str">
        <f>LEFT('REPORTS PER EVALUATOR'!$N$67,1)</f>
        <v>E</v>
      </c>
      <c r="P22" s="82">
        <f>(RIGHT('REPORTS PER EVALUATOR'!$N$67,1))*1</f>
        <v>3</v>
      </c>
      <c r="Q22" s="11" t="str">
        <f>LEFT('REPORTS PER EVALUATOR'!$N$79,1)</f>
        <v>E</v>
      </c>
      <c r="R22" s="82">
        <f>(RIGHT('REPORTS PER EVALUATOR'!$N$79,1))*1</f>
        <v>4</v>
      </c>
      <c r="S22" s="11" t="str">
        <f>LEFT('REPORTS PER EVALUATOR'!$N$91,1)</f>
        <v>E</v>
      </c>
      <c r="T22" s="82">
        <f>(RIGHT('REPORTS PER EVALUATOR'!$N$91,1))*1</f>
        <v>2</v>
      </c>
      <c r="U22" s="11" t="str">
        <f>LEFT('REPORTS PER EVALUATOR'!$N$103,1)</f>
        <v>1</v>
      </c>
      <c r="V22" s="82">
        <f>(RIGHT('REPORTS PER EVALUATOR'!$N$103,1))*1</f>
        <v>1</v>
      </c>
      <c r="W22" s="11" t="str">
        <f>LEFT('REPORTS PER EVALUATOR'!$N$115,1)</f>
        <v>E</v>
      </c>
      <c r="X22" s="82">
        <f>(RIGHT('REPORTS PER EVALUATOR'!$N$115,1))*1</f>
        <v>2</v>
      </c>
      <c r="Y22" s="11" t="str">
        <f>LEFT('REPORTS PER EVALUATOR'!$N$127,1)</f>
        <v>E</v>
      </c>
      <c r="Z22" s="93">
        <f>(RIGHT('REPORTS PER EVALUATOR'!$N$127,1))*1</f>
        <v>2</v>
      </c>
      <c r="AA22" s="11" t="e">
        <f>LEFT('REPORTS PER EVALUATOR'!#REF!,1)</f>
        <v>#REF!</v>
      </c>
      <c r="AB22" s="93" t="e">
        <f>(RIGHT('REPORTS PER EVALUATOR'!#REF!,1))*1</f>
        <v>#REF!</v>
      </c>
      <c r="AC22" s="11" t="e">
        <f>LEFT('REPORTS PER EVALUATOR'!#REF!,1)</f>
        <v>#REF!</v>
      </c>
      <c r="AD22" s="93" t="e">
        <f>(RIGHT('REPORTS PER EVALUATOR'!#REF!,1))*1</f>
        <v>#REF!</v>
      </c>
      <c r="AE22" s="11" t="e">
        <f>LEFT('REPORTS PER EVALUATOR'!#REF!,1)</f>
        <v>#REF!</v>
      </c>
      <c r="AF22" s="93" t="e">
        <f>(RIGHT('REPORTS PER EVALUATOR'!#REF!,1))*1</f>
        <v>#REF!</v>
      </c>
      <c r="AG22" s="11" t="e">
        <f>LEFT('REPORTS PER EVALUATOR'!#REF!,1)</f>
        <v>#REF!</v>
      </c>
      <c r="AH22" s="93" t="e">
        <f>(RIGHT('REPORTS PER EVALUATOR'!#REF!,1))*1</f>
        <v>#REF!</v>
      </c>
      <c r="AI22" s="11" t="e">
        <f>LEFT('REPORTS PER EVALUATOR'!#REF!,1)</f>
        <v>#REF!</v>
      </c>
      <c r="AJ22" s="93" t="e">
        <f>(RIGHT('REPORTS PER EVALUATOR'!#REF!,1))*1</f>
        <v>#REF!</v>
      </c>
      <c r="AK22" s="11" t="e">
        <f>LEFT('REPORTS PER EVALUATOR'!#REF!,1)</f>
        <v>#REF!</v>
      </c>
      <c r="AL22" s="93" t="e">
        <f>(RIGHT('REPORTS PER EVALUATOR'!#REF!,1))*1</f>
        <v>#REF!</v>
      </c>
      <c r="AM22" s="11" t="e">
        <f>LEFT('REPORTS PER EVALUATOR'!#REF!,1)</f>
        <v>#REF!</v>
      </c>
      <c r="AN22" s="93" t="e">
        <f>(RIGHT('REPORTS PER EVALUATOR'!#REF!,1))*1</f>
        <v>#REF!</v>
      </c>
      <c r="AO22" s="11" t="e">
        <f>LEFT('REPORTS PER EVALUATOR'!#REF!,1)</f>
        <v>#REF!</v>
      </c>
      <c r="AP22" s="93" t="e">
        <f>(RIGHT('REPORTS PER EVALUATOR'!#REF!,1))*1</f>
        <v>#REF!</v>
      </c>
      <c r="AQ22" s="11" t="e">
        <f>LEFT('REPORTS PER EVALUATOR'!#REF!,1)</f>
        <v>#REF!</v>
      </c>
      <c r="AR22" s="93" t="e">
        <f>(RIGHT('REPORTS PER EVALUATOR'!#REF!,1))*1</f>
        <v>#REF!</v>
      </c>
    </row>
    <row r="23" spans="1:44" x14ac:dyDescent="0.2">
      <c r="B23" s="19" t="str">
        <f t="shared" si="1"/>
        <v>C</v>
      </c>
      <c r="C23" s="18" t="str">
        <f t="shared" si="0"/>
        <v>F</v>
      </c>
      <c r="D23" s="18" t="s">
        <v>30</v>
      </c>
      <c r="E23" s="26" t="str">
        <f>LEFT('REPORTS PER EVALUATOR'!$O$7,1)</f>
        <v>F</v>
      </c>
      <c r="F23" s="74">
        <f>(RIGHT('REPORTS PER EVALUATOR'!$O$7,1))*1</f>
        <v>3</v>
      </c>
      <c r="G23" s="11" t="str">
        <f>LEFT('REPORTS PER EVALUATOR'!$O$19,1)</f>
        <v>F</v>
      </c>
      <c r="H23" s="82">
        <f>(RIGHT('REPORTS PER EVALUATOR'!$O$19,1))*1</f>
        <v>4</v>
      </c>
      <c r="I23" s="11" t="str">
        <f>LEFT('REPORTS PER EVALUATOR'!$O$31,1)</f>
        <v>F</v>
      </c>
      <c r="J23" s="82">
        <f>(RIGHT('REPORTS PER EVALUATOR'!$O$31,1))*1</f>
        <v>3</v>
      </c>
      <c r="K23" s="11" t="str">
        <f>LEFT('REPORTS PER EVALUATOR'!$O$43,1)</f>
        <v>F</v>
      </c>
      <c r="L23" s="82">
        <f>(RIGHT('REPORTS PER EVALUATOR'!$O$43,1))*1</f>
        <v>4</v>
      </c>
      <c r="M23" s="11" t="str">
        <f>LEFT('REPORTS PER EVALUATOR'!$O$55,1)</f>
        <v>F</v>
      </c>
      <c r="N23" s="82">
        <f>(RIGHT('REPORTS PER EVALUATOR'!$O$55,1))*1</f>
        <v>3</v>
      </c>
      <c r="O23" s="11" t="str">
        <f>LEFT('REPORTS PER EVALUATOR'!$O$67,1)</f>
        <v>F</v>
      </c>
      <c r="P23" s="82">
        <f>(RIGHT('REPORTS PER EVALUATOR'!$O$67,1))*1</f>
        <v>3</v>
      </c>
      <c r="Q23" s="11" t="str">
        <f>LEFT('REPORTS PER EVALUATOR'!$O$79,1)</f>
        <v>F</v>
      </c>
      <c r="R23" s="82">
        <f>(RIGHT('REPORTS PER EVALUATOR'!$O$79,1))*1</f>
        <v>2</v>
      </c>
      <c r="S23" s="11" t="str">
        <f>LEFT('REPORTS PER EVALUATOR'!$O$91,1)</f>
        <v>1</v>
      </c>
      <c r="T23" s="82">
        <f>(RIGHT('REPORTS PER EVALUATOR'!$O$91,1))*1</f>
        <v>1</v>
      </c>
      <c r="U23" s="11" t="str">
        <f>LEFT('REPORTS PER EVALUATOR'!$O$103,1)</f>
        <v>F</v>
      </c>
      <c r="V23" s="82">
        <f>(RIGHT('REPORTS PER EVALUATOR'!$O$103,1))*1</f>
        <v>2</v>
      </c>
      <c r="W23" s="11" t="str">
        <f>LEFT('REPORTS PER EVALUATOR'!$O$115,1)</f>
        <v>F</v>
      </c>
      <c r="X23" s="82">
        <f>(RIGHT('REPORTS PER EVALUATOR'!$O$115,1))*1</f>
        <v>3</v>
      </c>
      <c r="Y23" s="11" t="str">
        <f>LEFT('REPORTS PER EVALUATOR'!$O$127,1)</f>
        <v>F</v>
      </c>
      <c r="Z23" s="93">
        <f>(RIGHT('REPORTS PER EVALUATOR'!$O$127,1))*1</f>
        <v>3</v>
      </c>
      <c r="AA23" s="11" t="e">
        <f>LEFT('REPORTS PER EVALUATOR'!#REF!,1)</f>
        <v>#REF!</v>
      </c>
      <c r="AB23" s="93" t="e">
        <f>(RIGHT('REPORTS PER EVALUATOR'!#REF!,1))*1</f>
        <v>#REF!</v>
      </c>
      <c r="AC23" s="11" t="e">
        <f>LEFT('REPORTS PER EVALUATOR'!#REF!,1)</f>
        <v>#REF!</v>
      </c>
      <c r="AD23" s="93" t="e">
        <f>(RIGHT('REPORTS PER EVALUATOR'!#REF!,1))*1</f>
        <v>#REF!</v>
      </c>
      <c r="AE23" s="11" t="e">
        <f>LEFT('REPORTS PER EVALUATOR'!#REF!,1)</f>
        <v>#REF!</v>
      </c>
      <c r="AF23" s="93" t="e">
        <f>(RIGHT('REPORTS PER EVALUATOR'!#REF!,1))*1</f>
        <v>#REF!</v>
      </c>
      <c r="AG23" s="11" t="e">
        <f>LEFT('REPORTS PER EVALUATOR'!#REF!,1)</f>
        <v>#REF!</v>
      </c>
      <c r="AH23" s="93" t="e">
        <f>(RIGHT('REPORTS PER EVALUATOR'!#REF!,1))*1</f>
        <v>#REF!</v>
      </c>
      <c r="AI23" s="11" t="e">
        <f>LEFT('REPORTS PER EVALUATOR'!#REF!,1)</f>
        <v>#REF!</v>
      </c>
      <c r="AJ23" s="93" t="e">
        <f>(RIGHT('REPORTS PER EVALUATOR'!#REF!,1))*1</f>
        <v>#REF!</v>
      </c>
      <c r="AK23" s="11" t="e">
        <f>LEFT('REPORTS PER EVALUATOR'!#REF!,1)</f>
        <v>#REF!</v>
      </c>
      <c r="AL23" s="93" t="e">
        <f>(RIGHT('REPORTS PER EVALUATOR'!#REF!,1))*1</f>
        <v>#REF!</v>
      </c>
      <c r="AM23" s="11" t="e">
        <f>LEFT('REPORTS PER EVALUATOR'!#REF!,1)</f>
        <v>#REF!</v>
      </c>
      <c r="AN23" s="93" t="e">
        <f>(RIGHT('REPORTS PER EVALUATOR'!#REF!,1))*1</f>
        <v>#REF!</v>
      </c>
      <c r="AO23" s="11" t="e">
        <f>LEFT('REPORTS PER EVALUATOR'!#REF!,1)</f>
        <v>#REF!</v>
      </c>
      <c r="AP23" s="93" t="e">
        <f>(RIGHT('REPORTS PER EVALUATOR'!#REF!,1))*1</f>
        <v>#REF!</v>
      </c>
      <c r="AQ23" s="11" t="e">
        <f>LEFT('REPORTS PER EVALUATOR'!#REF!,1)</f>
        <v>#REF!</v>
      </c>
      <c r="AR23" s="93" t="e">
        <f>(RIGHT('REPORTS PER EVALUATOR'!#REF!,1))*1</f>
        <v>#REF!</v>
      </c>
    </row>
    <row r="24" spans="1:44" x14ac:dyDescent="0.2">
      <c r="B24" s="19" t="str">
        <f t="shared" si="1"/>
        <v>C</v>
      </c>
      <c r="C24" s="18" t="str">
        <f t="shared" si="0"/>
        <v>G</v>
      </c>
      <c r="D24" s="18" t="s">
        <v>31</v>
      </c>
      <c r="E24" s="26" t="str">
        <f>LEFT('REPORTS PER EVALUATOR'!$P$7,1)</f>
        <v>G</v>
      </c>
      <c r="F24" s="74">
        <f>(RIGHT('REPORTS PER EVALUATOR'!$P$7,1))*1</f>
        <v>2</v>
      </c>
      <c r="G24" s="11" t="str">
        <f>LEFT('REPORTS PER EVALUATOR'!$P$19,1)</f>
        <v>G</v>
      </c>
      <c r="H24" s="82">
        <f>(RIGHT('REPORTS PER EVALUATOR'!$P$19,1))*1</f>
        <v>4</v>
      </c>
      <c r="I24" s="11" t="str">
        <f>LEFT('REPORTS PER EVALUATOR'!$P$31,1)</f>
        <v>G</v>
      </c>
      <c r="J24" s="82">
        <f>(RIGHT('REPORTS PER EVALUATOR'!$P$31,1))*1</f>
        <v>2</v>
      </c>
      <c r="K24" s="11" t="str">
        <f>LEFT('REPORTS PER EVALUATOR'!$P$43,1)</f>
        <v>G</v>
      </c>
      <c r="L24" s="82">
        <f>(RIGHT('REPORTS PER EVALUATOR'!$P$43,1))*1</f>
        <v>3</v>
      </c>
      <c r="M24" s="11" t="str">
        <f>LEFT('REPORTS PER EVALUATOR'!$P$55,1)</f>
        <v>G</v>
      </c>
      <c r="N24" s="82">
        <f>(RIGHT('REPORTS PER EVALUATOR'!$P$55,1))*1</f>
        <v>2</v>
      </c>
      <c r="O24" s="11" t="str">
        <f>LEFT('REPORTS PER EVALUATOR'!$P$67,1)</f>
        <v>G</v>
      </c>
      <c r="P24" s="82">
        <f>(RIGHT('REPORTS PER EVALUATOR'!$P$67,1))*1</f>
        <v>2</v>
      </c>
      <c r="Q24" s="11" t="str">
        <f>LEFT('REPORTS PER EVALUATOR'!$P$79,1)</f>
        <v>G</v>
      </c>
      <c r="R24" s="82">
        <f>(RIGHT('REPORTS PER EVALUATOR'!$P$79,1))*1</f>
        <v>2</v>
      </c>
      <c r="S24" s="11" t="str">
        <f>LEFT('REPORTS PER EVALUATOR'!$P$91,1)</f>
        <v>C</v>
      </c>
      <c r="T24" s="82">
        <f>(RIGHT('REPORTS PER EVALUATOR'!$P$91,1))*1</f>
        <v>6</v>
      </c>
      <c r="U24" s="11" t="str">
        <f>LEFT('REPORTS PER EVALUATOR'!$P$103,1)</f>
        <v>C</v>
      </c>
      <c r="V24" s="82">
        <f>(RIGHT('REPORTS PER EVALUATOR'!$P$103,1))*1</f>
        <v>3</v>
      </c>
      <c r="W24" s="11" t="str">
        <f>LEFT('REPORTS PER EVALUATOR'!$P$115,1)</f>
        <v>G</v>
      </c>
      <c r="X24" s="82">
        <f>(RIGHT('REPORTS PER EVALUATOR'!$P$115,1))*1</f>
        <v>2</v>
      </c>
      <c r="Y24" s="11" t="str">
        <f>LEFT('REPORTS PER EVALUATOR'!$P$127,1)</f>
        <v>C</v>
      </c>
      <c r="Z24" s="93">
        <f>(RIGHT('REPORTS PER EVALUATOR'!$P$127,1))*1</f>
        <v>3</v>
      </c>
      <c r="AA24" s="11" t="e">
        <f>LEFT('REPORTS PER EVALUATOR'!#REF!,1)</f>
        <v>#REF!</v>
      </c>
      <c r="AB24" s="93" t="e">
        <f>(RIGHT('REPORTS PER EVALUATOR'!#REF!,1))*1</f>
        <v>#REF!</v>
      </c>
      <c r="AC24" s="11" t="e">
        <f>LEFT('REPORTS PER EVALUATOR'!#REF!,1)</f>
        <v>#REF!</v>
      </c>
      <c r="AD24" s="93" t="e">
        <f>(RIGHT('REPORTS PER EVALUATOR'!#REF!,1))*1</f>
        <v>#REF!</v>
      </c>
      <c r="AE24" s="11" t="e">
        <f>LEFT('REPORTS PER EVALUATOR'!#REF!,1)</f>
        <v>#REF!</v>
      </c>
      <c r="AF24" s="93" t="e">
        <f>(RIGHT('REPORTS PER EVALUATOR'!#REF!,1))*1</f>
        <v>#REF!</v>
      </c>
      <c r="AG24" s="11" t="e">
        <f>LEFT('REPORTS PER EVALUATOR'!#REF!,1)</f>
        <v>#REF!</v>
      </c>
      <c r="AH24" s="93" t="e">
        <f>(RIGHT('REPORTS PER EVALUATOR'!#REF!,1))*1</f>
        <v>#REF!</v>
      </c>
      <c r="AI24" s="11" t="e">
        <f>LEFT('REPORTS PER EVALUATOR'!#REF!,1)</f>
        <v>#REF!</v>
      </c>
      <c r="AJ24" s="93" t="e">
        <f>(RIGHT('REPORTS PER EVALUATOR'!#REF!,1))*1</f>
        <v>#REF!</v>
      </c>
      <c r="AK24" s="11" t="e">
        <f>LEFT('REPORTS PER EVALUATOR'!#REF!,1)</f>
        <v>#REF!</v>
      </c>
      <c r="AL24" s="93" t="e">
        <f>(RIGHT('REPORTS PER EVALUATOR'!#REF!,1))*1</f>
        <v>#REF!</v>
      </c>
      <c r="AM24" s="11" t="e">
        <f>LEFT('REPORTS PER EVALUATOR'!#REF!,1)</f>
        <v>#REF!</v>
      </c>
      <c r="AN24" s="93" t="e">
        <f>(RIGHT('REPORTS PER EVALUATOR'!#REF!,1))*1</f>
        <v>#REF!</v>
      </c>
      <c r="AO24" s="11" t="e">
        <f>LEFT('REPORTS PER EVALUATOR'!#REF!,1)</f>
        <v>#REF!</v>
      </c>
      <c r="AP24" s="93" t="e">
        <f>(RIGHT('REPORTS PER EVALUATOR'!#REF!,1))*1</f>
        <v>#REF!</v>
      </c>
      <c r="AQ24" s="11" t="e">
        <f>LEFT('REPORTS PER EVALUATOR'!#REF!,1)</f>
        <v>#REF!</v>
      </c>
      <c r="AR24" s="93" t="e">
        <f>(RIGHT('REPORTS PER EVALUATOR'!#REF!,1))*1</f>
        <v>#REF!</v>
      </c>
    </row>
    <row r="25" spans="1:44" x14ac:dyDescent="0.2">
      <c r="B25" s="19" t="str">
        <f t="shared" si="1"/>
        <v>C</v>
      </c>
      <c r="C25" s="18" t="str">
        <f t="shared" si="0"/>
        <v>H</v>
      </c>
      <c r="D25" s="18" t="s">
        <v>32</v>
      </c>
      <c r="E25" s="26" t="str">
        <f>LEFT('REPORTS PER EVALUATOR'!$Q$7,1)</f>
        <v>H</v>
      </c>
      <c r="F25" s="74">
        <f>(RIGHT('REPORTS PER EVALUATOR'!$Q$7,1))*1</f>
        <v>4</v>
      </c>
      <c r="G25" s="11" t="str">
        <f>LEFT('REPORTS PER EVALUATOR'!$Q$19,1)</f>
        <v>H</v>
      </c>
      <c r="H25" s="82">
        <f>(RIGHT('REPORTS PER EVALUATOR'!$Q$19,1))*1</f>
        <v>4</v>
      </c>
      <c r="I25" s="11" t="str">
        <f>LEFT('REPORTS PER EVALUATOR'!$Q$31,1)</f>
        <v>H</v>
      </c>
      <c r="J25" s="82">
        <f>(RIGHT('REPORTS PER EVALUATOR'!$Q$31,1))*1</f>
        <v>2</v>
      </c>
      <c r="K25" s="11" t="str">
        <f>LEFT('REPORTS PER EVALUATOR'!$Q$43,1)</f>
        <v>C</v>
      </c>
      <c r="L25" s="82">
        <f>(RIGHT('REPORTS PER EVALUATOR'!$Q$43,1))*1</f>
        <v>2</v>
      </c>
      <c r="M25" s="11" t="str">
        <f>LEFT('REPORTS PER EVALUATOR'!$Q$55,1)</f>
        <v>H</v>
      </c>
      <c r="N25" s="82">
        <f>(RIGHT('REPORTS PER EVALUATOR'!$Q$55,1))*1</f>
        <v>3</v>
      </c>
      <c r="O25" s="11" t="str">
        <f>LEFT('REPORTS PER EVALUATOR'!$Q$67,1)</f>
        <v>H</v>
      </c>
      <c r="P25" s="82">
        <f>(RIGHT('REPORTS PER EVALUATOR'!$Q$67,1))*1</f>
        <v>4</v>
      </c>
      <c r="Q25" s="11" t="str">
        <f>LEFT('REPORTS PER EVALUATOR'!$Q$79,1)</f>
        <v>1</v>
      </c>
      <c r="R25" s="82">
        <f>(RIGHT('REPORTS PER EVALUATOR'!$Q$79,1))*1</f>
        <v>1</v>
      </c>
      <c r="S25" s="11" t="str">
        <f>LEFT('REPORTS PER EVALUATOR'!$Q$91,1)</f>
        <v>1</v>
      </c>
      <c r="T25" s="82">
        <f>(RIGHT('REPORTS PER EVALUATOR'!$Q$91,1))*1</f>
        <v>1</v>
      </c>
      <c r="U25" s="11" t="str">
        <f>LEFT('REPORTS PER EVALUATOR'!$Q$103,1)</f>
        <v>H</v>
      </c>
      <c r="V25" s="82">
        <f>(RIGHT('REPORTS PER EVALUATOR'!$Q$103,1))*1</f>
        <v>2</v>
      </c>
      <c r="W25" s="11" t="str">
        <f>LEFT('REPORTS PER EVALUATOR'!$Q$115,1)</f>
        <v>H</v>
      </c>
      <c r="X25" s="82">
        <f>(RIGHT('REPORTS PER EVALUATOR'!$Q$115,1))*1</f>
        <v>3</v>
      </c>
      <c r="Y25" s="11" t="str">
        <f>LEFT('REPORTS PER EVALUATOR'!$Q$127,1)</f>
        <v>1</v>
      </c>
      <c r="Z25" s="93">
        <f>(RIGHT('REPORTS PER EVALUATOR'!$Q$127,1))*1</f>
        <v>1</v>
      </c>
      <c r="AA25" s="11" t="e">
        <f>LEFT('REPORTS PER EVALUATOR'!#REF!,1)</f>
        <v>#REF!</v>
      </c>
      <c r="AB25" s="93" t="e">
        <f>(RIGHT('REPORTS PER EVALUATOR'!#REF!,1))*1</f>
        <v>#REF!</v>
      </c>
      <c r="AC25" s="11" t="e">
        <f>LEFT('REPORTS PER EVALUATOR'!#REF!,1)</f>
        <v>#REF!</v>
      </c>
      <c r="AD25" s="93" t="e">
        <f>(RIGHT('REPORTS PER EVALUATOR'!#REF!,1))*1</f>
        <v>#REF!</v>
      </c>
      <c r="AE25" s="11" t="e">
        <f>LEFT('REPORTS PER EVALUATOR'!#REF!,1)</f>
        <v>#REF!</v>
      </c>
      <c r="AF25" s="93" t="e">
        <f>(RIGHT('REPORTS PER EVALUATOR'!#REF!,1))*1</f>
        <v>#REF!</v>
      </c>
      <c r="AG25" s="11" t="e">
        <f>LEFT('REPORTS PER EVALUATOR'!#REF!,1)</f>
        <v>#REF!</v>
      </c>
      <c r="AH25" s="93" t="e">
        <f>(RIGHT('REPORTS PER EVALUATOR'!#REF!,1))*1</f>
        <v>#REF!</v>
      </c>
      <c r="AI25" s="11" t="e">
        <f>LEFT('REPORTS PER EVALUATOR'!#REF!,1)</f>
        <v>#REF!</v>
      </c>
      <c r="AJ25" s="93" t="e">
        <f>(RIGHT('REPORTS PER EVALUATOR'!#REF!,1))*1</f>
        <v>#REF!</v>
      </c>
      <c r="AK25" s="11" t="e">
        <f>LEFT('REPORTS PER EVALUATOR'!#REF!,1)</f>
        <v>#REF!</v>
      </c>
      <c r="AL25" s="93" t="e">
        <f>(RIGHT('REPORTS PER EVALUATOR'!#REF!,1))*1</f>
        <v>#REF!</v>
      </c>
      <c r="AM25" s="11" t="e">
        <f>LEFT('REPORTS PER EVALUATOR'!#REF!,1)</f>
        <v>#REF!</v>
      </c>
      <c r="AN25" s="93" t="e">
        <f>(RIGHT('REPORTS PER EVALUATOR'!#REF!,1))*1</f>
        <v>#REF!</v>
      </c>
      <c r="AO25" s="11" t="e">
        <f>LEFT('REPORTS PER EVALUATOR'!#REF!,1)</f>
        <v>#REF!</v>
      </c>
      <c r="AP25" s="93" t="e">
        <f>(RIGHT('REPORTS PER EVALUATOR'!#REF!,1))*1</f>
        <v>#REF!</v>
      </c>
      <c r="AQ25" s="11" t="e">
        <f>LEFT('REPORTS PER EVALUATOR'!#REF!,1)</f>
        <v>#REF!</v>
      </c>
      <c r="AR25" s="93" t="e">
        <f>(RIGHT('REPORTS PER EVALUATOR'!#REF!,1))*1</f>
        <v>#REF!</v>
      </c>
    </row>
    <row r="26" spans="1:44" x14ac:dyDescent="0.2">
      <c r="B26" s="19" t="str">
        <f t="shared" si="1"/>
        <v>C</v>
      </c>
      <c r="C26" s="18" t="str">
        <f t="shared" si="0"/>
        <v>I</v>
      </c>
      <c r="D26" s="18" t="s">
        <v>33</v>
      </c>
      <c r="E26" s="26" t="str">
        <f>LEFT('REPORTS PER EVALUATOR'!$R$7,1)</f>
        <v>I</v>
      </c>
      <c r="F26" s="74">
        <f>(RIGHT('REPORTS PER EVALUATOR'!$R$7,1))*1</f>
        <v>3</v>
      </c>
      <c r="G26" s="11" t="str">
        <f>LEFT('REPORTS PER EVALUATOR'!$R$19,1)</f>
        <v>I</v>
      </c>
      <c r="H26" s="82">
        <f>(RIGHT('REPORTS PER EVALUATOR'!$R$19,1))*1</f>
        <v>5</v>
      </c>
      <c r="I26" s="11" t="str">
        <f>LEFT('REPORTS PER EVALUATOR'!$R$31,1)</f>
        <v>I</v>
      </c>
      <c r="J26" s="82">
        <f>(RIGHT('REPORTS PER EVALUATOR'!$R$31,1))*1</f>
        <v>4</v>
      </c>
      <c r="K26" s="11" t="str">
        <f>LEFT('REPORTS PER EVALUATOR'!$R$43,1)</f>
        <v>1</v>
      </c>
      <c r="L26" s="82">
        <f>(RIGHT('REPORTS PER EVALUATOR'!$R$43,1))*1</f>
        <v>1</v>
      </c>
      <c r="M26" s="11" t="str">
        <f>LEFT('REPORTS PER EVALUATOR'!$R$55,1)</f>
        <v>I</v>
      </c>
      <c r="N26" s="82">
        <f>(RIGHT('REPORTS PER EVALUATOR'!$R$55,1))*1</f>
        <v>3</v>
      </c>
      <c r="O26" s="11" t="str">
        <f>LEFT('REPORTS PER EVALUATOR'!$R$67,1)</f>
        <v>I</v>
      </c>
      <c r="P26" s="82">
        <f>(RIGHT('REPORTS PER EVALUATOR'!$R$67,1))*1</f>
        <v>3</v>
      </c>
      <c r="Q26" s="11" t="str">
        <f>LEFT('REPORTS PER EVALUATOR'!$R$79,1)</f>
        <v>1</v>
      </c>
      <c r="R26" s="82">
        <f>(RIGHT('REPORTS PER EVALUATOR'!$R$79,1))*1</f>
        <v>1</v>
      </c>
      <c r="S26" s="11" t="str">
        <f>LEFT('REPORTS PER EVALUATOR'!$R$91,1)</f>
        <v>C</v>
      </c>
      <c r="T26" s="82">
        <f>(RIGHT('REPORTS PER EVALUATOR'!$R$91,1))*1</f>
        <v>2</v>
      </c>
      <c r="U26" s="11" t="str">
        <f>LEFT('REPORTS PER EVALUATOR'!$R$103,1)</f>
        <v>C</v>
      </c>
      <c r="V26" s="82">
        <f>(RIGHT('REPORTS PER EVALUATOR'!$R$103,1))*1</f>
        <v>4</v>
      </c>
      <c r="W26" s="11" t="str">
        <f>LEFT('REPORTS PER EVALUATOR'!$R$115,1)</f>
        <v>I</v>
      </c>
      <c r="X26" s="82">
        <f>(RIGHT('REPORTS PER EVALUATOR'!$R$115,1))*1</f>
        <v>2</v>
      </c>
      <c r="Y26" s="11" t="str">
        <f>LEFT('REPORTS PER EVALUATOR'!$R$127,1)</f>
        <v>1</v>
      </c>
      <c r="Z26" s="93">
        <f>(RIGHT('REPORTS PER EVALUATOR'!$R$127,1))*1</f>
        <v>1</v>
      </c>
      <c r="AA26" s="11" t="e">
        <f>LEFT('REPORTS PER EVALUATOR'!#REF!,1)</f>
        <v>#REF!</v>
      </c>
      <c r="AB26" s="93" t="e">
        <f>(RIGHT('REPORTS PER EVALUATOR'!#REF!,1))*1</f>
        <v>#REF!</v>
      </c>
      <c r="AC26" s="11" t="e">
        <f>LEFT('REPORTS PER EVALUATOR'!#REF!,1)</f>
        <v>#REF!</v>
      </c>
      <c r="AD26" s="93" t="e">
        <f>(RIGHT('REPORTS PER EVALUATOR'!#REF!,1))*1</f>
        <v>#REF!</v>
      </c>
      <c r="AE26" s="11" t="e">
        <f>LEFT('REPORTS PER EVALUATOR'!#REF!,1)</f>
        <v>#REF!</v>
      </c>
      <c r="AF26" s="93" t="e">
        <f>(RIGHT('REPORTS PER EVALUATOR'!#REF!,1))*1</f>
        <v>#REF!</v>
      </c>
      <c r="AG26" s="11" t="e">
        <f>LEFT('REPORTS PER EVALUATOR'!#REF!,1)</f>
        <v>#REF!</v>
      </c>
      <c r="AH26" s="93" t="e">
        <f>(RIGHT('REPORTS PER EVALUATOR'!#REF!,1))*1</f>
        <v>#REF!</v>
      </c>
      <c r="AI26" s="11" t="e">
        <f>LEFT('REPORTS PER EVALUATOR'!#REF!,1)</f>
        <v>#REF!</v>
      </c>
      <c r="AJ26" s="93" t="e">
        <f>(RIGHT('REPORTS PER EVALUATOR'!#REF!,1))*1</f>
        <v>#REF!</v>
      </c>
      <c r="AK26" s="11" t="e">
        <f>LEFT('REPORTS PER EVALUATOR'!#REF!,1)</f>
        <v>#REF!</v>
      </c>
      <c r="AL26" s="93" t="e">
        <f>(RIGHT('REPORTS PER EVALUATOR'!#REF!,1))*1</f>
        <v>#REF!</v>
      </c>
      <c r="AM26" s="11" t="e">
        <f>LEFT('REPORTS PER EVALUATOR'!#REF!,1)</f>
        <v>#REF!</v>
      </c>
      <c r="AN26" s="93" t="e">
        <f>(RIGHT('REPORTS PER EVALUATOR'!#REF!,1))*1</f>
        <v>#REF!</v>
      </c>
      <c r="AO26" s="11" t="e">
        <f>LEFT('REPORTS PER EVALUATOR'!#REF!,1)</f>
        <v>#REF!</v>
      </c>
      <c r="AP26" s="93" t="e">
        <f>(RIGHT('REPORTS PER EVALUATOR'!#REF!,1))*1</f>
        <v>#REF!</v>
      </c>
      <c r="AQ26" s="11" t="e">
        <f>LEFT('REPORTS PER EVALUATOR'!#REF!,1)</f>
        <v>#REF!</v>
      </c>
      <c r="AR26" s="93" t="e">
        <f>(RIGHT('REPORTS PER EVALUATOR'!#REF!,1))*1</f>
        <v>#REF!</v>
      </c>
    </row>
    <row r="27" spans="1:44" x14ac:dyDescent="0.2">
      <c r="B27" s="19" t="str">
        <f t="shared" si="1"/>
        <v>C</v>
      </c>
      <c r="C27" s="18" t="str">
        <f t="shared" si="0"/>
        <v>L</v>
      </c>
      <c r="D27" s="18" t="s">
        <v>34</v>
      </c>
      <c r="E27" s="26" t="str">
        <f>LEFT('REPORTS PER EVALUATOR'!$S$7,1)</f>
        <v>C</v>
      </c>
      <c r="F27" s="74">
        <f>(RIGHT('REPORTS PER EVALUATOR'!$S$7,1))*1</f>
        <v>2</v>
      </c>
      <c r="G27" s="11" t="str">
        <f>LEFT('REPORTS PER EVALUATOR'!$S$19,1)</f>
        <v>L</v>
      </c>
      <c r="H27" s="82">
        <f>(RIGHT('REPORTS PER EVALUATOR'!$S$19,1))*1</f>
        <v>4</v>
      </c>
      <c r="I27" s="11" t="str">
        <f>LEFT('REPORTS PER EVALUATOR'!$S$31,1)</f>
        <v>1</v>
      </c>
      <c r="J27" s="82">
        <f>(RIGHT('REPORTS PER EVALUATOR'!$S$31,1))*1</f>
        <v>1</v>
      </c>
      <c r="K27" s="11" t="str">
        <f>LEFT('REPORTS PER EVALUATOR'!$S$43,1)</f>
        <v>L</v>
      </c>
      <c r="L27" s="82">
        <f>(RIGHT('REPORTS PER EVALUATOR'!$S$43,1))*1</f>
        <v>2</v>
      </c>
      <c r="M27" s="11" t="str">
        <f>LEFT('REPORTS PER EVALUATOR'!$S$55,1)</f>
        <v>L</v>
      </c>
      <c r="N27" s="82">
        <f>(RIGHT('REPORTS PER EVALUATOR'!$S$55,1))*1</f>
        <v>2</v>
      </c>
      <c r="O27" s="11" t="str">
        <f>LEFT('REPORTS PER EVALUATOR'!$S$67,1)</f>
        <v>L</v>
      </c>
      <c r="P27" s="82">
        <f>(RIGHT('REPORTS PER EVALUATOR'!$S$67,1))*1</f>
        <v>3</v>
      </c>
      <c r="Q27" s="11" t="str">
        <f>LEFT('REPORTS PER EVALUATOR'!$S$79,1)</f>
        <v>1</v>
      </c>
      <c r="R27" s="82">
        <f>(RIGHT('REPORTS PER EVALUATOR'!$S$79,1))*1</f>
        <v>1</v>
      </c>
      <c r="S27" s="11" t="str">
        <f>LEFT('REPORTS PER EVALUATOR'!$S$91,1)</f>
        <v>C</v>
      </c>
      <c r="T27" s="82">
        <f>(RIGHT('REPORTS PER EVALUATOR'!$S$91,1))*1</f>
        <v>2</v>
      </c>
      <c r="U27" s="11" t="str">
        <f>LEFT('REPORTS PER EVALUATOR'!$S$103,1)</f>
        <v>C</v>
      </c>
      <c r="V27" s="82">
        <f>(RIGHT('REPORTS PER EVALUATOR'!$S$103,1))*1</f>
        <v>3</v>
      </c>
      <c r="W27" s="11" t="str">
        <f>LEFT('REPORTS PER EVALUATOR'!$S$115,1)</f>
        <v>C</v>
      </c>
      <c r="X27" s="82">
        <f>(RIGHT('REPORTS PER EVALUATOR'!$S$115,1))*1</f>
        <v>2</v>
      </c>
      <c r="Y27" s="11" t="str">
        <f>LEFT('REPORTS PER EVALUATOR'!$S$127,1)</f>
        <v>C</v>
      </c>
      <c r="Z27" s="93">
        <f>(RIGHT('REPORTS PER EVALUATOR'!$S$127,1))*1</f>
        <v>3</v>
      </c>
      <c r="AA27" s="11" t="e">
        <f>LEFT('REPORTS PER EVALUATOR'!#REF!,1)</f>
        <v>#REF!</v>
      </c>
      <c r="AB27" s="93" t="e">
        <f>(RIGHT('REPORTS PER EVALUATOR'!#REF!,1))*1</f>
        <v>#REF!</v>
      </c>
      <c r="AC27" s="11" t="e">
        <f>LEFT('REPORTS PER EVALUATOR'!#REF!,1)</f>
        <v>#REF!</v>
      </c>
      <c r="AD27" s="93" t="e">
        <f>(RIGHT('REPORTS PER EVALUATOR'!#REF!,1))*1</f>
        <v>#REF!</v>
      </c>
      <c r="AE27" s="11" t="e">
        <f>LEFT('REPORTS PER EVALUATOR'!#REF!,1)</f>
        <v>#REF!</v>
      </c>
      <c r="AF27" s="93" t="e">
        <f>(RIGHT('REPORTS PER EVALUATOR'!#REF!,1))*1</f>
        <v>#REF!</v>
      </c>
      <c r="AG27" s="11" t="e">
        <f>LEFT('REPORTS PER EVALUATOR'!#REF!,1)</f>
        <v>#REF!</v>
      </c>
      <c r="AH27" s="93" t="e">
        <f>(RIGHT('REPORTS PER EVALUATOR'!#REF!,1))*1</f>
        <v>#REF!</v>
      </c>
      <c r="AI27" s="11" t="e">
        <f>LEFT('REPORTS PER EVALUATOR'!#REF!,1)</f>
        <v>#REF!</v>
      </c>
      <c r="AJ27" s="93" t="e">
        <f>(RIGHT('REPORTS PER EVALUATOR'!#REF!,1))*1</f>
        <v>#REF!</v>
      </c>
      <c r="AK27" s="11" t="e">
        <f>LEFT('REPORTS PER EVALUATOR'!#REF!,1)</f>
        <v>#REF!</v>
      </c>
      <c r="AL27" s="93" t="e">
        <f>(RIGHT('REPORTS PER EVALUATOR'!#REF!,1))*1</f>
        <v>#REF!</v>
      </c>
      <c r="AM27" s="11" t="e">
        <f>LEFT('REPORTS PER EVALUATOR'!#REF!,1)</f>
        <v>#REF!</v>
      </c>
      <c r="AN27" s="93" t="e">
        <f>(RIGHT('REPORTS PER EVALUATOR'!#REF!,1))*1</f>
        <v>#REF!</v>
      </c>
      <c r="AO27" s="11" t="e">
        <f>LEFT('REPORTS PER EVALUATOR'!#REF!,1)</f>
        <v>#REF!</v>
      </c>
      <c r="AP27" s="93" t="e">
        <f>(RIGHT('REPORTS PER EVALUATOR'!#REF!,1))*1</f>
        <v>#REF!</v>
      </c>
      <c r="AQ27" s="11" t="e">
        <f>LEFT('REPORTS PER EVALUATOR'!#REF!,1)</f>
        <v>#REF!</v>
      </c>
      <c r="AR27" s="93" t="e">
        <f>(RIGHT('REPORTS PER EVALUATOR'!#REF!,1))*1</f>
        <v>#REF!</v>
      </c>
    </row>
    <row r="28" spans="1:44" x14ac:dyDescent="0.2">
      <c r="B28" s="19" t="str">
        <f t="shared" si="1"/>
        <v>C</v>
      </c>
      <c r="C28" s="18" t="str">
        <f t="shared" si="0"/>
        <v>M</v>
      </c>
      <c r="D28" s="18" t="s">
        <v>159</v>
      </c>
      <c r="E28" s="26" t="str">
        <f>LEFT('REPORTS PER EVALUATOR'!$T$7,1)</f>
        <v/>
      </c>
      <c r="F28" s="74" t="e">
        <f>(RIGHT('REPORTS PER EVALUATOR'!$T$7,1))*1</f>
        <v>#VALUE!</v>
      </c>
      <c r="G28" s="11" t="str">
        <f>LEFT('REPORTS PER EVALUATOR'!$T$19,1)</f>
        <v/>
      </c>
      <c r="H28" s="82" t="e">
        <f>(RIGHT('REPORTS PER EVALUATOR'!$T$19,1))*1</f>
        <v>#VALUE!</v>
      </c>
      <c r="I28" s="11" t="str">
        <f>LEFT('REPORTS PER EVALUATOR'!$T$31,1)</f>
        <v/>
      </c>
      <c r="J28" s="82" t="e">
        <f>(RIGHT('REPORTS PER EVALUATOR'!$T$31,1))*1</f>
        <v>#VALUE!</v>
      </c>
      <c r="K28" s="11" t="str">
        <f>LEFT('REPORTS PER EVALUATOR'!$T$43,1)</f>
        <v/>
      </c>
      <c r="L28" s="82" t="e">
        <f>(RIGHT('REPORTS PER EVALUATOR'!$T$43,1))*1</f>
        <v>#VALUE!</v>
      </c>
      <c r="M28" s="11" t="str">
        <f>LEFT('REPORTS PER EVALUATOR'!$T$55,1)</f>
        <v/>
      </c>
      <c r="N28" s="82" t="e">
        <f>(RIGHT('REPORTS PER EVALUATOR'!$T$55,1))*1</f>
        <v>#VALUE!</v>
      </c>
      <c r="O28" s="11" t="str">
        <f>LEFT('REPORTS PER EVALUATOR'!$T$67,1)</f>
        <v/>
      </c>
      <c r="P28" s="82" t="e">
        <f>(RIGHT('REPORTS PER EVALUATOR'!$T$67,1))*1</f>
        <v>#VALUE!</v>
      </c>
      <c r="Q28" s="11" t="str">
        <f>LEFT('REPORTS PER EVALUATOR'!$T$79,1)</f>
        <v/>
      </c>
      <c r="R28" s="82" t="e">
        <f>(RIGHT('REPORTS PER EVALUATOR'!$T$79,1))*1</f>
        <v>#VALUE!</v>
      </c>
      <c r="S28" s="11" t="str">
        <f>LEFT('REPORTS PER EVALUATOR'!$T$91,1)</f>
        <v/>
      </c>
      <c r="T28" s="82" t="e">
        <f>(RIGHT('REPORTS PER EVALUATOR'!$T$91,1))*1</f>
        <v>#VALUE!</v>
      </c>
      <c r="U28" s="11" t="str">
        <f>LEFT('REPORTS PER EVALUATOR'!$T$103,1)</f>
        <v/>
      </c>
      <c r="V28" s="82" t="e">
        <f>(RIGHT('REPORTS PER EVALUATOR'!$T$103,1))*1</f>
        <v>#VALUE!</v>
      </c>
      <c r="W28" s="11" t="str">
        <f>LEFT('REPORTS PER EVALUATOR'!$T$115,1)</f>
        <v/>
      </c>
      <c r="X28" s="82" t="e">
        <f>(RIGHT('REPORTS PER EVALUATOR'!$T$115,1))*1</f>
        <v>#VALUE!</v>
      </c>
      <c r="Y28" s="11" t="str">
        <f>LEFT('REPORTS PER EVALUATOR'!$T$127,1)</f>
        <v/>
      </c>
      <c r="Z28" s="93" t="e">
        <f>(RIGHT('REPORTS PER EVALUATOR'!$T$127,1))*1</f>
        <v>#VALUE!</v>
      </c>
      <c r="AA28" s="11" t="e">
        <f>LEFT('REPORTS PER EVALUATOR'!#REF!,1)</f>
        <v>#REF!</v>
      </c>
      <c r="AB28" s="93" t="e">
        <f>(RIGHT('REPORTS PER EVALUATOR'!#REF!,1))*1</f>
        <v>#REF!</v>
      </c>
      <c r="AC28" s="11" t="e">
        <f>LEFT('REPORTS PER EVALUATOR'!#REF!,1)</f>
        <v>#REF!</v>
      </c>
      <c r="AD28" s="93" t="e">
        <f>(RIGHT('REPORTS PER EVALUATOR'!#REF!,1))*1</f>
        <v>#REF!</v>
      </c>
      <c r="AE28" s="11" t="e">
        <f>LEFT('REPORTS PER EVALUATOR'!#REF!,1)</f>
        <v>#REF!</v>
      </c>
      <c r="AF28" s="93" t="e">
        <f>(RIGHT('REPORTS PER EVALUATOR'!#REF!,1))*1</f>
        <v>#REF!</v>
      </c>
      <c r="AG28" s="11" t="e">
        <f>LEFT('REPORTS PER EVALUATOR'!#REF!,1)</f>
        <v>#REF!</v>
      </c>
      <c r="AH28" s="93" t="e">
        <f>(RIGHT('REPORTS PER EVALUATOR'!#REF!,1))*1</f>
        <v>#REF!</v>
      </c>
      <c r="AI28" s="11" t="e">
        <f>LEFT('REPORTS PER EVALUATOR'!#REF!,1)</f>
        <v>#REF!</v>
      </c>
      <c r="AJ28" s="93" t="e">
        <f>(RIGHT('REPORTS PER EVALUATOR'!#REF!,1))*1</f>
        <v>#REF!</v>
      </c>
      <c r="AK28" s="11" t="e">
        <f>LEFT('REPORTS PER EVALUATOR'!#REF!,1)</f>
        <v>#REF!</v>
      </c>
      <c r="AL28" s="93" t="e">
        <f>(RIGHT('REPORTS PER EVALUATOR'!#REF!,1))*1</f>
        <v>#REF!</v>
      </c>
      <c r="AM28" s="11" t="e">
        <f>LEFT('REPORTS PER EVALUATOR'!#REF!,1)</f>
        <v>#REF!</v>
      </c>
      <c r="AN28" s="93" t="e">
        <f>(RIGHT('REPORTS PER EVALUATOR'!#REF!,1))*1</f>
        <v>#REF!</v>
      </c>
      <c r="AO28" s="11" t="e">
        <f>LEFT('REPORTS PER EVALUATOR'!#REF!,1)</f>
        <v>#REF!</v>
      </c>
      <c r="AP28" s="93" t="e">
        <f>(RIGHT('REPORTS PER EVALUATOR'!#REF!,1))*1</f>
        <v>#REF!</v>
      </c>
      <c r="AQ28" s="11" t="e">
        <f>LEFT('REPORTS PER EVALUATOR'!#REF!,1)</f>
        <v>#REF!</v>
      </c>
      <c r="AR28" s="93" t="e">
        <f>(RIGHT('REPORTS PER EVALUATOR'!#REF!,1))*1</f>
        <v>#REF!</v>
      </c>
    </row>
    <row r="29" spans="1:44" x14ac:dyDescent="0.2">
      <c r="B29" s="19" t="str">
        <f t="shared" si="1"/>
        <v>D</v>
      </c>
      <c r="C29" s="18" t="str">
        <f t="shared" si="0"/>
        <v>E</v>
      </c>
      <c r="D29" s="18" t="s">
        <v>35</v>
      </c>
      <c r="E29" s="57" t="str">
        <f>LEFT('REPORTS PER EVALUATOR'!$N$8,1)</f>
        <v>D</v>
      </c>
      <c r="F29" s="73">
        <f>(RIGHT('REPORTS PER EVALUATOR'!$N$8,1))*1</f>
        <v>2</v>
      </c>
      <c r="G29" s="58" t="str">
        <f>LEFT('REPORTS PER EVALUATOR'!$N$20,1)</f>
        <v>1</v>
      </c>
      <c r="H29" s="81">
        <f>(RIGHT('REPORTS PER EVALUATOR'!$N$20,1))*1</f>
        <v>1</v>
      </c>
      <c r="I29" s="58" t="str">
        <f>LEFT('REPORTS PER EVALUATOR'!$N$32,1)</f>
        <v>D</v>
      </c>
      <c r="J29" s="81">
        <f>(RIGHT('REPORTS PER EVALUATOR'!$N$32,1))*1</f>
        <v>3</v>
      </c>
      <c r="K29" s="58" t="str">
        <f>LEFT('REPORTS PER EVALUATOR'!$N$44,1)</f>
        <v>1</v>
      </c>
      <c r="L29" s="81">
        <f>(RIGHT('REPORTS PER EVALUATOR'!$N$44,1))*1</f>
        <v>1</v>
      </c>
      <c r="M29" s="58" t="str">
        <f>LEFT('REPORTS PER EVALUATOR'!$N$56,1)</f>
        <v>D</v>
      </c>
      <c r="N29" s="81">
        <f>(RIGHT('REPORTS PER EVALUATOR'!$N$56,1))*1</f>
        <v>2</v>
      </c>
      <c r="O29" s="58" t="str">
        <f>LEFT('REPORTS PER EVALUATOR'!$N$68,1)</f>
        <v>D</v>
      </c>
      <c r="P29" s="81">
        <f>(RIGHT('REPORTS PER EVALUATOR'!$N$68,1))*1</f>
        <v>2</v>
      </c>
      <c r="Q29" s="58" t="str">
        <f>LEFT('REPORTS PER EVALUATOR'!$N$80,1)</f>
        <v>E</v>
      </c>
      <c r="R29" s="81">
        <f>(RIGHT('REPORTS PER EVALUATOR'!$N$80,1))*1</f>
        <v>2</v>
      </c>
      <c r="S29" s="58" t="str">
        <f>LEFT('REPORTS PER EVALUATOR'!$N$92,1)</f>
        <v>D</v>
      </c>
      <c r="T29" s="81">
        <f>(RIGHT('REPORTS PER EVALUATOR'!$N$92,1))*1</f>
        <v>3</v>
      </c>
      <c r="U29" s="58" t="str">
        <f>LEFT('REPORTS PER EVALUATOR'!$N$104,1)</f>
        <v>D</v>
      </c>
      <c r="V29" s="81">
        <f>(RIGHT('REPORTS PER EVALUATOR'!$N$104,1))*1</f>
        <v>2</v>
      </c>
      <c r="W29" s="58" t="str">
        <f>LEFT('REPORTS PER EVALUATOR'!$N$116,1)</f>
        <v>1</v>
      </c>
      <c r="X29" s="81">
        <f>(RIGHT('REPORTS PER EVALUATOR'!$N$116,1))*1</f>
        <v>1</v>
      </c>
      <c r="Y29" s="58" t="str">
        <f>LEFT('REPORTS PER EVALUATOR'!$N$128,1)</f>
        <v>E</v>
      </c>
      <c r="Z29" s="94">
        <f>(RIGHT('REPORTS PER EVALUATOR'!$N$128,1))*1</f>
        <v>2</v>
      </c>
      <c r="AA29" s="58" t="e">
        <f>LEFT('REPORTS PER EVALUATOR'!#REF!,1)</f>
        <v>#REF!</v>
      </c>
      <c r="AB29" s="94" t="e">
        <f>(RIGHT('REPORTS PER EVALUATOR'!#REF!,1))*1</f>
        <v>#REF!</v>
      </c>
      <c r="AC29" s="58" t="e">
        <f>LEFT('REPORTS PER EVALUATOR'!#REF!,1)</f>
        <v>#REF!</v>
      </c>
      <c r="AD29" s="94" t="e">
        <f>(RIGHT('REPORTS PER EVALUATOR'!#REF!,1))*1</f>
        <v>#REF!</v>
      </c>
      <c r="AE29" s="58" t="e">
        <f>LEFT('REPORTS PER EVALUATOR'!#REF!,1)</f>
        <v>#REF!</v>
      </c>
      <c r="AF29" s="94" t="e">
        <f>(RIGHT('REPORTS PER EVALUATOR'!#REF!,1))*1</f>
        <v>#REF!</v>
      </c>
      <c r="AG29" s="58" t="e">
        <f>LEFT('REPORTS PER EVALUATOR'!#REF!,1)</f>
        <v>#REF!</v>
      </c>
      <c r="AH29" s="94" t="e">
        <f>(RIGHT('REPORTS PER EVALUATOR'!#REF!,1))*1</f>
        <v>#REF!</v>
      </c>
      <c r="AI29" s="58" t="e">
        <f>LEFT('REPORTS PER EVALUATOR'!#REF!,1)</f>
        <v>#REF!</v>
      </c>
      <c r="AJ29" s="94" t="e">
        <f>(RIGHT('REPORTS PER EVALUATOR'!#REF!,1))*1</f>
        <v>#REF!</v>
      </c>
      <c r="AK29" s="58" t="e">
        <f>LEFT('REPORTS PER EVALUATOR'!#REF!,1)</f>
        <v>#REF!</v>
      </c>
      <c r="AL29" s="94" t="e">
        <f>(RIGHT('REPORTS PER EVALUATOR'!#REF!,1))*1</f>
        <v>#REF!</v>
      </c>
      <c r="AM29" s="58" t="e">
        <f>LEFT('REPORTS PER EVALUATOR'!#REF!,1)</f>
        <v>#REF!</v>
      </c>
      <c r="AN29" s="94" t="e">
        <f>(RIGHT('REPORTS PER EVALUATOR'!#REF!,1))*1</f>
        <v>#REF!</v>
      </c>
      <c r="AO29" s="58" t="e">
        <f>LEFT('REPORTS PER EVALUATOR'!#REF!,1)</f>
        <v>#REF!</v>
      </c>
      <c r="AP29" s="94" t="e">
        <f>(RIGHT('REPORTS PER EVALUATOR'!#REF!,1))*1</f>
        <v>#REF!</v>
      </c>
      <c r="AQ29" s="58" t="e">
        <f>LEFT('REPORTS PER EVALUATOR'!#REF!,1)</f>
        <v>#REF!</v>
      </c>
      <c r="AR29" s="94" t="e">
        <f>(RIGHT('REPORTS PER EVALUATOR'!#REF!,1))*1</f>
        <v>#REF!</v>
      </c>
    </row>
    <row r="30" spans="1:44" x14ac:dyDescent="0.2">
      <c r="B30" s="19" t="str">
        <f t="shared" si="1"/>
        <v>D</v>
      </c>
      <c r="C30" s="18" t="str">
        <f t="shared" si="0"/>
        <v>F</v>
      </c>
      <c r="D30" s="18" t="s">
        <v>36</v>
      </c>
      <c r="E30" s="26" t="str">
        <f>LEFT('REPORTS PER EVALUATOR'!$O$8,1)</f>
        <v>D</v>
      </c>
      <c r="F30" s="74">
        <f>(RIGHT('REPORTS PER EVALUATOR'!$O$8,1))*1</f>
        <v>3</v>
      </c>
      <c r="G30" s="11" t="str">
        <f>LEFT('REPORTS PER EVALUATOR'!$O$20,1)</f>
        <v>1</v>
      </c>
      <c r="H30" s="82">
        <f>(RIGHT('REPORTS PER EVALUATOR'!$O$20,1))*1</f>
        <v>1</v>
      </c>
      <c r="I30" s="11" t="str">
        <f>LEFT('REPORTS PER EVALUATOR'!$O$32,1)</f>
        <v>D</v>
      </c>
      <c r="J30" s="82">
        <f>(RIGHT('REPORTS PER EVALUATOR'!$O$32,1))*1</f>
        <v>3</v>
      </c>
      <c r="K30" s="11" t="str">
        <f>LEFT('REPORTS PER EVALUATOR'!$O$44,1)</f>
        <v>F</v>
      </c>
      <c r="L30" s="82">
        <f>(RIGHT('REPORTS PER EVALUATOR'!$O$44,1))*1</f>
        <v>2</v>
      </c>
      <c r="M30" s="11" t="str">
        <f>LEFT('REPORTS PER EVALUATOR'!$O$56,1)</f>
        <v>D</v>
      </c>
      <c r="N30" s="82">
        <f>(RIGHT('REPORTS PER EVALUATOR'!$O$56,1))*1</f>
        <v>2</v>
      </c>
      <c r="O30" s="11" t="str">
        <f>LEFT('REPORTS PER EVALUATOR'!$O$68,1)</f>
        <v>D</v>
      </c>
      <c r="P30" s="82">
        <f>(RIGHT('REPORTS PER EVALUATOR'!$O$68,1))*1</f>
        <v>2</v>
      </c>
      <c r="Q30" s="11" t="str">
        <f>LEFT('REPORTS PER EVALUATOR'!$O$80,1)</f>
        <v>D</v>
      </c>
      <c r="R30" s="82">
        <f>(RIGHT('REPORTS PER EVALUATOR'!$O$80,1))*1</f>
        <v>2</v>
      </c>
      <c r="S30" s="11" t="str">
        <f>LEFT('REPORTS PER EVALUATOR'!$O$92,1)</f>
        <v>D</v>
      </c>
      <c r="T30" s="82">
        <f>(RIGHT('REPORTS PER EVALUATOR'!$O$92,1))*1</f>
        <v>3</v>
      </c>
      <c r="U30" s="11" t="str">
        <f>LEFT('REPORTS PER EVALUATOR'!$O$104,1)</f>
        <v>1</v>
      </c>
      <c r="V30" s="82">
        <f>(RIGHT('REPORTS PER EVALUATOR'!$O$104,1))*1</f>
        <v>1</v>
      </c>
      <c r="W30" s="11" t="str">
        <f>LEFT('REPORTS PER EVALUATOR'!$O$116,1)</f>
        <v>D</v>
      </c>
      <c r="X30" s="82">
        <f>(RIGHT('REPORTS PER EVALUATOR'!$O$116,1))*1</f>
        <v>2</v>
      </c>
      <c r="Y30" s="11" t="str">
        <f>LEFT('REPORTS PER EVALUATOR'!$O$128,1)</f>
        <v>F</v>
      </c>
      <c r="Z30" s="93">
        <f>(RIGHT('REPORTS PER EVALUATOR'!$O$128,1))*1</f>
        <v>2</v>
      </c>
      <c r="AA30" s="11" t="e">
        <f>LEFT('REPORTS PER EVALUATOR'!#REF!,1)</f>
        <v>#REF!</v>
      </c>
      <c r="AB30" s="93" t="e">
        <f>(RIGHT('REPORTS PER EVALUATOR'!#REF!,1))*1</f>
        <v>#REF!</v>
      </c>
      <c r="AC30" s="11" t="e">
        <f>LEFT('REPORTS PER EVALUATOR'!#REF!,1)</f>
        <v>#REF!</v>
      </c>
      <c r="AD30" s="93" t="e">
        <f>(RIGHT('REPORTS PER EVALUATOR'!#REF!,1))*1</f>
        <v>#REF!</v>
      </c>
      <c r="AE30" s="11" t="e">
        <f>LEFT('REPORTS PER EVALUATOR'!#REF!,1)</f>
        <v>#REF!</v>
      </c>
      <c r="AF30" s="93" t="e">
        <f>(RIGHT('REPORTS PER EVALUATOR'!#REF!,1))*1</f>
        <v>#REF!</v>
      </c>
      <c r="AG30" s="11" t="e">
        <f>LEFT('REPORTS PER EVALUATOR'!#REF!,1)</f>
        <v>#REF!</v>
      </c>
      <c r="AH30" s="93" t="e">
        <f>(RIGHT('REPORTS PER EVALUATOR'!#REF!,1))*1</f>
        <v>#REF!</v>
      </c>
      <c r="AI30" s="11" t="e">
        <f>LEFT('REPORTS PER EVALUATOR'!#REF!,1)</f>
        <v>#REF!</v>
      </c>
      <c r="AJ30" s="93" t="e">
        <f>(RIGHT('REPORTS PER EVALUATOR'!#REF!,1))*1</f>
        <v>#REF!</v>
      </c>
      <c r="AK30" s="11" t="e">
        <f>LEFT('REPORTS PER EVALUATOR'!#REF!,1)</f>
        <v>#REF!</v>
      </c>
      <c r="AL30" s="93" t="e">
        <f>(RIGHT('REPORTS PER EVALUATOR'!#REF!,1))*1</f>
        <v>#REF!</v>
      </c>
      <c r="AM30" s="11" t="e">
        <f>LEFT('REPORTS PER EVALUATOR'!#REF!,1)</f>
        <v>#REF!</v>
      </c>
      <c r="AN30" s="93" t="e">
        <f>(RIGHT('REPORTS PER EVALUATOR'!#REF!,1))*1</f>
        <v>#REF!</v>
      </c>
      <c r="AO30" s="11" t="e">
        <f>LEFT('REPORTS PER EVALUATOR'!#REF!,1)</f>
        <v>#REF!</v>
      </c>
      <c r="AP30" s="93" t="e">
        <f>(RIGHT('REPORTS PER EVALUATOR'!#REF!,1))*1</f>
        <v>#REF!</v>
      </c>
      <c r="AQ30" s="11" t="e">
        <f>LEFT('REPORTS PER EVALUATOR'!#REF!,1)</f>
        <v>#REF!</v>
      </c>
      <c r="AR30" s="93" t="e">
        <f>(RIGHT('REPORTS PER EVALUATOR'!#REF!,1))*1</f>
        <v>#REF!</v>
      </c>
    </row>
    <row r="31" spans="1:44" x14ac:dyDescent="0.2">
      <c r="B31" s="19" t="str">
        <f t="shared" si="1"/>
        <v>D</v>
      </c>
      <c r="C31" s="18" t="str">
        <f t="shared" si="0"/>
        <v>G</v>
      </c>
      <c r="D31" s="18" t="s">
        <v>37</v>
      </c>
      <c r="E31" s="26" t="str">
        <f>LEFT('REPORTS PER EVALUATOR'!$P$8,1)</f>
        <v>D</v>
      </c>
      <c r="F31" s="74">
        <f>(RIGHT('REPORTS PER EVALUATOR'!$P$8,1))*1</f>
        <v>4</v>
      </c>
      <c r="G31" s="11" t="str">
        <f>LEFT('REPORTS PER EVALUATOR'!$P$20,1)</f>
        <v>D</v>
      </c>
      <c r="H31" s="82">
        <f>(RIGHT('REPORTS PER EVALUATOR'!$P$20,1))*1</f>
        <v>2</v>
      </c>
      <c r="I31" s="11" t="str">
        <f>LEFT('REPORTS PER EVALUATOR'!$P$32,1)</f>
        <v>D</v>
      </c>
      <c r="J31" s="82">
        <f>(RIGHT('REPORTS PER EVALUATOR'!$P$32,1))*1</f>
        <v>4</v>
      </c>
      <c r="K31" s="11" t="str">
        <f>LEFT('REPORTS PER EVALUATOR'!$P$44,1)</f>
        <v>D</v>
      </c>
      <c r="L31" s="82">
        <f>(RIGHT('REPORTS PER EVALUATOR'!$P$44,1))*1</f>
        <v>2</v>
      </c>
      <c r="M31" s="11" t="str">
        <f>LEFT('REPORTS PER EVALUATOR'!$P$56,1)</f>
        <v>D</v>
      </c>
      <c r="N31" s="82">
        <f>(RIGHT('REPORTS PER EVALUATOR'!$P$56,1))*1</f>
        <v>3</v>
      </c>
      <c r="O31" s="11" t="str">
        <f>LEFT('REPORTS PER EVALUATOR'!$P$68,1)</f>
        <v>D</v>
      </c>
      <c r="P31" s="82">
        <f>(RIGHT('REPORTS PER EVALUATOR'!$P$68,1))*1</f>
        <v>3</v>
      </c>
      <c r="Q31" s="11" t="str">
        <f>LEFT('REPORTS PER EVALUATOR'!$P$80,1)</f>
        <v>D</v>
      </c>
      <c r="R31" s="82">
        <f>(RIGHT('REPORTS PER EVALUATOR'!$P$80,1))*1</f>
        <v>3</v>
      </c>
      <c r="S31" s="11" t="str">
        <f>LEFT('REPORTS PER EVALUATOR'!$P$92,1)</f>
        <v>D</v>
      </c>
      <c r="T31" s="82">
        <f>(RIGHT('REPORTS PER EVALUATOR'!$P$92,1))*1</f>
        <v>6</v>
      </c>
      <c r="U31" s="11" t="str">
        <f>LEFT('REPORTS PER EVALUATOR'!$P$104,1)</f>
        <v>D</v>
      </c>
      <c r="V31" s="82">
        <f>(RIGHT('REPORTS PER EVALUATOR'!$P$104,1))*1</f>
        <v>3</v>
      </c>
      <c r="W31" s="11" t="str">
        <f>LEFT('REPORTS PER EVALUATOR'!$P$116,1)</f>
        <v>D</v>
      </c>
      <c r="X31" s="82">
        <f>(RIGHT('REPORTS PER EVALUATOR'!$P$116,1))*1</f>
        <v>2</v>
      </c>
      <c r="Y31" s="11" t="str">
        <f>LEFT('REPORTS PER EVALUATOR'!$P$128,1)</f>
        <v>D</v>
      </c>
      <c r="Z31" s="93">
        <f>(RIGHT('REPORTS PER EVALUATOR'!$P$128,1))*1</f>
        <v>4</v>
      </c>
      <c r="AA31" s="11" t="e">
        <f>LEFT('REPORTS PER EVALUATOR'!#REF!,1)</f>
        <v>#REF!</v>
      </c>
      <c r="AB31" s="93" t="e">
        <f>(RIGHT('REPORTS PER EVALUATOR'!#REF!,1))*1</f>
        <v>#REF!</v>
      </c>
      <c r="AC31" s="11" t="e">
        <f>LEFT('REPORTS PER EVALUATOR'!#REF!,1)</f>
        <v>#REF!</v>
      </c>
      <c r="AD31" s="93" t="e">
        <f>(RIGHT('REPORTS PER EVALUATOR'!#REF!,1))*1</f>
        <v>#REF!</v>
      </c>
      <c r="AE31" s="11" t="e">
        <f>LEFT('REPORTS PER EVALUATOR'!#REF!,1)</f>
        <v>#REF!</v>
      </c>
      <c r="AF31" s="93" t="e">
        <f>(RIGHT('REPORTS PER EVALUATOR'!#REF!,1))*1</f>
        <v>#REF!</v>
      </c>
      <c r="AG31" s="11" t="e">
        <f>LEFT('REPORTS PER EVALUATOR'!#REF!,1)</f>
        <v>#REF!</v>
      </c>
      <c r="AH31" s="93" t="e">
        <f>(RIGHT('REPORTS PER EVALUATOR'!#REF!,1))*1</f>
        <v>#REF!</v>
      </c>
      <c r="AI31" s="11" t="e">
        <f>LEFT('REPORTS PER EVALUATOR'!#REF!,1)</f>
        <v>#REF!</v>
      </c>
      <c r="AJ31" s="93" t="e">
        <f>(RIGHT('REPORTS PER EVALUATOR'!#REF!,1))*1</f>
        <v>#REF!</v>
      </c>
      <c r="AK31" s="11" t="e">
        <f>LEFT('REPORTS PER EVALUATOR'!#REF!,1)</f>
        <v>#REF!</v>
      </c>
      <c r="AL31" s="93" t="e">
        <f>(RIGHT('REPORTS PER EVALUATOR'!#REF!,1))*1</f>
        <v>#REF!</v>
      </c>
      <c r="AM31" s="11" t="e">
        <f>LEFT('REPORTS PER EVALUATOR'!#REF!,1)</f>
        <v>#REF!</v>
      </c>
      <c r="AN31" s="93" t="e">
        <f>(RIGHT('REPORTS PER EVALUATOR'!#REF!,1))*1</f>
        <v>#REF!</v>
      </c>
      <c r="AO31" s="11" t="e">
        <f>LEFT('REPORTS PER EVALUATOR'!#REF!,1)</f>
        <v>#REF!</v>
      </c>
      <c r="AP31" s="93" t="e">
        <f>(RIGHT('REPORTS PER EVALUATOR'!#REF!,1))*1</f>
        <v>#REF!</v>
      </c>
      <c r="AQ31" s="11" t="e">
        <f>LEFT('REPORTS PER EVALUATOR'!#REF!,1)</f>
        <v>#REF!</v>
      </c>
      <c r="AR31" s="93" t="e">
        <f>(RIGHT('REPORTS PER EVALUATOR'!#REF!,1))*1</f>
        <v>#REF!</v>
      </c>
    </row>
    <row r="32" spans="1:44" x14ac:dyDescent="0.2">
      <c r="B32" s="19" t="str">
        <f t="shared" si="1"/>
        <v>D</v>
      </c>
      <c r="C32" s="18" t="str">
        <f t="shared" si="0"/>
        <v>H</v>
      </c>
      <c r="D32" s="18" t="s">
        <v>38</v>
      </c>
      <c r="E32" s="26" t="str">
        <f>LEFT('REPORTS PER EVALUATOR'!$Q$8,1)</f>
        <v>D</v>
      </c>
      <c r="F32" s="74">
        <f>(RIGHT('REPORTS PER EVALUATOR'!$Q$8,1))*1</f>
        <v>2</v>
      </c>
      <c r="G32" s="11" t="str">
        <f>LEFT('REPORTS PER EVALUATOR'!$Q$20,1)</f>
        <v>D</v>
      </c>
      <c r="H32" s="82">
        <f>(RIGHT('REPORTS PER EVALUATOR'!$Q$20,1))*1</f>
        <v>3</v>
      </c>
      <c r="I32" s="11" t="str">
        <f>LEFT('REPORTS PER EVALUATOR'!$Q$32,1)</f>
        <v>D</v>
      </c>
      <c r="J32" s="82">
        <f>(RIGHT('REPORTS PER EVALUATOR'!$Q$32,1))*1</f>
        <v>4</v>
      </c>
      <c r="K32" s="11" t="str">
        <f>LEFT('REPORTS PER EVALUATOR'!$Q$44,1)</f>
        <v>D</v>
      </c>
      <c r="L32" s="82">
        <f>(RIGHT('REPORTS PER EVALUATOR'!$Q$44,1))*1</f>
        <v>4</v>
      </c>
      <c r="M32" s="11" t="str">
        <f>LEFT('REPORTS PER EVALUATOR'!$Q$56,1)</f>
        <v>D</v>
      </c>
      <c r="N32" s="82">
        <f>(RIGHT('REPORTS PER EVALUATOR'!$Q$56,1))*1</f>
        <v>2</v>
      </c>
      <c r="O32" s="11" t="str">
        <f>LEFT('REPORTS PER EVALUATOR'!$Q$68,1)</f>
        <v>H</v>
      </c>
      <c r="P32" s="82">
        <f>(RIGHT('REPORTS PER EVALUATOR'!$Q$68,1))*1</f>
        <v>2</v>
      </c>
      <c r="Q32" s="11" t="str">
        <f>LEFT('REPORTS PER EVALUATOR'!$Q$80,1)</f>
        <v>D</v>
      </c>
      <c r="R32" s="82">
        <f>(RIGHT('REPORTS PER EVALUATOR'!$Q$80,1))*1</f>
        <v>3</v>
      </c>
      <c r="S32" s="11" t="str">
        <f>LEFT('REPORTS PER EVALUATOR'!$Q$92,1)</f>
        <v>D</v>
      </c>
      <c r="T32" s="82">
        <f>(RIGHT('REPORTS PER EVALUATOR'!$Q$92,1))*1</f>
        <v>3</v>
      </c>
      <c r="U32" s="11" t="str">
        <f>LEFT('REPORTS PER EVALUATOR'!$Q$104,1)</f>
        <v>H</v>
      </c>
      <c r="V32" s="82">
        <f>(RIGHT('REPORTS PER EVALUATOR'!$Q$104,1))*1</f>
        <v>2</v>
      </c>
      <c r="W32" s="11" t="str">
        <f>LEFT('REPORTS PER EVALUATOR'!$Q$116,1)</f>
        <v>H</v>
      </c>
      <c r="X32" s="82">
        <f>(RIGHT('REPORTS PER EVALUATOR'!$Q$116,1))*1</f>
        <v>2</v>
      </c>
      <c r="Y32" s="11" t="str">
        <f>LEFT('REPORTS PER EVALUATOR'!$Q$128,1)</f>
        <v>D</v>
      </c>
      <c r="Z32" s="93">
        <f>(RIGHT('REPORTS PER EVALUATOR'!$Q$128,1))*1</f>
        <v>2</v>
      </c>
      <c r="AA32" s="11" t="e">
        <f>LEFT('REPORTS PER EVALUATOR'!#REF!,1)</f>
        <v>#REF!</v>
      </c>
      <c r="AB32" s="93" t="e">
        <f>(RIGHT('REPORTS PER EVALUATOR'!#REF!,1))*1</f>
        <v>#REF!</v>
      </c>
      <c r="AC32" s="11" t="e">
        <f>LEFT('REPORTS PER EVALUATOR'!#REF!,1)</f>
        <v>#REF!</v>
      </c>
      <c r="AD32" s="93" t="e">
        <f>(RIGHT('REPORTS PER EVALUATOR'!#REF!,1))*1</f>
        <v>#REF!</v>
      </c>
      <c r="AE32" s="11" t="e">
        <f>LEFT('REPORTS PER EVALUATOR'!#REF!,1)</f>
        <v>#REF!</v>
      </c>
      <c r="AF32" s="93" t="e">
        <f>(RIGHT('REPORTS PER EVALUATOR'!#REF!,1))*1</f>
        <v>#REF!</v>
      </c>
      <c r="AG32" s="11" t="e">
        <f>LEFT('REPORTS PER EVALUATOR'!#REF!,1)</f>
        <v>#REF!</v>
      </c>
      <c r="AH32" s="93" t="e">
        <f>(RIGHT('REPORTS PER EVALUATOR'!#REF!,1))*1</f>
        <v>#REF!</v>
      </c>
      <c r="AI32" s="11" t="e">
        <f>LEFT('REPORTS PER EVALUATOR'!#REF!,1)</f>
        <v>#REF!</v>
      </c>
      <c r="AJ32" s="93" t="e">
        <f>(RIGHT('REPORTS PER EVALUATOR'!#REF!,1))*1</f>
        <v>#REF!</v>
      </c>
      <c r="AK32" s="11" t="e">
        <f>LEFT('REPORTS PER EVALUATOR'!#REF!,1)</f>
        <v>#REF!</v>
      </c>
      <c r="AL32" s="93" t="e">
        <f>(RIGHT('REPORTS PER EVALUATOR'!#REF!,1))*1</f>
        <v>#REF!</v>
      </c>
      <c r="AM32" s="11" t="e">
        <f>LEFT('REPORTS PER EVALUATOR'!#REF!,1)</f>
        <v>#REF!</v>
      </c>
      <c r="AN32" s="93" t="e">
        <f>(RIGHT('REPORTS PER EVALUATOR'!#REF!,1))*1</f>
        <v>#REF!</v>
      </c>
      <c r="AO32" s="11" t="e">
        <f>LEFT('REPORTS PER EVALUATOR'!#REF!,1)</f>
        <v>#REF!</v>
      </c>
      <c r="AP32" s="93" t="e">
        <f>(RIGHT('REPORTS PER EVALUATOR'!#REF!,1))*1</f>
        <v>#REF!</v>
      </c>
      <c r="AQ32" s="11" t="e">
        <f>LEFT('REPORTS PER EVALUATOR'!#REF!,1)</f>
        <v>#REF!</v>
      </c>
      <c r="AR32" s="93" t="e">
        <f>(RIGHT('REPORTS PER EVALUATOR'!#REF!,1))*1</f>
        <v>#REF!</v>
      </c>
    </row>
    <row r="33" spans="2:44" x14ac:dyDescent="0.2">
      <c r="B33" s="19" t="str">
        <f t="shared" si="1"/>
        <v>D</v>
      </c>
      <c r="C33" s="18" t="str">
        <f t="shared" si="0"/>
        <v>I</v>
      </c>
      <c r="D33" s="18" t="s">
        <v>39</v>
      </c>
      <c r="E33" s="26" t="str">
        <f>LEFT('REPORTS PER EVALUATOR'!$R$8,1)</f>
        <v>D</v>
      </c>
      <c r="F33" s="74">
        <f>(RIGHT('REPORTS PER EVALUATOR'!$R$8,1))*1</f>
        <v>2</v>
      </c>
      <c r="G33" s="11" t="str">
        <f>LEFT('REPORTS PER EVALUATOR'!$R$20,1)</f>
        <v>D</v>
      </c>
      <c r="H33" s="82">
        <f>(RIGHT('REPORTS PER EVALUATOR'!$R$20,1))*1</f>
        <v>4</v>
      </c>
      <c r="I33" s="11" t="str">
        <f>LEFT('REPORTS PER EVALUATOR'!$R$32,1)</f>
        <v>1</v>
      </c>
      <c r="J33" s="82">
        <f>(RIGHT('REPORTS PER EVALUATOR'!$R$32,1))*1</f>
        <v>1</v>
      </c>
      <c r="K33" s="11" t="str">
        <f>LEFT('REPORTS PER EVALUATOR'!$R$44,1)</f>
        <v>D</v>
      </c>
      <c r="L33" s="82">
        <f>(RIGHT('REPORTS PER EVALUATOR'!$R$44,1))*1</f>
        <v>3</v>
      </c>
      <c r="M33" s="11" t="str">
        <f>LEFT('REPORTS PER EVALUATOR'!$R$56,1)</f>
        <v>D</v>
      </c>
      <c r="N33" s="82">
        <f>(RIGHT('REPORTS PER EVALUATOR'!$R$56,1))*1</f>
        <v>4</v>
      </c>
      <c r="O33" s="11" t="str">
        <f>LEFT('REPORTS PER EVALUATOR'!$R$68,1)</f>
        <v>D</v>
      </c>
      <c r="P33" s="82">
        <f>(RIGHT('REPORTS PER EVALUATOR'!$R$68,1))*1</f>
        <v>2</v>
      </c>
      <c r="Q33" s="11" t="str">
        <f>LEFT('REPORTS PER EVALUATOR'!$R$80,1)</f>
        <v>D</v>
      </c>
      <c r="R33" s="82">
        <f>(RIGHT('REPORTS PER EVALUATOR'!$R$80,1))*1</f>
        <v>3</v>
      </c>
      <c r="S33" s="11" t="str">
        <f>LEFT('REPORTS PER EVALUATOR'!$R$92,1)</f>
        <v>D</v>
      </c>
      <c r="T33" s="82">
        <f>(RIGHT('REPORTS PER EVALUATOR'!$R$92,1))*1</f>
        <v>4</v>
      </c>
      <c r="U33" s="11" t="str">
        <f>LEFT('REPORTS PER EVALUATOR'!$R$104,1)</f>
        <v>D</v>
      </c>
      <c r="V33" s="82">
        <f>(RIGHT('REPORTS PER EVALUATOR'!$R$104,1))*1</f>
        <v>4</v>
      </c>
      <c r="W33" s="11" t="str">
        <f>LEFT('REPORTS PER EVALUATOR'!$R$116,1)</f>
        <v>1</v>
      </c>
      <c r="X33" s="82">
        <f>(RIGHT('REPORTS PER EVALUATOR'!$R$116,1))*1</f>
        <v>1</v>
      </c>
      <c r="Y33" s="11" t="str">
        <f>LEFT('REPORTS PER EVALUATOR'!$R$128,1)</f>
        <v>D</v>
      </c>
      <c r="Z33" s="93">
        <f>(RIGHT('REPORTS PER EVALUATOR'!$R$128,1))*1</f>
        <v>2</v>
      </c>
      <c r="AA33" s="11" t="e">
        <f>LEFT('REPORTS PER EVALUATOR'!#REF!,1)</f>
        <v>#REF!</v>
      </c>
      <c r="AB33" s="93" t="e">
        <f>(RIGHT('REPORTS PER EVALUATOR'!#REF!,1))*1</f>
        <v>#REF!</v>
      </c>
      <c r="AC33" s="11" t="e">
        <f>LEFT('REPORTS PER EVALUATOR'!#REF!,1)</f>
        <v>#REF!</v>
      </c>
      <c r="AD33" s="93" t="e">
        <f>(RIGHT('REPORTS PER EVALUATOR'!#REF!,1))*1</f>
        <v>#REF!</v>
      </c>
      <c r="AE33" s="11" t="e">
        <f>LEFT('REPORTS PER EVALUATOR'!#REF!,1)</f>
        <v>#REF!</v>
      </c>
      <c r="AF33" s="93" t="e">
        <f>(RIGHT('REPORTS PER EVALUATOR'!#REF!,1))*1</f>
        <v>#REF!</v>
      </c>
      <c r="AG33" s="11" t="e">
        <f>LEFT('REPORTS PER EVALUATOR'!#REF!,1)</f>
        <v>#REF!</v>
      </c>
      <c r="AH33" s="93" t="e">
        <f>(RIGHT('REPORTS PER EVALUATOR'!#REF!,1))*1</f>
        <v>#REF!</v>
      </c>
      <c r="AI33" s="11" t="e">
        <f>LEFT('REPORTS PER EVALUATOR'!#REF!,1)</f>
        <v>#REF!</v>
      </c>
      <c r="AJ33" s="93" t="e">
        <f>(RIGHT('REPORTS PER EVALUATOR'!#REF!,1))*1</f>
        <v>#REF!</v>
      </c>
      <c r="AK33" s="11" t="e">
        <f>LEFT('REPORTS PER EVALUATOR'!#REF!,1)</f>
        <v>#REF!</v>
      </c>
      <c r="AL33" s="93" t="e">
        <f>(RIGHT('REPORTS PER EVALUATOR'!#REF!,1))*1</f>
        <v>#REF!</v>
      </c>
      <c r="AM33" s="11" t="e">
        <f>LEFT('REPORTS PER EVALUATOR'!#REF!,1)</f>
        <v>#REF!</v>
      </c>
      <c r="AN33" s="93" t="e">
        <f>(RIGHT('REPORTS PER EVALUATOR'!#REF!,1))*1</f>
        <v>#REF!</v>
      </c>
      <c r="AO33" s="11" t="e">
        <f>LEFT('REPORTS PER EVALUATOR'!#REF!,1)</f>
        <v>#REF!</v>
      </c>
      <c r="AP33" s="93" t="e">
        <f>(RIGHT('REPORTS PER EVALUATOR'!#REF!,1))*1</f>
        <v>#REF!</v>
      </c>
      <c r="AQ33" s="11" t="e">
        <f>LEFT('REPORTS PER EVALUATOR'!#REF!,1)</f>
        <v>#REF!</v>
      </c>
      <c r="AR33" s="93" t="e">
        <f>(RIGHT('REPORTS PER EVALUATOR'!#REF!,1))*1</f>
        <v>#REF!</v>
      </c>
    </row>
    <row r="34" spans="2:44" x14ac:dyDescent="0.2">
      <c r="B34" s="19" t="str">
        <f t="shared" si="1"/>
        <v>D</v>
      </c>
      <c r="C34" s="18" t="str">
        <f t="shared" si="0"/>
        <v>L</v>
      </c>
      <c r="D34" s="18" t="s">
        <v>40</v>
      </c>
      <c r="E34" s="26" t="str">
        <f>LEFT('REPORTS PER EVALUATOR'!$S$8,1)</f>
        <v>D</v>
      </c>
      <c r="F34" s="74">
        <f>(RIGHT('REPORTS PER EVALUATOR'!$S$8,1))*1</f>
        <v>5</v>
      </c>
      <c r="G34" s="11" t="str">
        <f>LEFT('REPORTS PER EVALUATOR'!$S$20,1)</f>
        <v>D</v>
      </c>
      <c r="H34" s="82">
        <f>(RIGHT('REPORTS PER EVALUATOR'!$S$20,1))*1</f>
        <v>4</v>
      </c>
      <c r="I34" s="11" t="str">
        <f>LEFT('REPORTS PER EVALUATOR'!$S$32,1)</f>
        <v>D</v>
      </c>
      <c r="J34" s="82">
        <f>(RIGHT('REPORTS PER EVALUATOR'!$S$32,1))*1</f>
        <v>5</v>
      </c>
      <c r="K34" s="11" t="str">
        <f>LEFT('REPORTS PER EVALUATOR'!$S$44,1)</f>
        <v>D</v>
      </c>
      <c r="L34" s="82">
        <f>(RIGHT('REPORTS PER EVALUATOR'!$S$44,1))*1</f>
        <v>4</v>
      </c>
      <c r="M34" s="11" t="str">
        <f>LEFT('REPORTS PER EVALUATOR'!$S$56,1)</f>
        <v>D</v>
      </c>
      <c r="N34" s="82">
        <f>(RIGHT('REPORTS PER EVALUATOR'!$S$56,1))*1</f>
        <v>3</v>
      </c>
      <c r="O34" s="11" t="str">
        <f>LEFT('REPORTS PER EVALUATOR'!$S$68,1)</f>
        <v>1</v>
      </c>
      <c r="P34" s="82">
        <f>(RIGHT('REPORTS PER EVALUATOR'!$S$68,1))*1</f>
        <v>1</v>
      </c>
      <c r="Q34" s="11" t="str">
        <f>LEFT('REPORTS PER EVALUATOR'!$S$80,1)</f>
        <v>D</v>
      </c>
      <c r="R34" s="82">
        <f>(RIGHT('REPORTS PER EVALUATOR'!$S$80,1))*1</f>
        <v>3</v>
      </c>
      <c r="S34" s="11" t="str">
        <f>LEFT('REPORTS PER EVALUATOR'!$S$92,1)</f>
        <v>D</v>
      </c>
      <c r="T34" s="82">
        <f>(RIGHT('REPORTS PER EVALUATOR'!$S$92,1))*1</f>
        <v>4</v>
      </c>
      <c r="U34" s="11" t="str">
        <f>LEFT('REPORTS PER EVALUATOR'!$S$104,1)</f>
        <v>D</v>
      </c>
      <c r="V34" s="82">
        <f>(RIGHT('REPORTS PER EVALUATOR'!$S$104,1))*1</f>
        <v>3</v>
      </c>
      <c r="W34" s="11" t="str">
        <f>LEFT('REPORTS PER EVALUATOR'!$S$116,1)</f>
        <v>D</v>
      </c>
      <c r="X34" s="82">
        <f>(RIGHT('REPORTS PER EVALUATOR'!$S$116,1))*1</f>
        <v>3</v>
      </c>
      <c r="Y34" s="11" t="str">
        <f>LEFT('REPORTS PER EVALUATOR'!$S$128,1)</f>
        <v>D</v>
      </c>
      <c r="Z34" s="93">
        <f>(RIGHT('REPORTS PER EVALUATOR'!$S$128,1))*1</f>
        <v>3</v>
      </c>
      <c r="AA34" s="11" t="e">
        <f>LEFT('REPORTS PER EVALUATOR'!#REF!,1)</f>
        <v>#REF!</v>
      </c>
      <c r="AB34" s="93" t="e">
        <f>(RIGHT('REPORTS PER EVALUATOR'!#REF!,1))*1</f>
        <v>#REF!</v>
      </c>
      <c r="AC34" s="11" t="e">
        <f>LEFT('REPORTS PER EVALUATOR'!#REF!,1)</f>
        <v>#REF!</v>
      </c>
      <c r="AD34" s="93" t="e">
        <f>(RIGHT('REPORTS PER EVALUATOR'!#REF!,1))*1</f>
        <v>#REF!</v>
      </c>
      <c r="AE34" s="11" t="e">
        <f>LEFT('REPORTS PER EVALUATOR'!#REF!,1)</f>
        <v>#REF!</v>
      </c>
      <c r="AF34" s="93" t="e">
        <f>(RIGHT('REPORTS PER EVALUATOR'!#REF!,1))*1</f>
        <v>#REF!</v>
      </c>
      <c r="AG34" s="11" t="e">
        <f>LEFT('REPORTS PER EVALUATOR'!#REF!,1)</f>
        <v>#REF!</v>
      </c>
      <c r="AH34" s="93" t="e">
        <f>(RIGHT('REPORTS PER EVALUATOR'!#REF!,1))*1</f>
        <v>#REF!</v>
      </c>
      <c r="AI34" s="11" t="e">
        <f>LEFT('REPORTS PER EVALUATOR'!#REF!,1)</f>
        <v>#REF!</v>
      </c>
      <c r="AJ34" s="93" t="e">
        <f>(RIGHT('REPORTS PER EVALUATOR'!#REF!,1))*1</f>
        <v>#REF!</v>
      </c>
      <c r="AK34" s="11" t="e">
        <f>LEFT('REPORTS PER EVALUATOR'!#REF!,1)</f>
        <v>#REF!</v>
      </c>
      <c r="AL34" s="93" t="e">
        <f>(RIGHT('REPORTS PER EVALUATOR'!#REF!,1))*1</f>
        <v>#REF!</v>
      </c>
      <c r="AM34" s="11" t="e">
        <f>LEFT('REPORTS PER EVALUATOR'!#REF!,1)</f>
        <v>#REF!</v>
      </c>
      <c r="AN34" s="93" t="e">
        <f>(RIGHT('REPORTS PER EVALUATOR'!#REF!,1))*1</f>
        <v>#REF!</v>
      </c>
      <c r="AO34" s="11" t="e">
        <f>LEFT('REPORTS PER EVALUATOR'!#REF!,1)</f>
        <v>#REF!</v>
      </c>
      <c r="AP34" s="93" t="e">
        <f>(RIGHT('REPORTS PER EVALUATOR'!#REF!,1))*1</f>
        <v>#REF!</v>
      </c>
      <c r="AQ34" s="11" t="e">
        <f>LEFT('REPORTS PER EVALUATOR'!#REF!,1)</f>
        <v>#REF!</v>
      </c>
      <c r="AR34" s="93" t="e">
        <f>(RIGHT('REPORTS PER EVALUATOR'!#REF!,1))*1</f>
        <v>#REF!</v>
      </c>
    </row>
    <row r="35" spans="2:44" x14ac:dyDescent="0.2">
      <c r="B35" s="19" t="str">
        <f t="shared" si="1"/>
        <v>D</v>
      </c>
      <c r="C35" s="18" t="str">
        <f t="shared" si="0"/>
        <v>M</v>
      </c>
      <c r="D35" s="18" t="s">
        <v>160</v>
      </c>
      <c r="E35" s="26" t="str">
        <f>LEFT('REPORTS PER EVALUATOR'!$T$8,1)</f>
        <v/>
      </c>
      <c r="F35" s="74" t="e">
        <f>(RIGHT('REPORTS PER EVALUATOR'!$T$8,1))*1</f>
        <v>#VALUE!</v>
      </c>
      <c r="G35" s="11" t="str">
        <f>LEFT('REPORTS PER EVALUATOR'!$T$20,1)</f>
        <v/>
      </c>
      <c r="H35" s="82" t="e">
        <f>(RIGHT('REPORTS PER EVALUATOR'!$T$20,1))*1</f>
        <v>#VALUE!</v>
      </c>
      <c r="I35" s="11" t="str">
        <f>LEFT('REPORTS PER EVALUATOR'!$T$32,1)</f>
        <v/>
      </c>
      <c r="J35" s="82" t="e">
        <f>(RIGHT('REPORTS PER EVALUATOR'!$T$32,1))*1</f>
        <v>#VALUE!</v>
      </c>
      <c r="K35" s="11" t="str">
        <f>LEFT('REPORTS PER EVALUATOR'!$T$44,1)</f>
        <v/>
      </c>
      <c r="L35" s="82" t="e">
        <f>(RIGHT('REPORTS PER EVALUATOR'!$T$44,1))*1</f>
        <v>#VALUE!</v>
      </c>
      <c r="M35" s="11" t="str">
        <f>LEFT('REPORTS PER EVALUATOR'!$T$56,1)</f>
        <v/>
      </c>
      <c r="N35" s="82" t="e">
        <f>(RIGHT('REPORTS PER EVALUATOR'!$T$56,1))*1</f>
        <v>#VALUE!</v>
      </c>
      <c r="O35" s="11" t="str">
        <f>LEFT('REPORTS PER EVALUATOR'!$T$68,1)</f>
        <v/>
      </c>
      <c r="P35" s="82" t="e">
        <f>(RIGHT('REPORTS PER EVALUATOR'!$T$68,1))*1</f>
        <v>#VALUE!</v>
      </c>
      <c r="Q35" s="11" t="str">
        <f>LEFT('REPORTS PER EVALUATOR'!$T$80,1)</f>
        <v/>
      </c>
      <c r="R35" s="82" t="e">
        <f>(RIGHT('REPORTS PER EVALUATOR'!$T$80,1))*1</f>
        <v>#VALUE!</v>
      </c>
      <c r="S35" s="11" t="str">
        <f>LEFT('REPORTS PER EVALUATOR'!$T$92,1)</f>
        <v/>
      </c>
      <c r="T35" s="82" t="e">
        <f>(RIGHT('REPORTS PER EVALUATOR'!$T$92,1))*1</f>
        <v>#VALUE!</v>
      </c>
      <c r="U35" s="11" t="str">
        <f>LEFT('REPORTS PER EVALUATOR'!$T$104,1)</f>
        <v/>
      </c>
      <c r="V35" s="82" t="e">
        <f>(RIGHT('REPORTS PER EVALUATOR'!$T$104,1))*1</f>
        <v>#VALUE!</v>
      </c>
      <c r="W35" s="11" t="str">
        <f>LEFT('REPORTS PER EVALUATOR'!$T$116,1)</f>
        <v/>
      </c>
      <c r="X35" s="82" t="e">
        <f>(RIGHT('REPORTS PER EVALUATOR'!$T$116,1))*1</f>
        <v>#VALUE!</v>
      </c>
      <c r="Y35" s="11" t="str">
        <f>LEFT('REPORTS PER EVALUATOR'!$T$128,1)</f>
        <v/>
      </c>
      <c r="Z35" s="93" t="e">
        <f>(RIGHT('REPORTS PER EVALUATOR'!$T$128,1))*1</f>
        <v>#VALUE!</v>
      </c>
      <c r="AA35" s="11" t="e">
        <f>LEFT('REPORTS PER EVALUATOR'!#REF!,1)</f>
        <v>#REF!</v>
      </c>
      <c r="AB35" s="93" t="e">
        <f>(RIGHT('REPORTS PER EVALUATOR'!#REF!,1))*1</f>
        <v>#REF!</v>
      </c>
      <c r="AC35" s="11" t="e">
        <f>LEFT('REPORTS PER EVALUATOR'!#REF!,1)</f>
        <v>#REF!</v>
      </c>
      <c r="AD35" s="93" t="e">
        <f>(RIGHT('REPORTS PER EVALUATOR'!#REF!,1))*1</f>
        <v>#REF!</v>
      </c>
      <c r="AE35" s="11" t="e">
        <f>LEFT('REPORTS PER EVALUATOR'!#REF!,1)</f>
        <v>#REF!</v>
      </c>
      <c r="AF35" s="93" t="e">
        <f>(RIGHT('REPORTS PER EVALUATOR'!#REF!,1))*1</f>
        <v>#REF!</v>
      </c>
      <c r="AG35" s="11" t="e">
        <f>LEFT('REPORTS PER EVALUATOR'!#REF!,1)</f>
        <v>#REF!</v>
      </c>
      <c r="AH35" s="93" t="e">
        <f>(RIGHT('REPORTS PER EVALUATOR'!#REF!,1))*1</f>
        <v>#REF!</v>
      </c>
      <c r="AI35" s="11" t="e">
        <f>LEFT('REPORTS PER EVALUATOR'!#REF!,1)</f>
        <v>#REF!</v>
      </c>
      <c r="AJ35" s="93" t="e">
        <f>(RIGHT('REPORTS PER EVALUATOR'!#REF!,1))*1</f>
        <v>#REF!</v>
      </c>
      <c r="AK35" s="11" t="e">
        <f>LEFT('REPORTS PER EVALUATOR'!#REF!,1)</f>
        <v>#REF!</v>
      </c>
      <c r="AL35" s="93" t="e">
        <f>(RIGHT('REPORTS PER EVALUATOR'!#REF!,1))*1</f>
        <v>#REF!</v>
      </c>
      <c r="AM35" s="11" t="e">
        <f>LEFT('REPORTS PER EVALUATOR'!#REF!,1)</f>
        <v>#REF!</v>
      </c>
      <c r="AN35" s="93" t="e">
        <f>(RIGHT('REPORTS PER EVALUATOR'!#REF!,1))*1</f>
        <v>#REF!</v>
      </c>
      <c r="AO35" s="11" t="e">
        <f>LEFT('REPORTS PER EVALUATOR'!#REF!,1)</f>
        <v>#REF!</v>
      </c>
      <c r="AP35" s="93" t="e">
        <f>(RIGHT('REPORTS PER EVALUATOR'!#REF!,1))*1</f>
        <v>#REF!</v>
      </c>
      <c r="AQ35" s="11" t="e">
        <f>LEFT('REPORTS PER EVALUATOR'!#REF!,1)</f>
        <v>#REF!</v>
      </c>
      <c r="AR35" s="93" t="e">
        <f>(RIGHT('REPORTS PER EVALUATOR'!#REF!,1))*1</f>
        <v>#REF!</v>
      </c>
    </row>
    <row r="36" spans="2:44" x14ac:dyDescent="0.2">
      <c r="B36" s="19" t="str">
        <f t="shared" si="1"/>
        <v>E</v>
      </c>
      <c r="C36" s="18" t="str">
        <f t="shared" si="0"/>
        <v>F</v>
      </c>
      <c r="D36" s="18" t="s">
        <v>41</v>
      </c>
      <c r="E36" s="57" t="str">
        <f>LEFT('REPORTS PER EVALUATOR'!$O$9,1)</f>
        <v>E</v>
      </c>
      <c r="F36" s="73">
        <f>(RIGHT('REPORTS PER EVALUATOR'!$O$9,1))*1</f>
        <v>2</v>
      </c>
      <c r="G36" s="58" t="str">
        <f>LEFT('REPORTS PER EVALUATOR'!$O$21,1)</f>
        <v>E</v>
      </c>
      <c r="H36" s="81">
        <f>(RIGHT('REPORTS PER EVALUATOR'!$O$21,1))*1</f>
        <v>3</v>
      </c>
      <c r="I36" s="58" t="str">
        <f>LEFT('REPORTS PER EVALUATOR'!$O$33,1)</f>
        <v>E</v>
      </c>
      <c r="J36" s="81">
        <f>(RIGHT('REPORTS PER EVALUATOR'!$O$33,1))*1</f>
        <v>2</v>
      </c>
      <c r="K36" s="58" t="str">
        <f>LEFT('REPORTS PER EVALUATOR'!$O$45,1)</f>
        <v>1</v>
      </c>
      <c r="L36" s="81">
        <f>(RIGHT('REPORTS PER EVALUATOR'!$O$45,1))*1</f>
        <v>1</v>
      </c>
      <c r="M36" s="58" t="str">
        <f>LEFT('REPORTS PER EVALUATOR'!$O$57,1)</f>
        <v>E</v>
      </c>
      <c r="N36" s="81">
        <f>(RIGHT('REPORTS PER EVALUATOR'!$O$57,1))*1</f>
        <v>2</v>
      </c>
      <c r="O36" s="58" t="str">
        <f>LEFT('REPORTS PER EVALUATOR'!$O$69,1)</f>
        <v>1</v>
      </c>
      <c r="P36" s="81">
        <f>(RIGHT('REPORTS PER EVALUATOR'!$O$69,1))*1</f>
        <v>1</v>
      </c>
      <c r="Q36" s="58" t="str">
        <f>LEFT('REPORTS PER EVALUATOR'!$O$81,1)</f>
        <v>E</v>
      </c>
      <c r="R36" s="81">
        <f>(RIGHT('REPORTS PER EVALUATOR'!$O$81,1))*1</f>
        <v>3</v>
      </c>
      <c r="S36" s="58" t="str">
        <f>LEFT('REPORTS PER EVALUATOR'!$O$93,1)</f>
        <v>E</v>
      </c>
      <c r="T36" s="81">
        <f>(RIGHT('REPORTS PER EVALUATOR'!$O$93,1))*1</f>
        <v>2</v>
      </c>
      <c r="U36" s="58" t="str">
        <f>LEFT('REPORTS PER EVALUATOR'!$O$105,1)</f>
        <v>F</v>
      </c>
      <c r="V36" s="81">
        <f>(RIGHT('REPORTS PER EVALUATOR'!$O$105,1))*1</f>
        <v>2</v>
      </c>
      <c r="W36" s="58" t="str">
        <f>LEFT('REPORTS PER EVALUATOR'!$O$117,1)</f>
        <v>E</v>
      </c>
      <c r="X36" s="81">
        <f>(RIGHT('REPORTS PER EVALUATOR'!$O$117,1))*1</f>
        <v>2</v>
      </c>
      <c r="Y36" s="58" t="str">
        <f>LEFT('REPORTS PER EVALUATOR'!$O$129,1)</f>
        <v>F</v>
      </c>
      <c r="Z36" s="94">
        <f>(RIGHT('REPORTS PER EVALUATOR'!$O$129,1))*1</f>
        <v>2</v>
      </c>
      <c r="AA36" s="58" t="e">
        <f>LEFT('REPORTS PER EVALUATOR'!#REF!,1)</f>
        <v>#REF!</v>
      </c>
      <c r="AB36" s="94" t="e">
        <f>(RIGHT('REPORTS PER EVALUATOR'!#REF!,1))*1</f>
        <v>#REF!</v>
      </c>
      <c r="AC36" s="58" t="e">
        <f>LEFT('REPORTS PER EVALUATOR'!#REF!,1)</f>
        <v>#REF!</v>
      </c>
      <c r="AD36" s="94" t="e">
        <f>(RIGHT('REPORTS PER EVALUATOR'!#REF!,1))*1</f>
        <v>#REF!</v>
      </c>
      <c r="AE36" s="58" t="e">
        <f>LEFT('REPORTS PER EVALUATOR'!#REF!,1)</f>
        <v>#REF!</v>
      </c>
      <c r="AF36" s="94" t="e">
        <f>(RIGHT('REPORTS PER EVALUATOR'!#REF!,1))*1</f>
        <v>#REF!</v>
      </c>
      <c r="AG36" s="58" t="e">
        <f>LEFT('REPORTS PER EVALUATOR'!#REF!,1)</f>
        <v>#REF!</v>
      </c>
      <c r="AH36" s="94" t="e">
        <f>(RIGHT('REPORTS PER EVALUATOR'!#REF!,1))*1</f>
        <v>#REF!</v>
      </c>
      <c r="AI36" s="58" t="e">
        <f>LEFT('REPORTS PER EVALUATOR'!#REF!,1)</f>
        <v>#REF!</v>
      </c>
      <c r="AJ36" s="94" t="e">
        <f>(RIGHT('REPORTS PER EVALUATOR'!#REF!,1))*1</f>
        <v>#REF!</v>
      </c>
      <c r="AK36" s="58" t="e">
        <f>LEFT('REPORTS PER EVALUATOR'!#REF!,1)</f>
        <v>#REF!</v>
      </c>
      <c r="AL36" s="94" t="e">
        <f>(RIGHT('REPORTS PER EVALUATOR'!#REF!,1))*1</f>
        <v>#REF!</v>
      </c>
      <c r="AM36" s="58" t="e">
        <f>LEFT('REPORTS PER EVALUATOR'!#REF!,1)</f>
        <v>#REF!</v>
      </c>
      <c r="AN36" s="94" t="e">
        <f>(RIGHT('REPORTS PER EVALUATOR'!#REF!,1))*1</f>
        <v>#REF!</v>
      </c>
      <c r="AO36" s="58" t="e">
        <f>LEFT('REPORTS PER EVALUATOR'!#REF!,1)</f>
        <v>#REF!</v>
      </c>
      <c r="AP36" s="94" t="e">
        <f>(RIGHT('REPORTS PER EVALUATOR'!#REF!,1))*1</f>
        <v>#REF!</v>
      </c>
      <c r="AQ36" s="58" t="e">
        <f>LEFT('REPORTS PER EVALUATOR'!#REF!,1)</f>
        <v>#REF!</v>
      </c>
      <c r="AR36" s="94" t="e">
        <f>(RIGHT('REPORTS PER EVALUATOR'!#REF!,1))*1</f>
        <v>#REF!</v>
      </c>
    </row>
    <row r="37" spans="2:44" x14ac:dyDescent="0.2">
      <c r="B37" s="19" t="str">
        <f t="shared" si="1"/>
        <v>E</v>
      </c>
      <c r="C37" s="18" t="str">
        <f t="shared" si="0"/>
        <v>G</v>
      </c>
      <c r="D37" s="18" t="s">
        <v>42</v>
      </c>
      <c r="E37" s="26" t="str">
        <f>LEFT('REPORTS PER EVALUATOR'!$P$9,1)</f>
        <v>E</v>
      </c>
      <c r="F37" s="74">
        <f>(RIGHT('REPORTS PER EVALUATOR'!$P$9,1))*1</f>
        <v>3</v>
      </c>
      <c r="G37" s="11" t="str">
        <f>LEFT('REPORTS PER EVALUATOR'!$P$21,1)</f>
        <v>E</v>
      </c>
      <c r="H37" s="82">
        <f>(RIGHT('REPORTS PER EVALUATOR'!$P$21,1))*1</f>
        <v>3</v>
      </c>
      <c r="I37" s="11" t="str">
        <f>LEFT('REPORTS PER EVALUATOR'!$P$33,1)</f>
        <v>E</v>
      </c>
      <c r="J37" s="82">
        <f>(RIGHT('REPORTS PER EVALUATOR'!$P$33,1))*1</f>
        <v>2</v>
      </c>
      <c r="K37" s="11" t="str">
        <f>LEFT('REPORTS PER EVALUATOR'!$P$45,1)</f>
        <v>E</v>
      </c>
      <c r="L37" s="82">
        <f>(RIGHT('REPORTS PER EVALUATOR'!$P$45,1))*1</f>
        <v>2</v>
      </c>
      <c r="M37" s="11" t="str">
        <f>LEFT('REPORTS PER EVALUATOR'!$P$57,1)</f>
        <v>E</v>
      </c>
      <c r="N37" s="82">
        <f>(RIGHT('REPORTS PER EVALUATOR'!$P$57,1))*1</f>
        <v>3</v>
      </c>
      <c r="O37" s="11" t="str">
        <f>LEFT('REPORTS PER EVALUATOR'!$P$69,1)</f>
        <v>E</v>
      </c>
      <c r="P37" s="82">
        <f>(RIGHT('REPORTS PER EVALUATOR'!$P$69,1))*1</f>
        <v>2</v>
      </c>
      <c r="Q37" s="11" t="str">
        <f>LEFT('REPORTS PER EVALUATOR'!$P$81,1)</f>
        <v>E</v>
      </c>
      <c r="R37" s="82">
        <f>(RIGHT('REPORTS PER EVALUATOR'!$P$81,1))*1</f>
        <v>4</v>
      </c>
      <c r="S37" s="11" t="str">
        <f>LEFT('REPORTS PER EVALUATOR'!$P$93,1)</f>
        <v>E</v>
      </c>
      <c r="T37" s="82">
        <f>(RIGHT('REPORTS PER EVALUATOR'!$P$93,1))*1</f>
        <v>6</v>
      </c>
      <c r="U37" s="11" t="str">
        <f>LEFT('REPORTS PER EVALUATOR'!$P$105,1)</f>
        <v>E</v>
      </c>
      <c r="V37" s="82">
        <f>(RIGHT('REPORTS PER EVALUATOR'!$P$105,1))*1</f>
        <v>3</v>
      </c>
      <c r="W37" s="11" t="str">
        <f>LEFT('REPORTS PER EVALUATOR'!$P$117,1)</f>
        <v>E</v>
      </c>
      <c r="X37" s="82">
        <f>(RIGHT('REPORTS PER EVALUATOR'!$P$117,1))*1</f>
        <v>2</v>
      </c>
      <c r="Y37" s="11" t="str">
        <f>LEFT('REPORTS PER EVALUATOR'!$P$129,1)</f>
        <v>E</v>
      </c>
      <c r="Z37" s="93">
        <f>(RIGHT('REPORTS PER EVALUATOR'!$P$129,1))*1</f>
        <v>5</v>
      </c>
      <c r="AA37" s="11" t="e">
        <f>LEFT('REPORTS PER EVALUATOR'!#REF!,1)</f>
        <v>#REF!</v>
      </c>
      <c r="AB37" s="93" t="e">
        <f>(RIGHT('REPORTS PER EVALUATOR'!#REF!,1))*1</f>
        <v>#REF!</v>
      </c>
      <c r="AC37" s="11" t="e">
        <f>LEFT('REPORTS PER EVALUATOR'!#REF!,1)</f>
        <v>#REF!</v>
      </c>
      <c r="AD37" s="93" t="e">
        <f>(RIGHT('REPORTS PER EVALUATOR'!#REF!,1))*1</f>
        <v>#REF!</v>
      </c>
      <c r="AE37" s="11" t="e">
        <f>LEFT('REPORTS PER EVALUATOR'!#REF!,1)</f>
        <v>#REF!</v>
      </c>
      <c r="AF37" s="93" t="e">
        <f>(RIGHT('REPORTS PER EVALUATOR'!#REF!,1))*1</f>
        <v>#REF!</v>
      </c>
      <c r="AG37" s="11" t="e">
        <f>LEFT('REPORTS PER EVALUATOR'!#REF!,1)</f>
        <v>#REF!</v>
      </c>
      <c r="AH37" s="93" t="e">
        <f>(RIGHT('REPORTS PER EVALUATOR'!#REF!,1))*1</f>
        <v>#REF!</v>
      </c>
      <c r="AI37" s="11" t="e">
        <f>LEFT('REPORTS PER EVALUATOR'!#REF!,1)</f>
        <v>#REF!</v>
      </c>
      <c r="AJ37" s="93" t="e">
        <f>(RIGHT('REPORTS PER EVALUATOR'!#REF!,1))*1</f>
        <v>#REF!</v>
      </c>
      <c r="AK37" s="11" t="e">
        <f>LEFT('REPORTS PER EVALUATOR'!#REF!,1)</f>
        <v>#REF!</v>
      </c>
      <c r="AL37" s="93" t="e">
        <f>(RIGHT('REPORTS PER EVALUATOR'!#REF!,1))*1</f>
        <v>#REF!</v>
      </c>
      <c r="AM37" s="11" t="e">
        <f>LEFT('REPORTS PER EVALUATOR'!#REF!,1)</f>
        <v>#REF!</v>
      </c>
      <c r="AN37" s="93" t="e">
        <f>(RIGHT('REPORTS PER EVALUATOR'!#REF!,1))*1</f>
        <v>#REF!</v>
      </c>
      <c r="AO37" s="11" t="e">
        <f>LEFT('REPORTS PER EVALUATOR'!#REF!,1)</f>
        <v>#REF!</v>
      </c>
      <c r="AP37" s="93" t="e">
        <f>(RIGHT('REPORTS PER EVALUATOR'!#REF!,1))*1</f>
        <v>#REF!</v>
      </c>
      <c r="AQ37" s="11" t="e">
        <f>LEFT('REPORTS PER EVALUATOR'!#REF!,1)</f>
        <v>#REF!</v>
      </c>
      <c r="AR37" s="93" t="e">
        <f>(RIGHT('REPORTS PER EVALUATOR'!#REF!,1))*1</f>
        <v>#REF!</v>
      </c>
    </row>
    <row r="38" spans="2:44" x14ac:dyDescent="0.2">
      <c r="B38" s="19" t="str">
        <f t="shared" si="1"/>
        <v>E</v>
      </c>
      <c r="C38" s="18" t="str">
        <f t="shared" si="0"/>
        <v>H</v>
      </c>
      <c r="D38" s="18" t="s">
        <v>43</v>
      </c>
      <c r="E38" s="26" t="str">
        <f>LEFT('REPORTS PER EVALUATOR'!$Q$9,1)</f>
        <v>H</v>
      </c>
      <c r="F38" s="74">
        <f>(RIGHT('REPORTS PER EVALUATOR'!$Q$9,1))*1</f>
        <v>2</v>
      </c>
      <c r="G38" s="11" t="str">
        <f>LEFT('REPORTS PER EVALUATOR'!$Q$21,1)</f>
        <v>E</v>
      </c>
      <c r="H38" s="82">
        <f>(RIGHT('REPORTS PER EVALUATOR'!$Q$21,1))*1</f>
        <v>4</v>
      </c>
      <c r="I38" s="11" t="str">
        <f>LEFT('REPORTS PER EVALUATOR'!$Q$33,1)</f>
        <v>E</v>
      </c>
      <c r="J38" s="82">
        <f>(RIGHT('REPORTS PER EVALUATOR'!$Q$33,1))*1</f>
        <v>3</v>
      </c>
      <c r="K38" s="11" t="str">
        <f>LEFT('REPORTS PER EVALUATOR'!$Q$45,1)</f>
        <v>E</v>
      </c>
      <c r="L38" s="82">
        <f>(RIGHT('REPORTS PER EVALUATOR'!$Q$45,1))*1</f>
        <v>3</v>
      </c>
      <c r="M38" s="11" t="str">
        <f>LEFT('REPORTS PER EVALUATOR'!$Q$57,1)</f>
        <v>E</v>
      </c>
      <c r="N38" s="82">
        <f>(RIGHT('REPORTS PER EVALUATOR'!$Q$57,1))*1</f>
        <v>2</v>
      </c>
      <c r="O38" s="11" t="str">
        <f>LEFT('REPORTS PER EVALUATOR'!$Q$69,1)</f>
        <v>H</v>
      </c>
      <c r="P38" s="82">
        <f>(RIGHT('REPORTS PER EVALUATOR'!$Q$69,1))*1</f>
        <v>2</v>
      </c>
      <c r="Q38" s="11" t="str">
        <f>LEFT('REPORTS PER EVALUATOR'!$Q$81,1)</f>
        <v>E</v>
      </c>
      <c r="R38" s="82">
        <f>(RIGHT('REPORTS PER EVALUATOR'!$Q$81,1))*1</f>
        <v>4</v>
      </c>
      <c r="S38" s="11" t="str">
        <f>LEFT('REPORTS PER EVALUATOR'!$Q$93,1)</f>
        <v>E</v>
      </c>
      <c r="T38" s="82">
        <f>(RIGHT('REPORTS PER EVALUATOR'!$Q$93,1))*1</f>
        <v>2</v>
      </c>
      <c r="U38" s="11" t="str">
        <f>LEFT('REPORTS PER EVALUATOR'!$Q$105,1)</f>
        <v>H</v>
      </c>
      <c r="V38" s="82">
        <f>(RIGHT('REPORTS PER EVALUATOR'!$Q$105,1))*1</f>
        <v>2</v>
      </c>
      <c r="W38" s="11" t="str">
        <f>LEFT('REPORTS PER EVALUATOR'!$Q$117,1)</f>
        <v>H</v>
      </c>
      <c r="X38" s="82">
        <f>(RIGHT('REPORTS PER EVALUATOR'!$Q$117,1))*1</f>
        <v>2</v>
      </c>
      <c r="Y38" s="11" t="str">
        <f>LEFT('REPORTS PER EVALUATOR'!$Q$129,1)</f>
        <v>E</v>
      </c>
      <c r="Z38" s="93">
        <f>(RIGHT('REPORTS PER EVALUATOR'!$Q$129,1))*1</f>
        <v>2</v>
      </c>
      <c r="AA38" s="11" t="e">
        <f>LEFT('REPORTS PER EVALUATOR'!#REF!,1)</f>
        <v>#REF!</v>
      </c>
      <c r="AB38" s="93" t="e">
        <f>(RIGHT('REPORTS PER EVALUATOR'!#REF!,1))*1</f>
        <v>#REF!</v>
      </c>
      <c r="AC38" s="11" t="e">
        <f>LEFT('REPORTS PER EVALUATOR'!#REF!,1)</f>
        <v>#REF!</v>
      </c>
      <c r="AD38" s="93" t="e">
        <f>(RIGHT('REPORTS PER EVALUATOR'!#REF!,1))*1</f>
        <v>#REF!</v>
      </c>
      <c r="AE38" s="11" t="e">
        <f>LEFT('REPORTS PER EVALUATOR'!#REF!,1)</f>
        <v>#REF!</v>
      </c>
      <c r="AF38" s="93" t="e">
        <f>(RIGHT('REPORTS PER EVALUATOR'!#REF!,1))*1</f>
        <v>#REF!</v>
      </c>
      <c r="AG38" s="11" t="e">
        <f>LEFT('REPORTS PER EVALUATOR'!#REF!,1)</f>
        <v>#REF!</v>
      </c>
      <c r="AH38" s="93" t="e">
        <f>(RIGHT('REPORTS PER EVALUATOR'!#REF!,1))*1</f>
        <v>#REF!</v>
      </c>
      <c r="AI38" s="11" t="e">
        <f>LEFT('REPORTS PER EVALUATOR'!#REF!,1)</f>
        <v>#REF!</v>
      </c>
      <c r="AJ38" s="93" t="e">
        <f>(RIGHT('REPORTS PER EVALUATOR'!#REF!,1))*1</f>
        <v>#REF!</v>
      </c>
      <c r="AK38" s="11" t="e">
        <f>LEFT('REPORTS PER EVALUATOR'!#REF!,1)</f>
        <v>#REF!</v>
      </c>
      <c r="AL38" s="93" t="e">
        <f>(RIGHT('REPORTS PER EVALUATOR'!#REF!,1))*1</f>
        <v>#REF!</v>
      </c>
      <c r="AM38" s="11" t="e">
        <f>LEFT('REPORTS PER EVALUATOR'!#REF!,1)</f>
        <v>#REF!</v>
      </c>
      <c r="AN38" s="93" t="e">
        <f>(RIGHT('REPORTS PER EVALUATOR'!#REF!,1))*1</f>
        <v>#REF!</v>
      </c>
      <c r="AO38" s="11" t="e">
        <f>LEFT('REPORTS PER EVALUATOR'!#REF!,1)</f>
        <v>#REF!</v>
      </c>
      <c r="AP38" s="93" t="e">
        <f>(RIGHT('REPORTS PER EVALUATOR'!#REF!,1))*1</f>
        <v>#REF!</v>
      </c>
      <c r="AQ38" s="11" t="e">
        <f>LEFT('REPORTS PER EVALUATOR'!#REF!,1)</f>
        <v>#REF!</v>
      </c>
      <c r="AR38" s="93" t="e">
        <f>(RIGHT('REPORTS PER EVALUATOR'!#REF!,1))*1</f>
        <v>#REF!</v>
      </c>
    </row>
    <row r="39" spans="2:44" x14ac:dyDescent="0.2">
      <c r="B39" s="19" t="str">
        <f t="shared" si="1"/>
        <v>E</v>
      </c>
      <c r="C39" s="18" t="str">
        <f t="shared" si="0"/>
        <v>I</v>
      </c>
      <c r="D39" s="18" t="s">
        <v>44</v>
      </c>
      <c r="E39" s="26" t="str">
        <f>LEFT('REPORTS PER EVALUATOR'!$R$9,1)</f>
        <v>1</v>
      </c>
      <c r="F39" s="74">
        <f>(RIGHT('REPORTS PER EVALUATOR'!$R$9,1))*1</f>
        <v>1</v>
      </c>
      <c r="G39" s="11" t="str">
        <f>LEFT('REPORTS PER EVALUATOR'!$R$21,1)</f>
        <v>E</v>
      </c>
      <c r="H39" s="82">
        <f>(RIGHT('REPORTS PER EVALUATOR'!$R$21,1))*1</f>
        <v>4</v>
      </c>
      <c r="I39" s="11" t="str">
        <f>LEFT('REPORTS PER EVALUATOR'!$R$33,1)</f>
        <v>I</v>
      </c>
      <c r="J39" s="82">
        <f>(RIGHT('REPORTS PER EVALUATOR'!$R$33,1))*1</f>
        <v>2</v>
      </c>
      <c r="K39" s="11" t="str">
        <f>LEFT('REPORTS PER EVALUATOR'!$R$45,1)</f>
        <v>E</v>
      </c>
      <c r="L39" s="82">
        <f>(RIGHT('REPORTS PER EVALUATOR'!$R$45,1))*1</f>
        <v>2</v>
      </c>
      <c r="M39" s="11" t="str">
        <f>LEFT('REPORTS PER EVALUATOR'!$R$57,1)</f>
        <v>1</v>
      </c>
      <c r="N39" s="82">
        <f>(RIGHT('REPORTS PER EVALUATOR'!$R$57,1))*1</f>
        <v>1</v>
      </c>
      <c r="O39" s="11" t="str">
        <f>LEFT('REPORTS PER EVALUATOR'!$R$69,1)</f>
        <v>1</v>
      </c>
      <c r="P39" s="82">
        <f>(RIGHT('REPORTS PER EVALUATOR'!$R$69,1))*1</f>
        <v>1</v>
      </c>
      <c r="Q39" s="11" t="str">
        <f>LEFT('REPORTS PER EVALUATOR'!$R$81,1)</f>
        <v>E</v>
      </c>
      <c r="R39" s="82">
        <f>(RIGHT('REPORTS PER EVALUATOR'!$R$81,1))*1</f>
        <v>5</v>
      </c>
      <c r="S39" s="11" t="str">
        <f>LEFT('REPORTS PER EVALUATOR'!$R$93,1)</f>
        <v>E</v>
      </c>
      <c r="T39" s="82">
        <f>(RIGHT('REPORTS PER EVALUATOR'!$R$93,1))*1</f>
        <v>2</v>
      </c>
      <c r="U39" s="11" t="str">
        <f>LEFT('REPORTS PER EVALUATOR'!$R$105,1)</f>
        <v>E</v>
      </c>
      <c r="V39" s="82">
        <f>(RIGHT('REPORTS PER EVALUATOR'!$R$105,1))*1</f>
        <v>3</v>
      </c>
      <c r="W39" s="11" t="str">
        <f>LEFT('REPORTS PER EVALUATOR'!$R$117,1)</f>
        <v>1</v>
      </c>
      <c r="X39" s="82">
        <f>(RIGHT('REPORTS PER EVALUATOR'!$R$117,1))*1</f>
        <v>1</v>
      </c>
      <c r="Y39" s="11" t="str">
        <f>LEFT('REPORTS PER EVALUATOR'!$R$129,1)</f>
        <v>E</v>
      </c>
      <c r="Z39" s="93">
        <f>(RIGHT('REPORTS PER EVALUATOR'!$R$129,1))*1</f>
        <v>2</v>
      </c>
      <c r="AA39" s="11" t="e">
        <f>LEFT('REPORTS PER EVALUATOR'!#REF!,1)</f>
        <v>#REF!</v>
      </c>
      <c r="AB39" s="93" t="e">
        <f>(RIGHT('REPORTS PER EVALUATOR'!#REF!,1))*1</f>
        <v>#REF!</v>
      </c>
      <c r="AC39" s="11" t="e">
        <f>LEFT('REPORTS PER EVALUATOR'!#REF!,1)</f>
        <v>#REF!</v>
      </c>
      <c r="AD39" s="93" t="e">
        <f>(RIGHT('REPORTS PER EVALUATOR'!#REF!,1))*1</f>
        <v>#REF!</v>
      </c>
      <c r="AE39" s="11" t="e">
        <f>LEFT('REPORTS PER EVALUATOR'!#REF!,1)</f>
        <v>#REF!</v>
      </c>
      <c r="AF39" s="93" t="e">
        <f>(RIGHT('REPORTS PER EVALUATOR'!#REF!,1))*1</f>
        <v>#REF!</v>
      </c>
      <c r="AG39" s="11" t="e">
        <f>LEFT('REPORTS PER EVALUATOR'!#REF!,1)</f>
        <v>#REF!</v>
      </c>
      <c r="AH39" s="93" t="e">
        <f>(RIGHT('REPORTS PER EVALUATOR'!#REF!,1))*1</f>
        <v>#REF!</v>
      </c>
      <c r="AI39" s="11" t="e">
        <f>LEFT('REPORTS PER EVALUATOR'!#REF!,1)</f>
        <v>#REF!</v>
      </c>
      <c r="AJ39" s="93" t="e">
        <f>(RIGHT('REPORTS PER EVALUATOR'!#REF!,1))*1</f>
        <v>#REF!</v>
      </c>
      <c r="AK39" s="11" t="e">
        <f>LEFT('REPORTS PER EVALUATOR'!#REF!,1)</f>
        <v>#REF!</v>
      </c>
      <c r="AL39" s="93" t="e">
        <f>(RIGHT('REPORTS PER EVALUATOR'!#REF!,1))*1</f>
        <v>#REF!</v>
      </c>
      <c r="AM39" s="11" t="e">
        <f>LEFT('REPORTS PER EVALUATOR'!#REF!,1)</f>
        <v>#REF!</v>
      </c>
      <c r="AN39" s="93" t="e">
        <f>(RIGHT('REPORTS PER EVALUATOR'!#REF!,1))*1</f>
        <v>#REF!</v>
      </c>
      <c r="AO39" s="11" t="e">
        <f>LEFT('REPORTS PER EVALUATOR'!#REF!,1)</f>
        <v>#REF!</v>
      </c>
      <c r="AP39" s="93" t="e">
        <f>(RIGHT('REPORTS PER EVALUATOR'!#REF!,1))*1</f>
        <v>#REF!</v>
      </c>
      <c r="AQ39" s="11" t="e">
        <f>LEFT('REPORTS PER EVALUATOR'!#REF!,1)</f>
        <v>#REF!</v>
      </c>
      <c r="AR39" s="93" t="e">
        <f>(RIGHT('REPORTS PER EVALUATOR'!#REF!,1))*1</f>
        <v>#REF!</v>
      </c>
    </row>
    <row r="40" spans="2:44" x14ac:dyDescent="0.2">
      <c r="B40" s="19" t="str">
        <f t="shared" si="1"/>
        <v>E</v>
      </c>
      <c r="C40" s="18" t="str">
        <f t="shared" si="0"/>
        <v>L</v>
      </c>
      <c r="D40" s="18" t="s">
        <v>45</v>
      </c>
      <c r="E40" s="26" t="str">
        <f>LEFT('REPORTS PER EVALUATOR'!$S$9,1)</f>
        <v>E</v>
      </c>
      <c r="F40" s="74">
        <f>(RIGHT('REPORTS PER EVALUATOR'!$S$9,1))*1</f>
        <v>4</v>
      </c>
      <c r="G40" s="11" t="str">
        <f>LEFT('REPORTS PER EVALUATOR'!$S$21,1)</f>
        <v>E</v>
      </c>
      <c r="H40" s="82">
        <f>(RIGHT('REPORTS PER EVALUATOR'!$S$21,1))*1</f>
        <v>3</v>
      </c>
      <c r="I40" s="11" t="str">
        <f>LEFT('REPORTS PER EVALUATOR'!$S$33,1)</f>
        <v>E</v>
      </c>
      <c r="J40" s="82">
        <f>(RIGHT('REPORTS PER EVALUATOR'!$S$33,1))*1</f>
        <v>3</v>
      </c>
      <c r="K40" s="11" t="str">
        <f>LEFT('REPORTS PER EVALUATOR'!$S$45,1)</f>
        <v>E</v>
      </c>
      <c r="L40" s="82">
        <f>(RIGHT('REPORTS PER EVALUATOR'!$S$45,1))*1</f>
        <v>2</v>
      </c>
      <c r="M40" s="11" t="str">
        <f>LEFT('REPORTS PER EVALUATOR'!$S$57,1)</f>
        <v>E</v>
      </c>
      <c r="N40" s="82">
        <f>(RIGHT('REPORTS PER EVALUATOR'!$S$57,1))*1</f>
        <v>3</v>
      </c>
      <c r="O40" s="11" t="str">
        <f>LEFT('REPORTS PER EVALUATOR'!$S$69,1)</f>
        <v>L</v>
      </c>
      <c r="P40" s="82">
        <f>(RIGHT('REPORTS PER EVALUATOR'!$S$69,1))*1</f>
        <v>2</v>
      </c>
      <c r="Q40" s="11" t="str">
        <f>LEFT('REPORTS PER EVALUATOR'!$S$81,1)</f>
        <v>E</v>
      </c>
      <c r="R40" s="82">
        <f>(RIGHT('REPORTS PER EVALUATOR'!$S$81,1))*1</f>
        <v>4</v>
      </c>
      <c r="S40" s="11" t="str">
        <f>LEFT('REPORTS PER EVALUATOR'!$S$93,1)</f>
        <v>E</v>
      </c>
      <c r="T40" s="82">
        <f>(RIGHT('REPORTS PER EVALUATOR'!$S$93,1))*1</f>
        <v>2</v>
      </c>
      <c r="U40" s="11" t="str">
        <f>LEFT('REPORTS PER EVALUATOR'!$S$105,1)</f>
        <v>E</v>
      </c>
      <c r="V40" s="82">
        <f>(RIGHT('REPORTS PER EVALUATOR'!$S$105,1))*1</f>
        <v>3</v>
      </c>
      <c r="W40" s="11" t="str">
        <f>LEFT('REPORTS PER EVALUATOR'!$S$117,1)</f>
        <v>E</v>
      </c>
      <c r="X40" s="82">
        <f>(RIGHT('REPORTS PER EVALUATOR'!$S$117,1))*1</f>
        <v>3</v>
      </c>
      <c r="Y40" s="11" t="str">
        <f>LEFT('REPORTS PER EVALUATOR'!$S$129,1)</f>
        <v>E</v>
      </c>
      <c r="Z40" s="93">
        <f>(RIGHT('REPORTS PER EVALUATOR'!$S$129,1))*1</f>
        <v>3</v>
      </c>
      <c r="AA40" s="11" t="e">
        <f>LEFT('REPORTS PER EVALUATOR'!#REF!,1)</f>
        <v>#REF!</v>
      </c>
      <c r="AB40" s="93" t="e">
        <f>(RIGHT('REPORTS PER EVALUATOR'!#REF!,1))*1</f>
        <v>#REF!</v>
      </c>
      <c r="AC40" s="11" t="e">
        <f>LEFT('REPORTS PER EVALUATOR'!#REF!,1)</f>
        <v>#REF!</v>
      </c>
      <c r="AD40" s="93" t="e">
        <f>(RIGHT('REPORTS PER EVALUATOR'!#REF!,1))*1</f>
        <v>#REF!</v>
      </c>
      <c r="AE40" s="11" t="e">
        <f>LEFT('REPORTS PER EVALUATOR'!#REF!,1)</f>
        <v>#REF!</v>
      </c>
      <c r="AF40" s="93" t="e">
        <f>(RIGHT('REPORTS PER EVALUATOR'!#REF!,1))*1</f>
        <v>#REF!</v>
      </c>
      <c r="AG40" s="11" t="e">
        <f>LEFT('REPORTS PER EVALUATOR'!#REF!,1)</f>
        <v>#REF!</v>
      </c>
      <c r="AH40" s="93" t="e">
        <f>(RIGHT('REPORTS PER EVALUATOR'!#REF!,1))*1</f>
        <v>#REF!</v>
      </c>
      <c r="AI40" s="11" t="e">
        <f>LEFT('REPORTS PER EVALUATOR'!#REF!,1)</f>
        <v>#REF!</v>
      </c>
      <c r="AJ40" s="93" t="e">
        <f>(RIGHT('REPORTS PER EVALUATOR'!#REF!,1))*1</f>
        <v>#REF!</v>
      </c>
      <c r="AK40" s="11" t="e">
        <f>LEFT('REPORTS PER EVALUATOR'!#REF!,1)</f>
        <v>#REF!</v>
      </c>
      <c r="AL40" s="93" t="e">
        <f>(RIGHT('REPORTS PER EVALUATOR'!#REF!,1))*1</f>
        <v>#REF!</v>
      </c>
      <c r="AM40" s="11" t="e">
        <f>LEFT('REPORTS PER EVALUATOR'!#REF!,1)</f>
        <v>#REF!</v>
      </c>
      <c r="AN40" s="93" t="e">
        <f>(RIGHT('REPORTS PER EVALUATOR'!#REF!,1))*1</f>
        <v>#REF!</v>
      </c>
      <c r="AO40" s="11" t="e">
        <f>LEFT('REPORTS PER EVALUATOR'!#REF!,1)</f>
        <v>#REF!</v>
      </c>
      <c r="AP40" s="93" t="e">
        <f>(RIGHT('REPORTS PER EVALUATOR'!#REF!,1))*1</f>
        <v>#REF!</v>
      </c>
      <c r="AQ40" s="11" t="e">
        <f>LEFT('REPORTS PER EVALUATOR'!#REF!,1)</f>
        <v>#REF!</v>
      </c>
      <c r="AR40" s="93" t="e">
        <f>(RIGHT('REPORTS PER EVALUATOR'!#REF!,1))*1</f>
        <v>#REF!</v>
      </c>
    </row>
    <row r="41" spans="2:44" x14ac:dyDescent="0.2">
      <c r="B41" s="19" t="str">
        <f t="shared" si="1"/>
        <v>E</v>
      </c>
      <c r="C41" s="18" t="str">
        <f t="shared" si="0"/>
        <v>M</v>
      </c>
      <c r="D41" s="18" t="s">
        <v>161</v>
      </c>
      <c r="E41" s="26" t="str">
        <f>LEFT('REPORTS PER EVALUATOR'!$T$9,1)</f>
        <v/>
      </c>
      <c r="F41" s="74" t="e">
        <f>(RIGHT('REPORTS PER EVALUATOR'!$T$9,1))*1</f>
        <v>#VALUE!</v>
      </c>
      <c r="G41" s="11" t="str">
        <f>LEFT('REPORTS PER EVALUATOR'!$T$21,1)</f>
        <v/>
      </c>
      <c r="H41" s="82" t="e">
        <f>(RIGHT('REPORTS PER EVALUATOR'!$T$21,1))*1</f>
        <v>#VALUE!</v>
      </c>
      <c r="I41" s="11" t="str">
        <f>LEFT('REPORTS PER EVALUATOR'!$T$33,1)</f>
        <v/>
      </c>
      <c r="J41" s="82" t="e">
        <f>(RIGHT('REPORTS PER EVALUATOR'!$T$33,1))*1</f>
        <v>#VALUE!</v>
      </c>
      <c r="K41" s="11" t="str">
        <f>LEFT('REPORTS PER EVALUATOR'!$T$45,1)</f>
        <v/>
      </c>
      <c r="L41" s="82" t="e">
        <f>(RIGHT('REPORTS PER EVALUATOR'!$T$45,1))*1</f>
        <v>#VALUE!</v>
      </c>
      <c r="M41" s="11" t="str">
        <f>LEFT('REPORTS PER EVALUATOR'!$T$57,1)</f>
        <v/>
      </c>
      <c r="N41" s="82" t="e">
        <f>(RIGHT('REPORTS PER EVALUATOR'!$T$57,1))*1</f>
        <v>#VALUE!</v>
      </c>
      <c r="O41" s="11" t="str">
        <f>LEFT('REPORTS PER EVALUATOR'!$T$69,1)</f>
        <v/>
      </c>
      <c r="P41" s="82" t="e">
        <f>(RIGHT('REPORTS PER EVALUATOR'!$T$69,1))*1</f>
        <v>#VALUE!</v>
      </c>
      <c r="Q41" s="11" t="str">
        <f>LEFT('REPORTS PER EVALUATOR'!$T$81,1)</f>
        <v/>
      </c>
      <c r="R41" s="82" t="e">
        <f>(RIGHT('REPORTS PER EVALUATOR'!$T$81,1))*1</f>
        <v>#VALUE!</v>
      </c>
      <c r="S41" s="11" t="str">
        <f>LEFT('REPORTS PER EVALUATOR'!$T$93,1)</f>
        <v/>
      </c>
      <c r="T41" s="82" t="e">
        <f>(RIGHT('REPORTS PER EVALUATOR'!$T$93,1))*1</f>
        <v>#VALUE!</v>
      </c>
      <c r="U41" s="11" t="str">
        <f>LEFT('REPORTS PER EVALUATOR'!$T$105,1)</f>
        <v/>
      </c>
      <c r="V41" s="82" t="e">
        <f>(RIGHT('REPORTS PER EVALUATOR'!$T$105,1))*1</f>
        <v>#VALUE!</v>
      </c>
      <c r="W41" s="11" t="str">
        <f>LEFT('REPORTS PER EVALUATOR'!$T$117,1)</f>
        <v/>
      </c>
      <c r="X41" s="82" t="e">
        <f>(RIGHT('REPORTS PER EVALUATOR'!$T$117,1))*1</f>
        <v>#VALUE!</v>
      </c>
      <c r="Y41" s="11" t="str">
        <f>LEFT('REPORTS PER EVALUATOR'!$T$129,1)</f>
        <v/>
      </c>
      <c r="Z41" s="93" t="e">
        <f>(RIGHT('REPORTS PER EVALUATOR'!$T$129,1))*1</f>
        <v>#VALUE!</v>
      </c>
      <c r="AA41" s="11" t="e">
        <f>LEFT('REPORTS PER EVALUATOR'!#REF!,1)</f>
        <v>#REF!</v>
      </c>
      <c r="AB41" s="93" t="e">
        <f>(RIGHT('REPORTS PER EVALUATOR'!#REF!,1))*1</f>
        <v>#REF!</v>
      </c>
      <c r="AC41" s="11" t="e">
        <f>LEFT('REPORTS PER EVALUATOR'!#REF!,1)</f>
        <v>#REF!</v>
      </c>
      <c r="AD41" s="93" t="e">
        <f>(RIGHT('REPORTS PER EVALUATOR'!#REF!,1))*1</f>
        <v>#REF!</v>
      </c>
      <c r="AE41" s="11" t="e">
        <f>LEFT('REPORTS PER EVALUATOR'!#REF!,1)</f>
        <v>#REF!</v>
      </c>
      <c r="AF41" s="93" t="e">
        <f>(RIGHT('REPORTS PER EVALUATOR'!#REF!,1))*1</f>
        <v>#REF!</v>
      </c>
      <c r="AG41" s="11" t="e">
        <f>LEFT('REPORTS PER EVALUATOR'!#REF!,1)</f>
        <v>#REF!</v>
      </c>
      <c r="AH41" s="93" t="e">
        <f>(RIGHT('REPORTS PER EVALUATOR'!#REF!,1))*1</f>
        <v>#REF!</v>
      </c>
      <c r="AI41" s="11" t="e">
        <f>LEFT('REPORTS PER EVALUATOR'!#REF!,1)</f>
        <v>#REF!</v>
      </c>
      <c r="AJ41" s="93" t="e">
        <f>(RIGHT('REPORTS PER EVALUATOR'!#REF!,1))*1</f>
        <v>#REF!</v>
      </c>
      <c r="AK41" s="11" t="e">
        <f>LEFT('REPORTS PER EVALUATOR'!#REF!,1)</f>
        <v>#REF!</v>
      </c>
      <c r="AL41" s="93" t="e">
        <f>(RIGHT('REPORTS PER EVALUATOR'!#REF!,1))*1</f>
        <v>#REF!</v>
      </c>
      <c r="AM41" s="11" t="e">
        <f>LEFT('REPORTS PER EVALUATOR'!#REF!,1)</f>
        <v>#REF!</v>
      </c>
      <c r="AN41" s="93" t="e">
        <f>(RIGHT('REPORTS PER EVALUATOR'!#REF!,1))*1</f>
        <v>#REF!</v>
      </c>
      <c r="AO41" s="11" t="e">
        <f>LEFT('REPORTS PER EVALUATOR'!#REF!,1)</f>
        <v>#REF!</v>
      </c>
      <c r="AP41" s="93" t="e">
        <f>(RIGHT('REPORTS PER EVALUATOR'!#REF!,1))*1</f>
        <v>#REF!</v>
      </c>
      <c r="AQ41" s="11" t="e">
        <f>LEFT('REPORTS PER EVALUATOR'!#REF!,1)</f>
        <v>#REF!</v>
      </c>
      <c r="AR41" s="93" t="e">
        <f>(RIGHT('REPORTS PER EVALUATOR'!#REF!,1))*1</f>
        <v>#REF!</v>
      </c>
    </row>
    <row r="42" spans="2:44" x14ac:dyDescent="0.2">
      <c r="B42" s="19" t="str">
        <f t="shared" si="1"/>
        <v>F</v>
      </c>
      <c r="C42" s="18" t="str">
        <f t="shared" si="0"/>
        <v>G</v>
      </c>
      <c r="D42" s="18" t="s">
        <v>46</v>
      </c>
      <c r="E42" s="58" t="str">
        <f>LEFT('REPORTS PER EVALUATOR'!$P$10,1)</f>
        <v>F</v>
      </c>
      <c r="F42" s="73">
        <f>(RIGHT('REPORTS PER EVALUATOR'!$P$10,1))*1</f>
        <v>2</v>
      </c>
      <c r="G42" s="58" t="str">
        <f>LEFT('REPORTS PER EVALUATOR'!$P$22,1)</f>
        <v>F</v>
      </c>
      <c r="H42" s="81">
        <f>(RIGHT('REPORTS PER EVALUATOR'!$P$22,1))*1</f>
        <v>2</v>
      </c>
      <c r="I42" s="58" t="str">
        <f>LEFT('REPORTS PER EVALUATOR'!$P$34,1)</f>
        <v>F</v>
      </c>
      <c r="J42" s="81">
        <f>(RIGHT('REPORTS PER EVALUATOR'!$P$34,1))*1</f>
        <v>2</v>
      </c>
      <c r="K42" s="58" t="str">
        <f>LEFT('REPORTS PER EVALUATOR'!$P$46,1)</f>
        <v>F</v>
      </c>
      <c r="L42" s="81">
        <f>(RIGHT('REPORTS PER EVALUATOR'!$P$46,1))*1</f>
        <v>3</v>
      </c>
      <c r="M42" s="58" t="str">
        <f>LEFT('REPORTS PER EVALUATOR'!$P$58,1)</f>
        <v>F</v>
      </c>
      <c r="N42" s="81">
        <f>(RIGHT('REPORTS PER EVALUATOR'!$P$58,1))*1</f>
        <v>2</v>
      </c>
      <c r="O42" s="58" t="str">
        <f>LEFT('REPORTS PER EVALUATOR'!$P$70,1)</f>
        <v>F</v>
      </c>
      <c r="P42" s="81">
        <f>(RIGHT('REPORTS PER EVALUATOR'!$P$70,1))*1</f>
        <v>2</v>
      </c>
      <c r="Q42" s="58" t="str">
        <f>LEFT('REPORTS PER EVALUATOR'!$P$82,1)</f>
        <v>F</v>
      </c>
      <c r="R42" s="81">
        <f>(RIGHT('REPORTS PER EVALUATOR'!$P$82,1))*1</f>
        <v>2</v>
      </c>
      <c r="S42" s="58" t="str">
        <f>LEFT('REPORTS PER EVALUATOR'!$P$94,1)</f>
        <v>F</v>
      </c>
      <c r="T42" s="81">
        <f>(RIGHT('REPORTS PER EVALUATOR'!$P$94,1))*1</f>
        <v>6</v>
      </c>
      <c r="U42" s="58" t="str">
        <f>LEFT('REPORTS PER EVALUATOR'!$P$106,1)</f>
        <v>F</v>
      </c>
      <c r="V42" s="81">
        <f>(RIGHT('REPORTS PER EVALUATOR'!$P$106,1))*1</f>
        <v>3</v>
      </c>
      <c r="W42" s="58" t="str">
        <f>LEFT('REPORTS PER EVALUATOR'!$P$118,1)</f>
        <v>F</v>
      </c>
      <c r="X42" s="81">
        <f>(RIGHT('REPORTS PER EVALUATOR'!$P$118,1))*1</f>
        <v>2</v>
      </c>
      <c r="Y42" s="58" t="str">
        <f>LEFT('REPORTS PER EVALUATOR'!$P$130,1)</f>
        <v>F</v>
      </c>
      <c r="Z42" s="94">
        <f>(RIGHT('REPORTS PER EVALUATOR'!$P$130,1))*1</f>
        <v>5</v>
      </c>
      <c r="AA42" s="58" t="e">
        <f>LEFT('REPORTS PER EVALUATOR'!#REF!,1)</f>
        <v>#REF!</v>
      </c>
      <c r="AB42" s="94" t="e">
        <f>(RIGHT('REPORTS PER EVALUATOR'!#REF!,1))*1</f>
        <v>#REF!</v>
      </c>
      <c r="AC42" s="58" t="e">
        <f>LEFT('REPORTS PER EVALUATOR'!#REF!,1)</f>
        <v>#REF!</v>
      </c>
      <c r="AD42" s="94" t="e">
        <f>(RIGHT('REPORTS PER EVALUATOR'!#REF!,1))*1</f>
        <v>#REF!</v>
      </c>
      <c r="AE42" s="58" t="e">
        <f>LEFT('REPORTS PER EVALUATOR'!#REF!,1)</f>
        <v>#REF!</v>
      </c>
      <c r="AF42" s="94" t="e">
        <f>(RIGHT('REPORTS PER EVALUATOR'!#REF!,1))*1</f>
        <v>#REF!</v>
      </c>
      <c r="AG42" s="58" t="e">
        <f>LEFT('REPORTS PER EVALUATOR'!#REF!,1)</f>
        <v>#REF!</v>
      </c>
      <c r="AH42" s="94" t="e">
        <f>(RIGHT('REPORTS PER EVALUATOR'!#REF!,1))*1</f>
        <v>#REF!</v>
      </c>
      <c r="AI42" s="58" t="e">
        <f>LEFT('REPORTS PER EVALUATOR'!#REF!,1)</f>
        <v>#REF!</v>
      </c>
      <c r="AJ42" s="94" t="e">
        <f>(RIGHT('REPORTS PER EVALUATOR'!#REF!,1))*1</f>
        <v>#REF!</v>
      </c>
      <c r="AK42" s="58" t="e">
        <f>LEFT('REPORTS PER EVALUATOR'!#REF!,1)</f>
        <v>#REF!</v>
      </c>
      <c r="AL42" s="94" t="e">
        <f>(RIGHT('REPORTS PER EVALUATOR'!#REF!,1))*1</f>
        <v>#REF!</v>
      </c>
      <c r="AM42" s="58" t="e">
        <f>LEFT('REPORTS PER EVALUATOR'!#REF!,1)</f>
        <v>#REF!</v>
      </c>
      <c r="AN42" s="94" t="e">
        <f>(RIGHT('REPORTS PER EVALUATOR'!#REF!,1))*1</f>
        <v>#REF!</v>
      </c>
      <c r="AO42" s="58" t="e">
        <f>LEFT('REPORTS PER EVALUATOR'!#REF!,1)</f>
        <v>#REF!</v>
      </c>
      <c r="AP42" s="94" t="e">
        <f>(RIGHT('REPORTS PER EVALUATOR'!#REF!,1))*1</f>
        <v>#REF!</v>
      </c>
      <c r="AQ42" s="58" t="e">
        <f>LEFT('REPORTS PER EVALUATOR'!#REF!,1)</f>
        <v>#REF!</v>
      </c>
      <c r="AR42" s="94" t="e">
        <f>(RIGHT('REPORTS PER EVALUATOR'!#REF!,1))*1</f>
        <v>#REF!</v>
      </c>
    </row>
    <row r="43" spans="2:44" x14ac:dyDescent="0.2">
      <c r="B43" s="19" t="str">
        <f t="shared" si="1"/>
        <v>F</v>
      </c>
      <c r="C43" s="18" t="str">
        <f t="shared" si="0"/>
        <v>H</v>
      </c>
      <c r="D43" s="18" t="s">
        <v>47</v>
      </c>
      <c r="E43" s="26" t="str">
        <f>LEFT('REPORTS PER EVALUATOR'!$Q$10,1)</f>
        <v>H</v>
      </c>
      <c r="F43" s="74">
        <f>(RIGHT('REPORTS PER EVALUATOR'!$Q$10,1))*1</f>
        <v>2</v>
      </c>
      <c r="G43" s="11" t="str">
        <f>LEFT('REPORTS PER EVALUATOR'!$Q$22,1)</f>
        <v>F</v>
      </c>
      <c r="H43" s="82">
        <f>(RIGHT('REPORTS PER EVALUATOR'!$Q$22,1))*1</f>
        <v>3</v>
      </c>
      <c r="I43" s="11" t="str">
        <f>LEFT('REPORTS PER EVALUATOR'!$Q$34,1)</f>
        <v>F</v>
      </c>
      <c r="J43" s="82">
        <f>(RIGHT('REPORTS PER EVALUATOR'!$Q$34,1))*1</f>
        <v>2</v>
      </c>
      <c r="K43" s="11" t="str">
        <f>LEFT('REPORTS PER EVALUATOR'!$Q$46,1)</f>
        <v>F</v>
      </c>
      <c r="L43" s="82">
        <f>(RIGHT('REPORTS PER EVALUATOR'!$Q$46,1))*1</f>
        <v>5</v>
      </c>
      <c r="M43" s="11" t="str">
        <f>LEFT('REPORTS PER EVALUATOR'!$Q$58,1)</f>
        <v>1</v>
      </c>
      <c r="N43" s="82">
        <f>(RIGHT('REPORTS PER EVALUATOR'!$Q$58,1))*1</f>
        <v>1</v>
      </c>
      <c r="O43" s="11" t="str">
        <f>LEFT('REPORTS PER EVALUATOR'!$Q$70,1)</f>
        <v>H</v>
      </c>
      <c r="P43" s="82">
        <f>(RIGHT('REPORTS PER EVALUATOR'!$Q$70,1))*1</f>
        <v>2</v>
      </c>
      <c r="Q43" s="11" t="str">
        <f>LEFT('REPORTS PER EVALUATOR'!$Q$82,1)</f>
        <v>F</v>
      </c>
      <c r="R43" s="82">
        <f>(RIGHT('REPORTS PER EVALUATOR'!$Q$82,1))*1</f>
        <v>2</v>
      </c>
      <c r="S43" s="11" t="str">
        <f>LEFT('REPORTS PER EVALUATOR'!$Q$94,1)</f>
        <v>1</v>
      </c>
      <c r="T43" s="82">
        <f>(RIGHT('REPORTS PER EVALUATOR'!$Q$94,1))*1</f>
        <v>1</v>
      </c>
      <c r="U43" s="11" t="str">
        <f>LEFT('REPORTS PER EVALUATOR'!$Q$106,1)</f>
        <v>H</v>
      </c>
      <c r="V43" s="82">
        <f>(RIGHT('REPORTS PER EVALUATOR'!$Q$106,1))*1</f>
        <v>2</v>
      </c>
      <c r="W43" s="11" t="str">
        <f>LEFT('REPORTS PER EVALUATOR'!$Q$118,1)</f>
        <v>H</v>
      </c>
      <c r="X43" s="82">
        <f>(RIGHT('REPORTS PER EVALUATOR'!$Q$118,1))*1</f>
        <v>2</v>
      </c>
      <c r="Y43" s="11" t="str">
        <f>LEFT('REPORTS PER EVALUATOR'!$Q$130,1)</f>
        <v>F</v>
      </c>
      <c r="Z43" s="93">
        <f>(RIGHT('REPORTS PER EVALUATOR'!$Q$130,1))*1</f>
        <v>3</v>
      </c>
      <c r="AA43" s="11" t="e">
        <f>LEFT('REPORTS PER EVALUATOR'!#REF!,1)</f>
        <v>#REF!</v>
      </c>
      <c r="AB43" s="93" t="e">
        <f>(RIGHT('REPORTS PER EVALUATOR'!#REF!,1))*1</f>
        <v>#REF!</v>
      </c>
      <c r="AC43" s="11" t="e">
        <f>LEFT('REPORTS PER EVALUATOR'!#REF!,1)</f>
        <v>#REF!</v>
      </c>
      <c r="AD43" s="93" t="e">
        <f>(RIGHT('REPORTS PER EVALUATOR'!#REF!,1))*1</f>
        <v>#REF!</v>
      </c>
      <c r="AE43" s="11" t="e">
        <f>LEFT('REPORTS PER EVALUATOR'!#REF!,1)</f>
        <v>#REF!</v>
      </c>
      <c r="AF43" s="93" t="e">
        <f>(RIGHT('REPORTS PER EVALUATOR'!#REF!,1))*1</f>
        <v>#REF!</v>
      </c>
      <c r="AG43" s="11" t="e">
        <f>LEFT('REPORTS PER EVALUATOR'!#REF!,1)</f>
        <v>#REF!</v>
      </c>
      <c r="AH43" s="93" t="e">
        <f>(RIGHT('REPORTS PER EVALUATOR'!#REF!,1))*1</f>
        <v>#REF!</v>
      </c>
      <c r="AI43" s="11" t="e">
        <f>LEFT('REPORTS PER EVALUATOR'!#REF!,1)</f>
        <v>#REF!</v>
      </c>
      <c r="AJ43" s="93" t="e">
        <f>(RIGHT('REPORTS PER EVALUATOR'!#REF!,1))*1</f>
        <v>#REF!</v>
      </c>
      <c r="AK43" s="11" t="e">
        <f>LEFT('REPORTS PER EVALUATOR'!#REF!,1)</f>
        <v>#REF!</v>
      </c>
      <c r="AL43" s="93" t="e">
        <f>(RIGHT('REPORTS PER EVALUATOR'!#REF!,1))*1</f>
        <v>#REF!</v>
      </c>
      <c r="AM43" s="11" t="e">
        <f>LEFT('REPORTS PER EVALUATOR'!#REF!,1)</f>
        <v>#REF!</v>
      </c>
      <c r="AN43" s="93" t="e">
        <f>(RIGHT('REPORTS PER EVALUATOR'!#REF!,1))*1</f>
        <v>#REF!</v>
      </c>
      <c r="AO43" s="11" t="e">
        <f>LEFT('REPORTS PER EVALUATOR'!#REF!,1)</f>
        <v>#REF!</v>
      </c>
      <c r="AP43" s="93" t="e">
        <f>(RIGHT('REPORTS PER EVALUATOR'!#REF!,1))*1</f>
        <v>#REF!</v>
      </c>
      <c r="AQ43" s="11" t="e">
        <f>LEFT('REPORTS PER EVALUATOR'!#REF!,1)</f>
        <v>#REF!</v>
      </c>
      <c r="AR43" s="93" t="e">
        <f>(RIGHT('REPORTS PER EVALUATOR'!#REF!,1))*1</f>
        <v>#REF!</v>
      </c>
    </row>
    <row r="44" spans="2:44" x14ac:dyDescent="0.2">
      <c r="B44" s="19" t="str">
        <f t="shared" si="1"/>
        <v>F</v>
      </c>
      <c r="C44" s="18" t="str">
        <f t="shared" si="0"/>
        <v>I</v>
      </c>
      <c r="D44" s="18" t="s">
        <v>48</v>
      </c>
      <c r="E44" s="26" t="str">
        <f>LEFT('REPORTS PER EVALUATOR'!$R$10,1)</f>
        <v>I</v>
      </c>
      <c r="F44" s="74">
        <f>(RIGHT('REPORTS PER EVALUATOR'!$R$10,1))*1</f>
        <v>2</v>
      </c>
      <c r="G44" s="11" t="str">
        <f>LEFT('REPORTS PER EVALUATOR'!$R$22,1)</f>
        <v>F</v>
      </c>
      <c r="H44" s="82">
        <f>(RIGHT('REPORTS PER EVALUATOR'!$R$22,1))*1</f>
        <v>3</v>
      </c>
      <c r="I44" s="11" t="str">
        <f>LEFT('REPORTS PER EVALUATOR'!$R$34,1)</f>
        <v>I</v>
      </c>
      <c r="J44" s="82">
        <f>(RIGHT('REPORTS PER EVALUATOR'!$R$34,1))*1</f>
        <v>3</v>
      </c>
      <c r="K44" s="11" t="str">
        <f>LEFT('REPORTS PER EVALUATOR'!$R$46,1)</f>
        <v>F</v>
      </c>
      <c r="L44" s="82">
        <f>(RIGHT('REPORTS PER EVALUATOR'!$R$46,1))*1</f>
        <v>4</v>
      </c>
      <c r="M44" s="11" t="str">
        <f>LEFT('REPORTS PER EVALUATOR'!$R$58,1)</f>
        <v>I</v>
      </c>
      <c r="N44" s="82">
        <f>(RIGHT('REPORTS PER EVALUATOR'!$R$58,1))*1</f>
        <v>2</v>
      </c>
      <c r="O44" s="11" t="str">
        <f>LEFT('REPORTS PER EVALUATOR'!$R$70,1)</f>
        <v>1</v>
      </c>
      <c r="P44" s="82">
        <f>(RIGHT('REPORTS PER EVALUATOR'!$R$70,1))*1</f>
        <v>1</v>
      </c>
      <c r="Q44" s="11" t="str">
        <f>LEFT('REPORTS PER EVALUATOR'!$R$82,1)</f>
        <v>F</v>
      </c>
      <c r="R44" s="82">
        <f>(RIGHT('REPORTS PER EVALUATOR'!$R$82,1))*1</f>
        <v>2</v>
      </c>
      <c r="S44" s="11" t="str">
        <f>LEFT('REPORTS PER EVALUATOR'!$R$94,1)</f>
        <v>F</v>
      </c>
      <c r="T44" s="82">
        <f>(RIGHT('REPORTS PER EVALUATOR'!$R$94,1))*1</f>
        <v>2</v>
      </c>
      <c r="U44" s="11" t="str">
        <f>LEFT('REPORTS PER EVALUATOR'!$R$106,1)</f>
        <v>F</v>
      </c>
      <c r="V44" s="82">
        <f>(RIGHT('REPORTS PER EVALUATOR'!$R$106,1))*1</f>
        <v>4</v>
      </c>
      <c r="W44" s="11" t="str">
        <f>LEFT('REPORTS PER EVALUATOR'!$R$118,1)</f>
        <v>I</v>
      </c>
      <c r="X44" s="82">
        <f>(RIGHT('REPORTS PER EVALUATOR'!$R$118,1))*1</f>
        <v>2</v>
      </c>
      <c r="Y44" s="11" t="str">
        <f>LEFT('REPORTS PER EVALUATOR'!$R$130,1)</f>
        <v>F</v>
      </c>
      <c r="Z44" s="93">
        <f>(RIGHT('REPORTS PER EVALUATOR'!$R$130,1))*1</f>
        <v>3</v>
      </c>
      <c r="AA44" s="11" t="e">
        <f>LEFT('REPORTS PER EVALUATOR'!#REF!,1)</f>
        <v>#REF!</v>
      </c>
      <c r="AB44" s="93" t="e">
        <f>(RIGHT('REPORTS PER EVALUATOR'!#REF!,1))*1</f>
        <v>#REF!</v>
      </c>
      <c r="AC44" s="11" t="e">
        <f>LEFT('REPORTS PER EVALUATOR'!#REF!,1)</f>
        <v>#REF!</v>
      </c>
      <c r="AD44" s="93" t="e">
        <f>(RIGHT('REPORTS PER EVALUATOR'!#REF!,1))*1</f>
        <v>#REF!</v>
      </c>
      <c r="AE44" s="11" t="e">
        <f>LEFT('REPORTS PER EVALUATOR'!#REF!,1)</f>
        <v>#REF!</v>
      </c>
      <c r="AF44" s="93" t="e">
        <f>(RIGHT('REPORTS PER EVALUATOR'!#REF!,1))*1</f>
        <v>#REF!</v>
      </c>
      <c r="AG44" s="11" t="e">
        <f>LEFT('REPORTS PER EVALUATOR'!#REF!,1)</f>
        <v>#REF!</v>
      </c>
      <c r="AH44" s="93" t="e">
        <f>(RIGHT('REPORTS PER EVALUATOR'!#REF!,1))*1</f>
        <v>#REF!</v>
      </c>
      <c r="AI44" s="11" t="e">
        <f>LEFT('REPORTS PER EVALUATOR'!#REF!,1)</f>
        <v>#REF!</v>
      </c>
      <c r="AJ44" s="93" t="e">
        <f>(RIGHT('REPORTS PER EVALUATOR'!#REF!,1))*1</f>
        <v>#REF!</v>
      </c>
      <c r="AK44" s="11" t="e">
        <f>LEFT('REPORTS PER EVALUATOR'!#REF!,1)</f>
        <v>#REF!</v>
      </c>
      <c r="AL44" s="93" t="e">
        <f>(RIGHT('REPORTS PER EVALUATOR'!#REF!,1))*1</f>
        <v>#REF!</v>
      </c>
      <c r="AM44" s="11" t="e">
        <f>LEFT('REPORTS PER EVALUATOR'!#REF!,1)</f>
        <v>#REF!</v>
      </c>
      <c r="AN44" s="93" t="e">
        <f>(RIGHT('REPORTS PER EVALUATOR'!#REF!,1))*1</f>
        <v>#REF!</v>
      </c>
      <c r="AO44" s="11" t="e">
        <f>LEFT('REPORTS PER EVALUATOR'!#REF!,1)</f>
        <v>#REF!</v>
      </c>
      <c r="AP44" s="93" t="e">
        <f>(RIGHT('REPORTS PER EVALUATOR'!#REF!,1))*1</f>
        <v>#REF!</v>
      </c>
      <c r="AQ44" s="11" t="e">
        <f>LEFT('REPORTS PER EVALUATOR'!#REF!,1)</f>
        <v>#REF!</v>
      </c>
      <c r="AR44" s="93" t="e">
        <f>(RIGHT('REPORTS PER EVALUATOR'!#REF!,1))*1</f>
        <v>#REF!</v>
      </c>
    </row>
    <row r="45" spans="2:44" x14ac:dyDescent="0.2">
      <c r="B45" s="19" t="str">
        <f t="shared" si="1"/>
        <v>F</v>
      </c>
      <c r="C45" s="18" t="str">
        <f t="shared" si="0"/>
        <v>L</v>
      </c>
      <c r="D45" s="18" t="s">
        <v>49</v>
      </c>
      <c r="E45" s="26" t="str">
        <f>LEFT('REPORTS PER EVALUATOR'!$S$10,1)</f>
        <v>F</v>
      </c>
      <c r="F45" s="74">
        <f>(RIGHT('REPORTS PER EVALUATOR'!$S$10,1))*1</f>
        <v>3</v>
      </c>
      <c r="G45" s="11" t="str">
        <f>LEFT('REPORTS PER EVALUATOR'!$S$22,1)</f>
        <v>F</v>
      </c>
      <c r="H45" s="82">
        <f>(RIGHT('REPORTS PER EVALUATOR'!$S$22,1))*1</f>
        <v>2</v>
      </c>
      <c r="I45" s="11" t="str">
        <f>LEFT('REPORTS PER EVALUATOR'!$S$34,1)</f>
        <v>F</v>
      </c>
      <c r="J45" s="82">
        <f>(RIGHT('REPORTS PER EVALUATOR'!$S$34,1))*1</f>
        <v>3</v>
      </c>
      <c r="K45" s="11" t="str">
        <f>LEFT('REPORTS PER EVALUATOR'!$S$46,1)</f>
        <v>F</v>
      </c>
      <c r="L45" s="82">
        <f>(RIGHT('REPORTS PER EVALUATOR'!$S$46,1))*1</f>
        <v>3</v>
      </c>
      <c r="M45" s="11" t="str">
        <f>LEFT('REPORTS PER EVALUATOR'!$S$58,1)</f>
        <v>F</v>
      </c>
      <c r="N45" s="82">
        <f>(RIGHT('REPORTS PER EVALUATOR'!$S$58,1))*1</f>
        <v>2</v>
      </c>
      <c r="O45" s="11" t="str">
        <f>LEFT('REPORTS PER EVALUATOR'!$S$70,1)</f>
        <v>L</v>
      </c>
      <c r="P45" s="82">
        <f>(RIGHT('REPORTS PER EVALUATOR'!$S$70,1))*1</f>
        <v>2</v>
      </c>
      <c r="Q45" s="11" t="str">
        <f>LEFT('REPORTS PER EVALUATOR'!$S$82,1)</f>
        <v>F</v>
      </c>
      <c r="R45" s="82">
        <f>(RIGHT('REPORTS PER EVALUATOR'!$S$82,1))*1</f>
        <v>2</v>
      </c>
      <c r="S45" s="11" t="str">
        <f>LEFT('REPORTS PER EVALUATOR'!$S$94,1)</f>
        <v>F</v>
      </c>
      <c r="T45" s="82">
        <f>(RIGHT('REPORTS PER EVALUATOR'!$S$94,1))*1</f>
        <v>3</v>
      </c>
      <c r="U45" s="11" t="str">
        <f>LEFT('REPORTS PER EVALUATOR'!$S$106,1)</f>
        <v>F</v>
      </c>
      <c r="V45" s="82">
        <f>(RIGHT('REPORTS PER EVALUATOR'!$S$106,1))*1</f>
        <v>3</v>
      </c>
      <c r="W45" s="11" t="str">
        <f>LEFT('REPORTS PER EVALUATOR'!$S$118,1)</f>
        <v>F</v>
      </c>
      <c r="X45" s="82">
        <f>(RIGHT('REPORTS PER EVALUATOR'!$S$118,1))*1</f>
        <v>3</v>
      </c>
      <c r="Y45" s="11" t="str">
        <f>LEFT('REPORTS PER EVALUATOR'!$S$130,1)</f>
        <v>F</v>
      </c>
      <c r="Z45" s="93">
        <f>(RIGHT('REPORTS PER EVALUATOR'!$S$130,1))*1</f>
        <v>5</v>
      </c>
      <c r="AA45" s="11" t="e">
        <f>LEFT('REPORTS PER EVALUATOR'!#REF!,1)</f>
        <v>#REF!</v>
      </c>
      <c r="AB45" s="93" t="e">
        <f>(RIGHT('REPORTS PER EVALUATOR'!#REF!,1))*1</f>
        <v>#REF!</v>
      </c>
      <c r="AC45" s="11" t="e">
        <f>LEFT('REPORTS PER EVALUATOR'!#REF!,1)</f>
        <v>#REF!</v>
      </c>
      <c r="AD45" s="93" t="e">
        <f>(RIGHT('REPORTS PER EVALUATOR'!#REF!,1))*1</f>
        <v>#REF!</v>
      </c>
      <c r="AE45" s="11" t="e">
        <f>LEFT('REPORTS PER EVALUATOR'!#REF!,1)</f>
        <v>#REF!</v>
      </c>
      <c r="AF45" s="93" t="e">
        <f>(RIGHT('REPORTS PER EVALUATOR'!#REF!,1))*1</f>
        <v>#REF!</v>
      </c>
      <c r="AG45" s="11" t="e">
        <f>LEFT('REPORTS PER EVALUATOR'!#REF!,1)</f>
        <v>#REF!</v>
      </c>
      <c r="AH45" s="93" t="e">
        <f>(RIGHT('REPORTS PER EVALUATOR'!#REF!,1))*1</f>
        <v>#REF!</v>
      </c>
      <c r="AI45" s="11" t="e">
        <f>LEFT('REPORTS PER EVALUATOR'!#REF!,1)</f>
        <v>#REF!</v>
      </c>
      <c r="AJ45" s="93" t="e">
        <f>(RIGHT('REPORTS PER EVALUATOR'!#REF!,1))*1</f>
        <v>#REF!</v>
      </c>
      <c r="AK45" s="11" t="e">
        <f>LEFT('REPORTS PER EVALUATOR'!#REF!,1)</f>
        <v>#REF!</v>
      </c>
      <c r="AL45" s="93" t="e">
        <f>(RIGHT('REPORTS PER EVALUATOR'!#REF!,1))*1</f>
        <v>#REF!</v>
      </c>
      <c r="AM45" s="11" t="e">
        <f>LEFT('REPORTS PER EVALUATOR'!#REF!,1)</f>
        <v>#REF!</v>
      </c>
      <c r="AN45" s="93" t="e">
        <f>(RIGHT('REPORTS PER EVALUATOR'!#REF!,1))*1</f>
        <v>#REF!</v>
      </c>
      <c r="AO45" s="11" t="e">
        <f>LEFT('REPORTS PER EVALUATOR'!#REF!,1)</f>
        <v>#REF!</v>
      </c>
      <c r="AP45" s="93" t="e">
        <f>(RIGHT('REPORTS PER EVALUATOR'!#REF!,1))*1</f>
        <v>#REF!</v>
      </c>
      <c r="AQ45" s="11" t="e">
        <f>LEFT('REPORTS PER EVALUATOR'!#REF!,1)</f>
        <v>#REF!</v>
      </c>
      <c r="AR45" s="93" t="e">
        <f>(RIGHT('REPORTS PER EVALUATOR'!#REF!,1))*1</f>
        <v>#REF!</v>
      </c>
    </row>
    <row r="46" spans="2:44" x14ac:dyDescent="0.2">
      <c r="B46" s="19" t="str">
        <f t="shared" si="1"/>
        <v>F</v>
      </c>
      <c r="C46" s="18" t="str">
        <f t="shared" si="0"/>
        <v>M</v>
      </c>
      <c r="D46" s="18" t="s">
        <v>162</v>
      </c>
      <c r="E46" s="26" t="str">
        <f>LEFT('REPORTS PER EVALUATOR'!$T$10,1)</f>
        <v/>
      </c>
      <c r="F46" s="74" t="e">
        <f>(RIGHT('REPORTS PER EVALUATOR'!$T$10,1))*1</f>
        <v>#VALUE!</v>
      </c>
      <c r="G46" s="11" t="str">
        <f>LEFT('REPORTS PER EVALUATOR'!$T$22,1)</f>
        <v/>
      </c>
      <c r="H46" s="82" t="e">
        <f>(RIGHT('REPORTS PER EVALUATOR'!$T$22,1))*1</f>
        <v>#VALUE!</v>
      </c>
      <c r="I46" s="11" t="str">
        <f>LEFT('REPORTS PER EVALUATOR'!$T$34,1)</f>
        <v/>
      </c>
      <c r="J46" s="82" t="e">
        <f>(RIGHT('REPORTS PER EVALUATOR'!$T$34,1))*1</f>
        <v>#VALUE!</v>
      </c>
      <c r="K46" s="11" t="str">
        <f>LEFT('REPORTS PER EVALUATOR'!$T$46,1)</f>
        <v/>
      </c>
      <c r="L46" s="82" t="e">
        <f>(RIGHT('REPORTS PER EVALUATOR'!$T$46,1))*1</f>
        <v>#VALUE!</v>
      </c>
      <c r="M46" s="11" t="str">
        <f>LEFT('REPORTS PER EVALUATOR'!$T$58,1)</f>
        <v/>
      </c>
      <c r="N46" s="82" t="e">
        <f>(RIGHT('REPORTS PER EVALUATOR'!$T$58,1))*1</f>
        <v>#VALUE!</v>
      </c>
      <c r="O46" s="11" t="str">
        <f>LEFT('REPORTS PER EVALUATOR'!$T$70,1)</f>
        <v/>
      </c>
      <c r="P46" s="82" t="e">
        <f>(RIGHT('REPORTS PER EVALUATOR'!$T$70,1))*1</f>
        <v>#VALUE!</v>
      </c>
      <c r="Q46" s="11" t="str">
        <f>LEFT('REPORTS PER EVALUATOR'!$T$82,1)</f>
        <v/>
      </c>
      <c r="R46" s="82" t="e">
        <f>(RIGHT('REPORTS PER EVALUATOR'!$T$82,1))*1</f>
        <v>#VALUE!</v>
      </c>
      <c r="S46" s="11" t="str">
        <f>LEFT('REPORTS PER EVALUATOR'!$T$94,1)</f>
        <v/>
      </c>
      <c r="T46" s="82" t="e">
        <f>(RIGHT('REPORTS PER EVALUATOR'!$T$94,1))*1</f>
        <v>#VALUE!</v>
      </c>
      <c r="U46" s="11" t="str">
        <f>LEFT('REPORTS PER EVALUATOR'!$T$106,1)</f>
        <v/>
      </c>
      <c r="V46" s="82" t="e">
        <f>(RIGHT('REPORTS PER EVALUATOR'!$T$106,1))*1</f>
        <v>#VALUE!</v>
      </c>
      <c r="W46" s="11" t="str">
        <f>LEFT('REPORTS PER EVALUATOR'!$T$118,1)</f>
        <v/>
      </c>
      <c r="X46" s="82" t="e">
        <f>(RIGHT('REPORTS PER EVALUATOR'!$T$118,1))*1</f>
        <v>#VALUE!</v>
      </c>
      <c r="Y46" s="11" t="str">
        <f>LEFT('REPORTS PER EVALUATOR'!$T$130,1)</f>
        <v/>
      </c>
      <c r="Z46" s="93" t="e">
        <f>(RIGHT('REPORTS PER EVALUATOR'!$T$130,1))*1</f>
        <v>#VALUE!</v>
      </c>
      <c r="AA46" s="11" t="e">
        <f>LEFT('REPORTS PER EVALUATOR'!#REF!,1)</f>
        <v>#REF!</v>
      </c>
      <c r="AB46" s="93" t="e">
        <f>(RIGHT('REPORTS PER EVALUATOR'!#REF!,1))*1</f>
        <v>#REF!</v>
      </c>
      <c r="AC46" s="11" t="e">
        <f>LEFT('REPORTS PER EVALUATOR'!#REF!,1)</f>
        <v>#REF!</v>
      </c>
      <c r="AD46" s="93" t="e">
        <f>(RIGHT('REPORTS PER EVALUATOR'!#REF!,1))*1</f>
        <v>#REF!</v>
      </c>
      <c r="AE46" s="11" t="e">
        <f>LEFT('REPORTS PER EVALUATOR'!#REF!,1)</f>
        <v>#REF!</v>
      </c>
      <c r="AF46" s="93" t="e">
        <f>(RIGHT('REPORTS PER EVALUATOR'!#REF!,1))*1</f>
        <v>#REF!</v>
      </c>
      <c r="AG46" s="11" t="e">
        <f>LEFT('REPORTS PER EVALUATOR'!#REF!,1)</f>
        <v>#REF!</v>
      </c>
      <c r="AH46" s="93" t="e">
        <f>(RIGHT('REPORTS PER EVALUATOR'!#REF!,1))*1</f>
        <v>#REF!</v>
      </c>
      <c r="AI46" s="11" t="e">
        <f>LEFT('REPORTS PER EVALUATOR'!#REF!,1)</f>
        <v>#REF!</v>
      </c>
      <c r="AJ46" s="93" t="e">
        <f>(RIGHT('REPORTS PER EVALUATOR'!#REF!,1))*1</f>
        <v>#REF!</v>
      </c>
      <c r="AK46" s="11" t="e">
        <f>LEFT('REPORTS PER EVALUATOR'!#REF!,1)</f>
        <v>#REF!</v>
      </c>
      <c r="AL46" s="93" t="e">
        <f>(RIGHT('REPORTS PER EVALUATOR'!#REF!,1))*1</f>
        <v>#REF!</v>
      </c>
      <c r="AM46" s="11" t="e">
        <f>LEFT('REPORTS PER EVALUATOR'!#REF!,1)</f>
        <v>#REF!</v>
      </c>
      <c r="AN46" s="93" t="e">
        <f>(RIGHT('REPORTS PER EVALUATOR'!#REF!,1))*1</f>
        <v>#REF!</v>
      </c>
      <c r="AO46" s="11" t="e">
        <f>LEFT('REPORTS PER EVALUATOR'!#REF!,1)</f>
        <v>#REF!</v>
      </c>
      <c r="AP46" s="93" t="e">
        <f>(RIGHT('REPORTS PER EVALUATOR'!#REF!,1))*1</f>
        <v>#REF!</v>
      </c>
      <c r="AQ46" s="11" t="e">
        <f>LEFT('REPORTS PER EVALUATOR'!#REF!,1)</f>
        <v>#REF!</v>
      </c>
      <c r="AR46" s="93" t="e">
        <f>(RIGHT('REPORTS PER EVALUATOR'!#REF!,1))*1</f>
        <v>#REF!</v>
      </c>
    </row>
    <row r="47" spans="2:44" x14ac:dyDescent="0.2">
      <c r="B47" s="19" t="str">
        <f t="shared" si="1"/>
        <v>G</v>
      </c>
      <c r="C47" s="18" t="str">
        <f t="shared" si="0"/>
        <v>H</v>
      </c>
      <c r="D47" s="18" t="s">
        <v>50</v>
      </c>
      <c r="E47" s="57" t="str">
        <f>LEFT('REPORTS PER EVALUATOR'!$Q$11,1)</f>
        <v>H</v>
      </c>
      <c r="F47" s="73">
        <f>(RIGHT('REPORTS PER EVALUATOR'!$Q$11,1))*1</f>
        <v>3</v>
      </c>
      <c r="G47" s="58" t="str">
        <f>LEFT('REPORTS PER EVALUATOR'!$Q$23,1)</f>
        <v>G</v>
      </c>
      <c r="H47" s="81">
        <f>(RIGHT('REPORTS PER EVALUATOR'!$Q$23,1))*1</f>
        <v>2</v>
      </c>
      <c r="I47" s="58" t="str">
        <f>LEFT('REPORTS PER EVALUATOR'!$Q$35,1)</f>
        <v>1</v>
      </c>
      <c r="J47" s="81">
        <f>(RIGHT('REPORTS PER EVALUATOR'!$Q$35,1))*1</f>
        <v>1</v>
      </c>
      <c r="K47" s="58" t="str">
        <f>LEFT('REPORTS PER EVALUATOR'!$Q$47,1)</f>
        <v>G</v>
      </c>
      <c r="L47" s="81">
        <f>(RIGHT('REPORTS PER EVALUATOR'!$Q$47,1))*1</f>
        <v>4</v>
      </c>
      <c r="M47" s="58" t="str">
        <f>LEFT('REPORTS PER EVALUATOR'!$Q$59,1)</f>
        <v>H</v>
      </c>
      <c r="N47" s="81">
        <f>(RIGHT('REPORTS PER EVALUATOR'!$Q$59,1))*1</f>
        <v>2</v>
      </c>
      <c r="O47" s="58" t="str">
        <f>LEFT('REPORTS PER EVALUATOR'!$Q$71,1)</f>
        <v>H</v>
      </c>
      <c r="P47" s="81">
        <f>(RIGHT('REPORTS PER EVALUATOR'!$Q$71,1))*1</f>
        <v>3</v>
      </c>
      <c r="Q47" s="58" t="str">
        <f>LEFT('REPORTS PER EVALUATOR'!$Q$83,1)</f>
        <v>G</v>
      </c>
      <c r="R47" s="81">
        <f>(RIGHT('REPORTS PER EVALUATOR'!$Q$83,1))*1</f>
        <v>2</v>
      </c>
      <c r="S47" s="58" t="str">
        <f>LEFT('REPORTS PER EVALUATOR'!$Q$95,1)</f>
        <v>H</v>
      </c>
      <c r="T47" s="81">
        <f>(RIGHT('REPORTS PER EVALUATOR'!$Q$95,1))*1</f>
        <v>6</v>
      </c>
      <c r="U47" s="58" t="str">
        <f>LEFT('REPORTS PER EVALUATOR'!$Q$107,1)</f>
        <v>H</v>
      </c>
      <c r="V47" s="81">
        <f>(RIGHT('REPORTS PER EVALUATOR'!$Q$107,1))*1</f>
        <v>4</v>
      </c>
      <c r="W47" s="58" t="str">
        <f>LEFT('REPORTS PER EVALUATOR'!$Q$119,1)</f>
        <v>H</v>
      </c>
      <c r="X47" s="81">
        <f>(RIGHT('REPORTS PER EVALUATOR'!$Q$119,1))*1</f>
        <v>3</v>
      </c>
      <c r="Y47" s="58" t="str">
        <f>LEFT('REPORTS PER EVALUATOR'!$Q$131,1)</f>
        <v>H</v>
      </c>
      <c r="Z47" s="94">
        <f>(RIGHT('REPORTS PER EVALUATOR'!$Q$131,1))*1</f>
        <v>3</v>
      </c>
      <c r="AA47" s="58" t="e">
        <f>LEFT('REPORTS PER EVALUATOR'!#REF!,1)</f>
        <v>#REF!</v>
      </c>
      <c r="AB47" s="94" t="e">
        <f>(RIGHT('REPORTS PER EVALUATOR'!#REF!,1))*1</f>
        <v>#REF!</v>
      </c>
      <c r="AC47" s="58" t="e">
        <f>LEFT('REPORTS PER EVALUATOR'!#REF!,1)</f>
        <v>#REF!</v>
      </c>
      <c r="AD47" s="94" t="e">
        <f>(RIGHT('REPORTS PER EVALUATOR'!#REF!,1))*1</f>
        <v>#REF!</v>
      </c>
      <c r="AE47" s="58" t="e">
        <f>LEFT('REPORTS PER EVALUATOR'!#REF!,1)</f>
        <v>#REF!</v>
      </c>
      <c r="AF47" s="94" t="e">
        <f>(RIGHT('REPORTS PER EVALUATOR'!#REF!,1))*1</f>
        <v>#REF!</v>
      </c>
      <c r="AG47" s="58" t="e">
        <f>LEFT('REPORTS PER EVALUATOR'!#REF!,1)</f>
        <v>#REF!</v>
      </c>
      <c r="AH47" s="94" t="e">
        <f>(RIGHT('REPORTS PER EVALUATOR'!#REF!,1))*1</f>
        <v>#REF!</v>
      </c>
      <c r="AI47" s="58" t="e">
        <f>LEFT('REPORTS PER EVALUATOR'!#REF!,1)</f>
        <v>#REF!</v>
      </c>
      <c r="AJ47" s="94" t="e">
        <f>(RIGHT('REPORTS PER EVALUATOR'!#REF!,1))*1</f>
        <v>#REF!</v>
      </c>
      <c r="AK47" s="58" t="e">
        <f>LEFT('REPORTS PER EVALUATOR'!#REF!,1)</f>
        <v>#REF!</v>
      </c>
      <c r="AL47" s="94" t="e">
        <f>(RIGHT('REPORTS PER EVALUATOR'!#REF!,1))*1</f>
        <v>#REF!</v>
      </c>
      <c r="AM47" s="58" t="e">
        <f>LEFT('REPORTS PER EVALUATOR'!#REF!,1)</f>
        <v>#REF!</v>
      </c>
      <c r="AN47" s="94" t="e">
        <f>(RIGHT('REPORTS PER EVALUATOR'!#REF!,1))*1</f>
        <v>#REF!</v>
      </c>
      <c r="AO47" s="58" t="e">
        <f>LEFT('REPORTS PER EVALUATOR'!#REF!,1)</f>
        <v>#REF!</v>
      </c>
      <c r="AP47" s="94" t="e">
        <f>(RIGHT('REPORTS PER EVALUATOR'!#REF!,1))*1</f>
        <v>#REF!</v>
      </c>
      <c r="AQ47" s="58" t="e">
        <f>LEFT('REPORTS PER EVALUATOR'!#REF!,1)</f>
        <v>#REF!</v>
      </c>
      <c r="AR47" s="94" t="e">
        <f>(RIGHT('REPORTS PER EVALUATOR'!#REF!,1))*1</f>
        <v>#REF!</v>
      </c>
    </row>
    <row r="48" spans="2:44" x14ac:dyDescent="0.2">
      <c r="B48" s="19" t="str">
        <f t="shared" si="1"/>
        <v>G</v>
      </c>
      <c r="C48" s="18" t="str">
        <f t="shared" si="0"/>
        <v>I</v>
      </c>
      <c r="D48" s="18" t="s">
        <v>51</v>
      </c>
      <c r="E48" s="26" t="str">
        <f>LEFT('REPORTS PER EVALUATOR'!$R$11,1)</f>
        <v>I</v>
      </c>
      <c r="F48" s="74">
        <f>(RIGHT('REPORTS PER EVALUATOR'!$R$11,1))*1</f>
        <v>3</v>
      </c>
      <c r="G48" s="11" t="str">
        <f>LEFT('REPORTS PER EVALUATOR'!$R$23,1)</f>
        <v>G</v>
      </c>
      <c r="H48" s="82">
        <f>(RIGHT('REPORTS PER EVALUATOR'!$R$23,1))*1</f>
        <v>2</v>
      </c>
      <c r="I48" s="11" t="str">
        <f>LEFT('REPORTS PER EVALUATOR'!$R$35,1)</f>
        <v>I</v>
      </c>
      <c r="J48" s="82">
        <f>(RIGHT('REPORTS PER EVALUATOR'!$R$35,1))*1</f>
        <v>4</v>
      </c>
      <c r="K48" s="11" t="str">
        <f>LEFT('REPORTS PER EVALUATOR'!$R$47,1)</f>
        <v>G</v>
      </c>
      <c r="L48" s="82">
        <f>(RIGHT('REPORTS PER EVALUATOR'!$R$47,1))*1</f>
        <v>3</v>
      </c>
      <c r="M48" s="11" t="str">
        <f>LEFT('REPORTS PER EVALUATOR'!$R$59,1)</f>
        <v>I</v>
      </c>
      <c r="N48" s="82">
        <f>(RIGHT('REPORTS PER EVALUATOR'!$R$59,1))*1</f>
        <v>2</v>
      </c>
      <c r="O48" s="11" t="str">
        <f>LEFT('REPORTS PER EVALUATOR'!$R$71,1)</f>
        <v>I</v>
      </c>
      <c r="P48" s="82">
        <f>(RIGHT('REPORTS PER EVALUATOR'!$R$71,1))*1</f>
        <v>2</v>
      </c>
      <c r="Q48" s="11" t="str">
        <f>LEFT('REPORTS PER EVALUATOR'!$R$83,1)</f>
        <v>G</v>
      </c>
      <c r="R48" s="82">
        <f>(RIGHT('REPORTS PER EVALUATOR'!$R$83,1))*1</f>
        <v>2</v>
      </c>
      <c r="S48" s="11" t="str">
        <f>LEFT('REPORTS PER EVALUATOR'!$R$95,1)</f>
        <v>I</v>
      </c>
      <c r="T48" s="82">
        <f>(RIGHT('REPORTS PER EVALUATOR'!$R$95,1))*1</f>
        <v>6</v>
      </c>
      <c r="U48" s="11" t="str">
        <f>LEFT('REPORTS PER EVALUATOR'!$R$107,1)</f>
        <v>G</v>
      </c>
      <c r="V48" s="82">
        <f>(RIGHT('REPORTS PER EVALUATOR'!$R$107,1))*1</f>
        <v>2</v>
      </c>
      <c r="W48" s="11" t="str">
        <f>LEFT('REPORTS PER EVALUATOR'!$R$119,1)</f>
        <v>I</v>
      </c>
      <c r="X48" s="82">
        <f>(RIGHT('REPORTS PER EVALUATOR'!$R$119,1))*1</f>
        <v>2</v>
      </c>
      <c r="Y48" s="11" t="str">
        <f>LEFT('REPORTS PER EVALUATOR'!$R$131,1)</f>
        <v>I</v>
      </c>
      <c r="Z48" s="93">
        <f>(RIGHT('REPORTS PER EVALUATOR'!$R$131,1))*1</f>
        <v>3</v>
      </c>
      <c r="AA48" s="11" t="e">
        <f>LEFT('REPORTS PER EVALUATOR'!#REF!,1)</f>
        <v>#REF!</v>
      </c>
      <c r="AB48" s="93" t="e">
        <f>(RIGHT('REPORTS PER EVALUATOR'!#REF!,1))*1</f>
        <v>#REF!</v>
      </c>
      <c r="AC48" s="11" t="e">
        <f>LEFT('REPORTS PER EVALUATOR'!#REF!,1)</f>
        <v>#REF!</v>
      </c>
      <c r="AD48" s="93" t="e">
        <f>(RIGHT('REPORTS PER EVALUATOR'!#REF!,1))*1</f>
        <v>#REF!</v>
      </c>
      <c r="AE48" s="11" t="e">
        <f>LEFT('REPORTS PER EVALUATOR'!#REF!,1)</f>
        <v>#REF!</v>
      </c>
      <c r="AF48" s="93" t="e">
        <f>(RIGHT('REPORTS PER EVALUATOR'!#REF!,1))*1</f>
        <v>#REF!</v>
      </c>
      <c r="AG48" s="11" t="e">
        <f>LEFT('REPORTS PER EVALUATOR'!#REF!,1)</f>
        <v>#REF!</v>
      </c>
      <c r="AH48" s="93" t="e">
        <f>(RIGHT('REPORTS PER EVALUATOR'!#REF!,1))*1</f>
        <v>#REF!</v>
      </c>
      <c r="AI48" s="11" t="e">
        <f>LEFT('REPORTS PER EVALUATOR'!#REF!,1)</f>
        <v>#REF!</v>
      </c>
      <c r="AJ48" s="93" t="e">
        <f>(RIGHT('REPORTS PER EVALUATOR'!#REF!,1))*1</f>
        <v>#REF!</v>
      </c>
      <c r="AK48" s="11" t="e">
        <f>LEFT('REPORTS PER EVALUATOR'!#REF!,1)</f>
        <v>#REF!</v>
      </c>
      <c r="AL48" s="93" t="e">
        <f>(RIGHT('REPORTS PER EVALUATOR'!#REF!,1))*1</f>
        <v>#REF!</v>
      </c>
      <c r="AM48" s="11" t="e">
        <f>LEFT('REPORTS PER EVALUATOR'!#REF!,1)</f>
        <v>#REF!</v>
      </c>
      <c r="AN48" s="93" t="e">
        <f>(RIGHT('REPORTS PER EVALUATOR'!#REF!,1))*1</f>
        <v>#REF!</v>
      </c>
      <c r="AO48" s="11" t="e">
        <f>LEFT('REPORTS PER EVALUATOR'!#REF!,1)</f>
        <v>#REF!</v>
      </c>
      <c r="AP48" s="93" t="e">
        <f>(RIGHT('REPORTS PER EVALUATOR'!#REF!,1))*1</f>
        <v>#REF!</v>
      </c>
      <c r="AQ48" s="11" t="e">
        <f>LEFT('REPORTS PER EVALUATOR'!#REF!,1)</f>
        <v>#REF!</v>
      </c>
      <c r="AR48" s="93" t="e">
        <f>(RIGHT('REPORTS PER EVALUATOR'!#REF!,1))*1</f>
        <v>#REF!</v>
      </c>
    </row>
    <row r="49" spans="1:44" x14ac:dyDescent="0.2">
      <c r="B49" s="19" t="str">
        <f t="shared" si="1"/>
        <v>G</v>
      </c>
      <c r="C49" s="18" t="str">
        <f t="shared" si="0"/>
        <v>L</v>
      </c>
      <c r="D49" s="18" t="s">
        <v>52</v>
      </c>
      <c r="E49" s="26" t="str">
        <f>LEFT('REPORTS PER EVALUATOR'!$S$11,1)</f>
        <v>G</v>
      </c>
      <c r="F49" s="74">
        <f>(RIGHT('REPORTS PER EVALUATOR'!$S$11,1))*1</f>
        <v>2</v>
      </c>
      <c r="G49" s="11" t="str">
        <f>LEFT('REPORTS PER EVALUATOR'!$S$23,1)</f>
        <v>1</v>
      </c>
      <c r="H49" s="82">
        <f>(RIGHT('REPORTS PER EVALUATOR'!$S$23,1))*1</f>
        <v>1</v>
      </c>
      <c r="I49" s="11" t="str">
        <f>LEFT('REPORTS PER EVALUATOR'!$S$35,1)</f>
        <v>G</v>
      </c>
      <c r="J49" s="82">
        <f>(RIGHT('REPORTS PER EVALUATOR'!$S$35,1))*1</f>
        <v>2</v>
      </c>
      <c r="K49" s="11" t="str">
        <f>LEFT('REPORTS PER EVALUATOR'!$S$47,1)</f>
        <v>G</v>
      </c>
      <c r="L49" s="82">
        <f>(RIGHT('REPORTS PER EVALUATOR'!$S$47,1))*1</f>
        <v>2</v>
      </c>
      <c r="M49" s="11" t="str">
        <f>LEFT('REPORTS PER EVALUATOR'!$S$59,1)</f>
        <v>1</v>
      </c>
      <c r="N49" s="82">
        <f>(RIGHT('REPORTS PER EVALUATOR'!$S$59,1))*1</f>
        <v>1</v>
      </c>
      <c r="O49" s="11" t="str">
        <f>LEFT('REPORTS PER EVALUATOR'!$S$71,1)</f>
        <v>L</v>
      </c>
      <c r="P49" s="82">
        <f>(RIGHT('REPORTS PER EVALUATOR'!$S$71,1))*1</f>
        <v>3</v>
      </c>
      <c r="Q49" s="11" t="str">
        <f>LEFT('REPORTS PER EVALUATOR'!$S$83,1)</f>
        <v>G</v>
      </c>
      <c r="R49" s="82">
        <f>(RIGHT('REPORTS PER EVALUATOR'!$S$83,1))*1</f>
        <v>2</v>
      </c>
      <c r="S49" s="11" t="str">
        <f>LEFT('REPORTS PER EVALUATOR'!$S$95,1)</f>
        <v>L</v>
      </c>
      <c r="T49" s="82">
        <f>(RIGHT('REPORTS PER EVALUATOR'!$S$95,1))*1</f>
        <v>6</v>
      </c>
      <c r="U49" s="11" t="str">
        <f>LEFT('REPORTS PER EVALUATOR'!$S$107,1)</f>
        <v>1</v>
      </c>
      <c r="V49" s="82">
        <f>(RIGHT('REPORTS PER EVALUATOR'!$S$107,1))*1</f>
        <v>1</v>
      </c>
      <c r="W49" s="11" t="str">
        <f>LEFT('REPORTS PER EVALUATOR'!$S$119,1)</f>
        <v>G</v>
      </c>
      <c r="X49" s="82">
        <f>(RIGHT('REPORTS PER EVALUATOR'!$S$119,1))*1</f>
        <v>2</v>
      </c>
      <c r="Y49" s="11" t="str">
        <f>LEFT('REPORTS PER EVALUATOR'!$S$131,1)</f>
        <v>L</v>
      </c>
      <c r="Z49" s="93">
        <f>(RIGHT('REPORTS PER EVALUATOR'!$S$131,1))*1</f>
        <v>2</v>
      </c>
      <c r="AA49" s="11" t="e">
        <f>LEFT('REPORTS PER EVALUATOR'!#REF!,1)</f>
        <v>#REF!</v>
      </c>
      <c r="AB49" s="93" t="e">
        <f>(RIGHT('REPORTS PER EVALUATOR'!#REF!,1))*1</f>
        <v>#REF!</v>
      </c>
      <c r="AC49" s="11" t="e">
        <f>LEFT('REPORTS PER EVALUATOR'!#REF!,1)</f>
        <v>#REF!</v>
      </c>
      <c r="AD49" s="93" t="e">
        <f>(RIGHT('REPORTS PER EVALUATOR'!#REF!,1))*1</f>
        <v>#REF!</v>
      </c>
      <c r="AE49" s="11" t="e">
        <f>LEFT('REPORTS PER EVALUATOR'!#REF!,1)</f>
        <v>#REF!</v>
      </c>
      <c r="AF49" s="93" t="e">
        <f>(RIGHT('REPORTS PER EVALUATOR'!#REF!,1))*1</f>
        <v>#REF!</v>
      </c>
      <c r="AG49" s="11" t="e">
        <f>LEFT('REPORTS PER EVALUATOR'!#REF!,1)</f>
        <v>#REF!</v>
      </c>
      <c r="AH49" s="93" t="e">
        <f>(RIGHT('REPORTS PER EVALUATOR'!#REF!,1))*1</f>
        <v>#REF!</v>
      </c>
      <c r="AI49" s="11" t="e">
        <f>LEFT('REPORTS PER EVALUATOR'!#REF!,1)</f>
        <v>#REF!</v>
      </c>
      <c r="AJ49" s="93" t="e">
        <f>(RIGHT('REPORTS PER EVALUATOR'!#REF!,1))*1</f>
        <v>#REF!</v>
      </c>
      <c r="AK49" s="11" t="e">
        <f>LEFT('REPORTS PER EVALUATOR'!#REF!,1)</f>
        <v>#REF!</v>
      </c>
      <c r="AL49" s="93" t="e">
        <f>(RIGHT('REPORTS PER EVALUATOR'!#REF!,1))*1</f>
        <v>#REF!</v>
      </c>
      <c r="AM49" s="11" t="e">
        <f>LEFT('REPORTS PER EVALUATOR'!#REF!,1)</f>
        <v>#REF!</v>
      </c>
      <c r="AN49" s="93" t="e">
        <f>(RIGHT('REPORTS PER EVALUATOR'!#REF!,1))*1</f>
        <v>#REF!</v>
      </c>
      <c r="AO49" s="11" t="e">
        <f>LEFT('REPORTS PER EVALUATOR'!#REF!,1)</f>
        <v>#REF!</v>
      </c>
      <c r="AP49" s="93" t="e">
        <f>(RIGHT('REPORTS PER EVALUATOR'!#REF!,1))*1</f>
        <v>#REF!</v>
      </c>
      <c r="AQ49" s="11" t="e">
        <f>LEFT('REPORTS PER EVALUATOR'!#REF!,1)</f>
        <v>#REF!</v>
      </c>
      <c r="AR49" s="93" t="e">
        <f>(RIGHT('REPORTS PER EVALUATOR'!#REF!,1))*1</f>
        <v>#REF!</v>
      </c>
    </row>
    <row r="50" spans="1:44" x14ac:dyDescent="0.2">
      <c r="B50" s="19" t="str">
        <f t="shared" si="1"/>
        <v>G</v>
      </c>
      <c r="C50" s="18" t="str">
        <f t="shared" si="0"/>
        <v>M</v>
      </c>
      <c r="D50" s="18" t="s">
        <v>163</v>
      </c>
      <c r="E50" s="26" t="str">
        <f>LEFT('REPORTS PER EVALUATOR'!$T$11,1)</f>
        <v/>
      </c>
      <c r="F50" s="74" t="e">
        <f>(RIGHT('REPORTS PER EVALUATOR'!$T$11,1))*1</f>
        <v>#VALUE!</v>
      </c>
      <c r="G50" s="11" t="str">
        <f>LEFT('REPORTS PER EVALUATOR'!$T$23,1)</f>
        <v/>
      </c>
      <c r="H50" s="82" t="e">
        <f>(RIGHT('REPORTS PER EVALUATOR'!$T$23,1))*1</f>
        <v>#VALUE!</v>
      </c>
      <c r="I50" s="11" t="str">
        <f>LEFT('REPORTS PER EVALUATOR'!$T$35,1)</f>
        <v/>
      </c>
      <c r="J50" s="82" t="e">
        <f>(RIGHT('REPORTS PER EVALUATOR'!$T$35,1))*1</f>
        <v>#VALUE!</v>
      </c>
      <c r="K50" s="11" t="str">
        <f>LEFT('REPORTS PER EVALUATOR'!$T$47,1)</f>
        <v/>
      </c>
      <c r="L50" s="82" t="e">
        <f>(RIGHT('REPORTS PER EVALUATOR'!$T$47,1))*1</f>
        <v>#VALUE!</v>
      </c>
      <c r="M50" s="11" t="str">
        <f>LEFT('REPORTS PER EVALUATOR'!$T$59,1)</f>
        <v/>
      </c>
      <c r="N50" s="82" t="e">
        <f>(RIGHT('REPORTS PER EVALUATOR'!$T$59,1))*1</f>
        <v>#VALUE!</v>
      </c>
      <c r="O50" s="11" t="str">
        <f>LEFT('REPORTS PER EVALUATOR'!$T$71,1)</f>
        <v/>
      </c>
      <c r="P50" s="82" t="e">
        <f>(RIGHT('REPORTS PER EVALUATOR'!$T$71,1))*1</f>
        <v>#VALUE!</v>
      </c>
      <c r="Q50" s="11" t="str">
        <f>LEFT('REPORTS PER EVALUATOR'!$T$83,1)</f>
        <v/>
      </c>
      <c r="R50" s="82" t="e">
        <f>(RIGHT('REPORTS PER EVALUATOR'!$T$83,1))*1</f>
        <v>#VALUE!</v>
      </c>
      <c r="S50" s="11" t="str">
        <f>LEFT('REPORTS PER EVALUATOR'!$T$95,1)</f>
        <v/>
      </c>
      <c r="T50" s="82" t="e">
        <f>(RIGHT('REPORTS PER EVALUATOR'!$T$95,1))*1</f>
        <v>#VALUE!</v>
      </c>
      <c r="U50" s="11" t="str">
        <f>LEFT('REPORTS PER EVALUATOR'!$T$107,1)</f>
        <v/>
      </c>
      <c r="V50" s="82" t="e">
        <f>(RIGHT('REPORTS PER EVALUATOR'!$T$107,1))*1</f>
        <v>#VALUE!</v>
      </c>
      <c r="W50" s="11" t="str">
        <f>LEFT('REPORTS PER EVALUATOR'!$T$119,1)</f>
        <v/>
      </c>
      <c r="X50" s="82" t="e">
        <f>(RIGHT('REPORTS PER EVALUATOR'!$T$119,1))*1</f>
        <v>#VALUE!</v>
      </c>
      <c r="Y50" s="11" t="str">
        <f>LEFT('REPORTS PER EVALUATOR'!$T$131,1)</f>
        <v/>
      </c>
      <c r="Z50" s="93" t="e">
        <f>(RIGHT('REPORTS PER EVALUATOR'!$T$131,1))*1</f>
        <v>#VALUE!</v>
      </c>
      <c r="AA50" s="11" t="e">
        <f>LEFT('REPORTS PER EVALUATOR'!#REF!,1)</f>
        <v>#REF!</v>
      </c>
      <c r="AB50" s="93" t="e">
        <f>(RIGHT('REPORTS PER EVALUATOR'!#REF!,1))*1</f>
        <v>#REF!</v>
      </c>
      <c r="AC50" s="11" t="e">
        <f>LEFT('REPORTS PER EVALUATOR'!#REF!,1)</f>
        <v>#REF!</v>
      </c>
      <c r="AD50" s="93" t="e">
        <f>(RIGHT('REPORTS PER EVALUATOR'!#REF!,1))*1</f>
        <v>#REF!</v>
      </c>
      <c r="AE50" s="11" t="e">
        <f>LEFT('REPORTS PER EVALUATOR'!#REF!,1)</f>
        <v>#REF!</v>
      </c>
      <c r="AF50" s="93" t="e">
        <f>(RIGHT('REPORTS PER EVALUATOR'!#REF!,1))*1</f>
        <v>#REF!</v>
      </c>
      <c r="AG50" s="11" t="e">
        <f>LEFT('REPORTS PER EVALUATOR'!#REF!,1)</f>
        <v>#REF!</v>
      </c>
      <c r="AH50" s="93" t="e">
        <f>(RIGHT('REPORTS PER EVALUATOR'!#REF!,1))*1</f>
        <v>#REF!</v>
      </c>
      <c r="AI50" s="11" t="e">
        <f>LEFT('REPORTS PER EVALUATOR'!#REF!,1)</f>
        <v>#REF!</v>
      </c>
      <c r="AJ50" s="93" t="e">
        <f>(RIGHT('REPORTS PER EVALUATOR'!#REF!,1))*1</f>
        <v>#REF!</v>
      </c>
      <c r="AK50" s="11" t="e">
        <f>LEFT('REPORTS PER EVALUATOR'!#REF!,1)</f>
        <v>#REF!</v>
      </c>
      <c r="AL50" s="93" t="e">
        <f>(RIGHT('REPORTS PER EVALUATOR'!#REF!,1))*1</f>
        <v>#REF!</v>
      </c>
      <c r="AM50" s="11" t="e">
        <f>LEFT('REPORTS PER EVALUATOR'!#REF!,1)</f>
        <v>#REF!</v>
      </c>
      <c r="AN50" s="93" t="e">
        <f>(RIGHT('REPORTS PER EVALUATOR'!#REF!,1))*1</f>
        <v>#REF!</v>
      </c>
      <c r="AO50" s="11" t="e">
        <f>LEFT('REPORTS PER EVALUATOR'!#REF!,1)</f>
        <v>#REF!</v>
      </c>
      <c r="AP50" s="93" t="e">
        <f>(RIGHT('REPORTS PER EVALUATOR'!#REF!,1))*1</f>
        <v>#REF!</v>
      </c>
      <c r="AQ50" s="11" t="e">
        <f>LEFT('REPORTS PER EVALUATOR'!#REF!,1)</f>
        <v>#REF!</v>
      </c>
      <c r="AR50" s="93" t="e">
        <f>(RIGHT('REPORTS PER EVALUATOR'!#REF!,1))*1</f>
        <v>#REF!</v>
      </c>
    </row>
    <row r="51" spans="1:44" x14ac:dyDescent="0.2">
      <c r="B51" s="19" t="str">
        <f t="shared" si="1"/>
        <v>H</v>
      </c>
      <c r="C51" s="18" t="str">
        <f t="shared" si="0"/>
        <v>I</v>
      </c>
      <c r="D51" s="18" t="s">
        <v>53</v>
      </c>
      <c r="E51" s="57" t="str">
        <f>LEFT('REPORTS PER EVALUATOR'!$R$12,1)</f>
        <v>H</v>
      </c>
      <c r="F51" s="73">
        <f>(RIGHT('REPORTS PER EVALUATOR'!$R$12,1))*1</f>
        <v>2</v>
      </c>
      <c r="G51" s="58" t="str">
        <f>LEFT('REPORTS PER EVALUATOR'!$R$24,1)</f>
        <v>1</v>
      </c>
      <c r="H51" s="81">
        <f>(RIGHT('REPORTS PER EVALUATOR'!$R$24,1))*1</f>
        <v>1</v>
      </c>
      <c r="I51" s="58" t="str">
        <f>LEFT('REPORTS PER EVALUATOR'!$R$36,1)</f>
        <v>I</v>
      </c>
      <c r="J51" s="81">
        <f>(RIGHT('REPORTS PER EVALUATOR'!$R$36,1))*1</f>
        <v>4</v>
      </c>
      <c r="K51" s="58" t="str">
        <f>LEFT('REPORTS PER EVALUATOR'!$R$48,1)</f>
        <v>I</v>
      </c>
      <c r="L51" s="81">
        <f>(RIGHT('REPORTS PER EVALUATOR'!$R$48,1))*1</f>
        <v>2</v>
      </c>
      <c r="M51" s="58" t="str">
        <f>LEFT('REPORTS PER EVALUATOR'!$R$60,1)</f>
        <v>I</v>
      </c>
      <c r="N51" s="81">
        <f>(RIGHT('REPORTS PER EVALUATOR'!$R$60,1))*1</f>
        <v>2</v>
      </c>
      <c r="O51" s="58" t="str">
        <f>LEFT('REPORTS PER EVALUATOR'!$R$72,1)</f>
        <v>H</v>
      </c>
      <c r="P51" s="81">
        <f>(RIGHT('REPORTS PER EVALUATOR'!$R$72,1))*1</f>
        <v>2</v>
      </c>
      <c r="Q51" s="58" t="str">
        <f>LEFT('REPORTS PER EVALUATOR'!$R$84,1)</f>
        <v>1</v>
      </c>
      <c r="R51" s="81">
        <f>(RIGHT('REPORTS PER EVALUATOR'!$R$84,1))*1</f>
        <v>1</v>
      </c>
      <c r="S51" s="58" t="str">
        <f>LEFT('REPORTS PER EVALUATOR'!$R$96,1)</f>
        <v>H</v>
      </c>
      <c r="T51" s="81">
        <f>(RIGHT('REPORTS PER EVALUATOR'!$R$96,1))*1</f>
        <v>2</v>
      </c>
      <c r="U51" s="58" t="str">
        <f>LEFT('REPORTS PER EVALUATOR'!$R$108,1)</f>
        <v>H</v>
      </c>
      <c r="V51" s="81">
        <f>(RIGHT('REPORTS PER EVALUATOR'!$R$108,1))*1</f>
        <v>4</v>
      </c>
      <c r="W51" s="58" t="str">
        <f>LEFT('REPORTS PER EVALUATOR'!$R$120,1)</f>
        <v>H</v>
      </c>
      <c r="X51" s="81">
        <f>(RIGHT('REPORTS PER EVALUATOR'!$R$120,1))*1</f>
        <v>2</v>
      </c>
      <c r="Y51" s="58" t="str">
        <f>LEFT('REPORTS PER EVALUATOR'!$R$132,1)</f>
        <v>1</v>
      </c>
      <c r="Z51" s="94">
        <f>(RIGHT('REPORTS PER EVALUATOR'!$R$132,1))*1</f>
        <v>1</v>
      </c>
      <c r="AA51" s="58" t="e">
        <f>LEFT('REPORTS PER EVALUATOR'!#REF!,1)</f>
        <v>#REF!</v>
      </c>
      <c r="AB51" s="94" t="e">
        <f>(RIGHT('REPORTS PER EVALUATOR'!#REF!,1))*1</f>
        <v>#REF!</v>
      </c>
      <c r="AC51" s="58" t="e">
        <f>LEFT('REPORTS PER EVALUATOR'!#REF!,1)</f>
        <v>#REF!</v>
      </c>
      <c r="AD51" s="94" t="e">
        <f>(RIGHT('REPORTS PER EVALUATOR'!#REF!,1))*1</f>
        <v>#REF!</v>
      </c>
      <c r="AE51" s="58" t="e">
        <f>LEFT('REPORTS PER EVALUATOR'!#REF!,1)</f>
        <v>#REF!</v>
      </c>
      <c r="AF51" s="94" t="e">
        <f>(RIGHT('REPORTS PER EVALUATOR'!#REF!,1))*1</f>
        <v>#REF!</v>
      </c>
      <c r="AG51" s="58" t="e">
        <f>LEFT('REPORTS PER EVALUATOR'!#REF!,1)</f>
        <v>#REF!</v>
      </c>
      <c r="AH51" s="94" t="e">
        <f>(RIGHT('REPORTS PER EVALUATOR'!#REF!,1))*1</f>
        <v>#REF!</v>
      </c>
      <c r="AI51" s="58" t="e">
        <f>LEFT('REPORTS PER EVALUATOR'!#REF!,1)</f>
        <v>#REF!</v>
      </c>
      <c r="AJ51" s="94" t="e">
        <f>(RIGHT('REPORTS PER EVALUATOR'!#REF!,1))*1</f>
        <v>#REF!</v>
      </c>
      <c r="AK51" s="58" t="e">
        <f>LEFT('REPORTS PER EVALUATOR'!#REF!,1)</f>
        <v>#REF!</v>
      </c>
      <c r="AL51" s="94" t="e">
        <f>(RIGHT('REPORTS PER EVALUATOR'!#REF!,1))*1</f>
        <v>#REF!</v>
      </c>
      <c r="AM51" s="58" t="e">
        <f>LEFT('REPORTS PER EVALUATOR'!#REF!,1)</f>
        <v>#REF!</v>
      </c>
      <c r="AN51" s="94" t="e">
        <f>(RIGHT('REPORTS PER EVALUATOR'!#REF!,1))*1</f>
        <v>#REF!</v>
      </c>
      <c r="AO51" s="58" t="e">
        <f>LEFT('REPORTS PER EVALUATOR'!#REF!,1)</f>
        <v>#REF!</v>
      </c>
      <c r="AP51" s="94" t="e">
        <f>(RIGHT('REPORTS PER EVALUATOR'!#REF!,1))*1</f>
        <v>#REF!</v>
      </c>
      <c r="AQ51" s="58" t="e">
        <f>LEFT('REPORTS PER EVALUATOR'!#REF!,1)</f>
        <v>#REF!</v>
      </c>
      <c r="AR51" s="94" t="e">
        <f>(RIGHT('REPORTS PER EVALUATOR'!#REF!,1))*1</f>
        <v>#REF!</v>
      </c>
    </row>
    <row r="52" spans="1:44" x14ac:dyDescent="0.2">
      <c r="B52" s="19" t="str">
        <f t="shared" si="1"/>
        <v>H</v>
      </c>
      <c r="C52" s="18" t="str">
        <f t="shared" si="0"/>
        <v>L</v>
      </c>
      <c r="D52" s="18" t="s">
        <v>19</v>
      </c>
      <c r="E52" s="26" t="str">
        <f>LEFT('REPORTS PER EVALUATOR'!$S$12,1)</f>
        <v>L</v>
      </c>
      <c r="F52" s="74">
        <f>(RIGHT('REPORTS PER EVALUATOR'!$S$12,1))*1</f>
        <v>4</v>
      </c>
      <c r="G52" s="11" t="str">
        <f>LEFT('REPORTS PER EVALUATOR'!$S$24,1)</f>
        <v>L</v>
      </c>
      <c r="H52" s="82">
        <f>(RIGHT('REPORTS PER EVALUATOR'!$S$24,1))*1</f>
        <v>2</v>
      </c>
      <c r="I52" s="11" t="str">
        <f>LEFT('REPORTS PER EVALUATOR'!$S$36,1)</f>
        <v>H</v>
      </c>
      <c r="J52" s="82">
        <f>(RIGHT('REPORTS PER EVALUATOR'!$S$36,1))*1</f>
        <v>2</v>
      </c>
      <c r="K52" s="11" t="str">
        <f>LEFT('REPORTS PER EVALUATOR'!$S$48,1)</f>
        <v>L</v>
      </c>
      <c r="L52" s="82">
        <f>(RIGHT('REPORTS PER EVALUATOR'!$S$48,1))*1</f>
        <v>3</v>
      </c>
      <c r="M52" s="11" t="str">
        <f>LEFT('REPORTS PER EVALUATOR'!$S$60,1)</f>
        <v>H</v>
      </c>
      <c r="N52" s="82">
        <f>(RIGHT('REPORTS PER EVALUATOR'!$S$60,1))*1</f>
        <v>2</v>
      </c>
      <c r="O52" s="11" t="str">
        <f>LEFT('REPORTS PER EVALUATOR'!$S$72,1)</f>
        <v>H</v>
      </c>
      <c r="P52" s="82">
        <f>(RIGHT('REPORTS PER EVALUATOR'!$S$72,1))*1</f>
        <v>2</v>
      </c>
      <c r="Q52" s="11" t="str">
        <f>LEFT('REPORTS PER EVALUATOR'!$S$84,1)</f>
        <v>1</v>
      </c>
      <c r="R52" s="82">
        <f>(RIGHT('REPORTS PER EVALUATOR'!$S$84,1))*1</f>
        <v>1</v>
      </c>
      <c r="S52" s="11" t="str">
        <f>LEFT('REPORTS PER EVALUATOR'!$S$96,1)</f>
        <v>H</v>
      </c>
      <c r="T52" s="82">
        <f>(RIGHT('REPORTS PER EVALUATOR'!$S$96,1))*1</f>
        <v>3</v>
      </c>
      <c r="U52" s="11" t="str">
        <f>LEFT('REPORTS PER EVALUATOR'!$S$108,1)</f>
        <v>H</v>
      </c>
      <c r="V52" s="82">
        <f>(RIGHT('REPORTS PER EVALUATOR'!$S$108,1))*1</f>
        <v>3</v>
      </c>
      <c r="W52" s="11" t="str">
        <f>LEFT('REPORTS PER EVALUATOR'!$S$120,1)</f>
        <v>H</v>
      </c>
      <c r="X52" s="82">
        <f>(RIGHT('REPORTS PER EVALUATOR'!$S$120,1))*1</f>
        <v>4</v>
      </c>
      <c r="Y52" s="11" t="str">
        <f>LEFT('REPORTS PER EVALUATOR'!$S$132,1)</f>
        <v>H</v>
      </c>
      <c r="Z52" s="93">
        <f>(RIGHT('REPORTS PER EVALUATOR'!$S$132,1))*1</f>
        <v>3</v>
      </c>
      <c r="AA52" s="11" t="e">
        <f>LEFT('REPORTS PER EVALUATOR'!#REF!,1)</f>
        <v>#REF!</v>
      </c>
      <c r="AB52" s="93" t="e">
        <f>(RIGHT('REPORTS PER EVALUATOR'!#REF!,1))*1</f>
        <v>#REF!</v>
      </c>
      <c r="AC52" s="11" t="e">
        <f>LEFT('REPORTS PER EVALUATOR'!#REF!,1)</f>
        <v>#REF!</v>
      </c>
      <c r="AD52" s="93" t="e">
        <f>(RIGHT('REPORTS PER EVALUATOR'!#REF!,1))*1</f>
        <v>#REF!</v>
      </c>
      <c r="AE52" s="11" t="e">
        <f>LEFT('REPORTS PER EVALUATOR'!#REF!,1)</f>
        <v>#REF!</v>
      </c>
      <c r="AF52" s="93" t="e">
        <f>(RIGHT('REPORTS PER EVALUATOR'!#REF!,1))*1</f>
        <v>#REF!</v>
      </c>
      <c r="AG52" s="11" t="e">
        <f>LEFT('REPORTS PER EVALUATOR'!#REF!,1)</f>
        <v>#REF!</v>
      </c>
      <c r="AH52" s="93" t="e">
        <f>(RIGHT('REPORTS PER EVALUATOR'!#REF!,1))*1</f>
        <v>#REF!</v>
      </c>
      <c r="AI52" s="11" t="e">
        <f>LEFT('REPORTS PER EVALUATOR'!#REF!,1)</f>
        <v>#REF!</v>
      </c>
      <c r="AJ52" s="93" t="e">
        <f>(RIGHT('REPORTS PER EVALUATOR'!#REF!,1))*1</f>
        <v>#REF!</v>
      </c>
      <c r="AK52" s="11" t="e">
        <f>LEFT('REPORTS PER EVALUATOR'!#REF!,1)</f>
        <v>#REF!</v>
      </c>
      <c r="AL52" s="93" t="e">
        <f>(RIGHT('REPORTS PER EVALUATOR'!#REF!,1))*1</f>
        <v>#REF!</v>
      </c>
      <c r="AM52" s="11" t="e">
        <f>LEFT('REPORTS PER EVALUATOR'!#REF!,1)</f>
        <v>#REF!</v>
      </c>
      <c r="AN52" s="93" t="e">
        <f>(RIGHT('REPORTS PER EVALUATOR'!#REF!,1))*1</f>
        <v>#REF!</v>
      </c>
      <c r="AO52" s="11" t="e">
        <f>LEFT('REPORTS PER EVALUATOR'!#REF!,1)</f>
        <v>#REF!</v>
      </c>
      <c r="AP52" s="93" t="e">
        <f>(RIGHT('REPORTS PER EVALUATOR'!#REF!,1))*1</f>
        <v>#REF!</v>
      </c>
      <c r="AQ52" s="11" t="e">
        <f>LEFT('REPORTS PER EVALUATOR'!#REF!,1)</f>
        <v>#REF!</v>
      </c>
      <c r="AR52" s="93" t="e">
        <f>(RIGHT('REPORTS PER EVALUATOR'!#REF!,1))*1</f>
        <v>#REF!</v>
      </c>
    </row>
    <row r="53" spans="1:44" x14ac:dyDescent="0.2">
      <c r="B53" s="19" t="str">
        <f t="shared" si="1"/>
        <v>H</v>
      </c>
      <c r="C53" s="18" t="str">
        <f t="shared" si="0"/>
        <v>M</v>
      </c>
      <c r="D53" s="18" t="s">
        <v>164</v>
      </c>
      <c r="E53" s="26" t="str">
        <f>LEFT('REPORTS PER EVALUATOR'!$T$12,1)</f>
        <v/>
      </c>
      <c r="F53" s="74" t="e">
        <f>(RIGHT('REPORTS PER EVALUATOR'!$T$12,1))*1</f>
        <v>#VALUE!</v>
      </c>
      <c r="G53" s="11" t="str">
        <f>LEFT('REPORTS PER EVALUATOR'!$T$24,1)</f>
        <v/>
      </c>
      <c r="H53" s="82" t="e">
        <f>(RIGHT('REPORTS PER EVALUATOR'!$T$24,1))*1</f>
        <v>#VALUE!</v>
      </c>
      <c r="I53" s="11" t="str">
        <f>LEFT('REPORTS PER EVALUATOR'!$T$36,1)</f>
        <v/>
      </c>
      <c r="J53" s="82" t="e">
        <f>(RIGHT('REPORTS PER EVALUATOR'!$T$36,1))*1</f>
        <v>#VALUE!</v>
      </c>
      <c r="K53" s="11" t="str">
        <f>LEFT('REPORTS PER EVALUATOR'!$T$48,1)</f>
        <v/>
      </c>
      <c r="L53" s="82" t="e">
        <f>(RIGHT('REPORTS PER EVALUATOR'!$T$48,1))*1</f>
        <v>#VALUE!</v>
      </c>
      <c r="M53" s="11" t="str">
        <f>LEFT('REPORTS PER EVALUATOR'!$T$60,1)</f>
        <v/>
      </c>
      <c r="N53" s="82" t="e">
        <f>(RIGHT('REPORTS PER EVALUATOR'!$T$60,1))*1</f>
        <v>#VALUE!</v>
      </c>
      <c r="O53" s="11" t="str">
        <f>LEFT('REPORTS PER EVALUATOR'!$T$72,1)</f>
        <v/>
      </c>
      <c r="P53" s="82" t="e">
        <f>(RIGHT('REPORTS PER EVALUATOR'!$T$72,1))*1</f>
        <v>#VALUE!</v>
      </c>
      <c r="Q53" s="11" t="str">
        <f>LEFT('REPORTS PER EVALUATOR'!$T$84,1)</f>
        <v/>
      </c>
      <c r="R53" s="82" t="e">
        <f>(RIGHT('REPORTS PER EVALUATOR'!$T$84,1))*1</f>
        <v>#VALUE!</v>
      </c>
      <c r="S53" s="11" t="str">
        <f>LEFT('REPORTS PER EVALUATOR'!$T$96,1)</f>
        <v/>
      </c>
      <c r="T53" s="82" t="e">
        <f>(RIGHT('REPORTS PER EVALUATOR'!$T$96,1))*1</f>
        <v>#VALUE!</v>
      </c>
      <c r="U53" s="11" t="str">
        <f>LEFT('REPORTS PER EVALUATOR'!$T$108,1)</f>
        <v/>
      </c>
      <c r="V53" s="82" t="e">
        <f>(RIGHT('REPORTS PER EVALUATOR'!$T$108,1))*1</f>
        <v>#VALUE!</v>
      </c>
      <c r="W53" s="11" t="str">
        <f>LEFT('REPORTS PER EVALUATOR'!$T$120,1)</f>
        <v/>
      </c>
      <c r="X53" s="82" t="e">
        <f>(RIGHT('REPORTS PER EVALUATOR'!$T$120,1))*1</f>
        <v>#VALUE!</v>
      </c>
      <c r="Y53" s="11" t="str">
        <f>LEFT('REPORTS PER EVALUATOR'!$T$132,1)</f>
        <v/>
      </c>
      <c r="Z53" s="93" t="e">
        <f>(RIGHT('REPORTS PER EVALUATOR'!$T$132,1))*1</f>
        <v>#VALUE!</v>
      </c>
      <c r="AA53" s="11" t="e">
        <f>LEFT('REPORTS PER EVALUATOR'!#REF!,1)</f>
        <v>#REF!</v>
      </c>
      <c r="AB53" s="93" t="e">
        <f>(RIGHT('REPORTS PER EVALUATOR'!#REF!,1))*1</f>
        <v>#REF!</v>
      </c>
      <c r="AC53" s="11" t="e">
        <f>LEFT('REPORTS PER EVALUATOR'!#REF!,1)</f>
        <v>#REF!</v>
      </c>
      <c r="AD53" s="93" t="e">
        <f>(RIGHT('REPORTS PER EVALUATOR'!#REF!,1))*1</f>
        <v>#REF!</v>
      </c>
      <c r="AE53" s="11" t="e">
        <f>LEFT('REPORTS PER EVALUATOR'!#REF!,1)</f>
        <v>#REF!</v>
      </c>
      <c r="AF53" s="93" t="e">
        <f>(RIGHT('REPORTS PER EVALUATOR'!#REF!,1))*1</f>
        <v>#REF!</v>
      </c>
      <c r="AG53" s="11" t="e">
        <f>LEFT('REPORTS PER EVALUATOR'!#REF!,1)</f>
        <v>#REF!</v>
      </c>
      <c r="AH53" s="93" t="e">
        <f>(RIGHT('REPORTS PER EVALUATOR'!#REF!,1))*1</f>
        <v>#REF!</v>
      </c>
      <c r="AI53" s="11" t="e">
        <f>LEFT('REPORTS PER EVALUATOR'!#REF!,1)</f>
        <v>#REF!</v>
      </c>
      <c r="AJ53" s="93" t="e">
        <f>(RIGHT('REPORTS PER EVALUATOR'!#REF!,1))*1</f>
        <v>#REF!</v>
      </c>
      <c r="AK53" s="11" t="e">
        <f>LEFT('REPORTS PER EVALUATOR'!#REF!,1)</f>
        <v>#REF!</v>
      </c>
      <c r="AL53" s="93" t="e">
        <f>(RIGHT('REPORTS PER EVALUATOR'!#REF!,1))*1</f>
        <v>#REF!</v>
      </c>
      <c r="AM53" s="11" t="e">
        <f>LEFT('REPORTS PER EVALUATOR'!#REF!,1)</f>
        <v>#REF!</v>
      </c>
      <c r="AN53" s="93" t="e">
        <f>(RIGHT('REPORTS PER EVALUATOR'!#REF!,1))*1</f>
        <v>#REF!</v>
      </c>
      <c r="AO53" s="11" t="e">
        <f>LEFT('REPORTS PER EVALUATOR'!#REF!,1)</f>
        <v>#REF!</v>
      </c>
      <c r="AP53" s="93" t="e">
        <f>(RIGHT('REPORTS PER EVALUATOR'!#REF!,1))*1</f>
        <v>#REF!</v>
      </c>
      <c r="AQ53" s="11" t="e">
        <f>LEFT('REPORTS PER EVALUATOR'!#REF!,1)</f>
        <v>#REF!</v>
      </c>
      <c r="AR53" s="93" t="e">
        <f>(RIGHT('REPORTS PER EVALUATOR'!#REF!,1))*1</f>
        <v>#REF!</v>
      </c>
    </row>
    <row r="54" spans="1:44" x14ac:dyDescent="0.2">
      <c r="B54" s="19" t="str">
        <f t="shared" si="1"/>
        <v>I</v>
      </c>
      <c r="C54" s="18" t="str">
        <f t="shared" si="0"/>
        <v>L</v>
      </c>
      <c r="D54" s="18" t="s">
        <v>54</v>
      </c>
      <c r="E54" s="59" t="str">
        <f>LEFT('REPORTS PER EVALUATOR'!$S$13,1)</f>
        <v>I</v>
      </c>
      <c r="F54" s="75">
        <f>(RIGHT('REPORTS PER EVALUATOR'!$S$13,1))*1</f>
        <v>4</v>
      </c>
      <c r="G54" s="60" t="str">
        <f>LEFT('REPORTS PER EVALUATOR'!$S$25,1)</f>
        <v>L</v>
      </c>
      <c r="H54" s="83">
        <f>(RIGHT('REPORTS PER EVALUATOR'!$S$25,1))*1</f>
        <v>2</v>
      </c>
      <c r="I54" s="60" t="str">
        <f>LEFT('REPORTS PER EVALUATOR'!$S$37,1)</f>
        <v>I</v>
      </c>
      <c r="J54" s="83">
        <f>(RIGHT('REPORTS PER EVALUATOR'!$S$37,1))*1</f>
        <v>5</v>
      </c>
      <c r="K54" s="60" t="str">
        <f>LEFT('REPORTS PER EVALUATOR'!$S$49,1)</f>
        <v>L</v>
      </c>
      <c r="L54" s="83">
        <f>(RIGHT('REPORTS PER EVALUATOR'!$S$49,1))*1</f>
        <v>2</v>
      </c>
      <c r="M54" s="60" t="str">
        <f>LEFT('REPORTS PER EVALUATOR'!$S$61,1)</f>
        <v>I</v>
      </c>
      <c r="N54" s="83">
        <f>(RIGHT('REPORTS PER EVALUATOR'!$S$61,1))*1</f>
        <v>2</v>
      </c>
      <c r="O54" s="60" t="str">
        <f>LEFT('REPORTS PER EVALUATOR'!$S$73,1)</f>
        <v>L</v>
      </c>
      <c r="P54" s="83">
        <f>(RIGHT('REPORTS PER EVALUATOR'!$S$73,1))*1</f>
        <v>2</v>
      </c>
      <c r="Q54" s="60" t="str">
        <f>LEFT('REPORTS PER EVALUATOR'!$S$85,1)</f>
        <v>1</v>
      </c>
      <c r="R54" s="83">
        <f>(RIGHT('REPORTS PER EVALUATOR'!$S$85,1))*1</f>
        <v>1</v>
      </c>
      <c r="S54" s="60" t="str">
        <f>LEFT('REPORTS PER EVALUATOR'!$S$97,1)</f>
        <v>I</v>
      </c>
      <c r="T54" s="83">
        <f>(RIGHT('REPORTS PER EVALUATOR'!$S$97,1))*1</f>
        <v>2</v>
      </c>
      <c r="U54" s="60" t="str">
        <f>LEFT('REPORTS PER EVALUATOR'!$S$109,1)</f>
        <v>L</v>
      </c>
      <c r="V54" s="83">
        <f>(RIGHT('REPORTS PER EVALUATOR'!$S$109,1))*1</f>
        <v>2</v>
      </c>
      <c r="W54" s="60" t="str">
        <f>LEFT('REPORTS PER EVALUATOR'!$S$121,1)</f>
        <v>I</v>
      </c>
      <c r="X54" s="83">
        <f>(RIGHT('REPORTS PER EVALUATOR'!$S$121,1))*1</f>
        <v>3</v>
      </c>
      <c r="Y54" s="60" t="str">
        <f>LEFT('REPORTS PER EVALUATOR'!$S$133,1)</f>
        <v>I</v>
      </c>
      <c r="Z54" s="95">
        <f>(RIGHT('REPORTS PER EVALUATOR'!$S$133,1))*1</f>
        <v>3</v>
      </c>
      <c r="AA54" s="60" t="e">
        <f>LEFT('REPORTS PER EVALUATOR'!#REF!,1)</f>
        <v>#REF!</v>
      </c>
      <c r="AB54" s="95" t="e">
        <f>(RIGHT('REPORTS PER EVALUATOR'!#REF!,1))*1</f>
        <v>#REF!</v>
      </c>
      <c r="AC54" s="60" t="e">
        <f>LEFT('REPORTS PER EVALUATOR'!#REF!,1)</f>
        <v>#REF!</v>
      </c>
      <c r="AD54" s="95" t="e">
        <f>(RIGHT('REPORTS PER EVALUATOR'!#REF!,1))*1</f>
        <v>#REF!</v>
      </c>
      <c r="AE54" s="60" t="e">
        <f>LEFT('REPORTS PER EVALUATOR'!#REF!,1)</f>
        <v>#REF!</v>
      </c>
      <c r="AF54" s="95" t="e">
        <f>(RIGHT('REPORTS PER EVALUATOR'!#REF!,1))*1</f>
        <v>#REF!</v>
      </c>
      <c r="AG54" s="60" t="e">
        <f>LEFT('REPORTS PER EVALUATOR'!#REF!,1)</f>
        <v>#REF!</v>
      </c>
      <c r="AH54" s="95" t="e">
        <f>(RIGHT('REPORTS PER EVALUATOR'!#REF!,1))*1</f>
        <v>#REF!</v>
      </c>
      <c r="AI54" s="60" t="e">
        <f>LEFT('REPORTS PER EVALUATOR'!#REF!,1)</f>
        <v>#REF!</v>
      </c>
      <c r="AJ54" s="95" t="e">
        <f>(RIGHT('REPORTS PER EVALUATOR'!#REF!,1))*1</f>
        <v>#REF!</v>
      </c>
      <c r="AK54" s="60" t="e">
        <f>LEFT('REPORTS PER EVALUATOR'!#REF!,1)</f>
        <v>#REF!</v>
      </c>
      <c r="AL54" s="95" t="e">
        <f>(RIGHT('REPORTS PER EVALUATOR'!#REF!,1))*1</f>
        <v>#REF!</v>
      </c>
      <c r="AM54" s="60" t="e">
        <f>LEFT('REPORTS PER EVALUATOR'!#REF!,1)</f>
        <v>#REF!</v>
      </c>
      <c r="AN54" s="95" t="e">
        <f>(RIGHT('REPORTS PER EVALUATOR'!#REF!,1))*1</f>
        <v>#REF!</v>
      </c>
      <c r="AO54" s="60" t="e">
        <f>LEFT('REPORTS PER EVALUATOR'!#REF!,1)</f>
        <v>#REF!</v>
      </c>
      <c r="AP54" s="95" t="e">
        <f>(RIGHT('REPORTS PER EVALUATOR'!#REF!,1))*1</f>
        <v>#REF!</v>
      </c>
      <c r="AQ54" s="60" t="e">
        <f>LEFT('REPORTS PER EVALUATOR'!#REF!,1)</f>
        <v>#REF!</v>
      </c>
      <c r="AR54" s="95" t="e">
        <f>(RIGHT('REPORTS PER EVALUATOR'!#REF!,1))*1</f>
        <v>#REF!</v>
      </c>
    </row>
    <row r="55" spans="1:44" x14ac:dyDescent="0.2">
      <c r="B55" s="19" t="str">
        <f t="shared" si="1"/>
        <v>I</v>
      </c>
      <c r="C55" s="18" t="str">
        <f t="shared" si="0"/>
        <v>M</v>
      </c>
      <c r="D55" s="18" t="s">
        <v>165</v>
      </c>
      <c r="E55" s="111" t="str">
        <f>LEFT('REPORTS PER EVALUATOR'!$T$13,1)</f>
        <v/>
      </c>
      <c r="F55" s="112" t="e">
        <f>(RIGHT('REPORTS PER EVALUATOR'!$T$13,1))*1</f>
        <v>#VALUE!</v>
      </c>
      <c r="G55" s="113" t="str">
        <f>LEFT('REPORTS PER EVALUATOR'!$T$25,1)</f>
        <v/>
      </c>
      <c r="H55" s="114" t="e">
        <f>(RIGHT('REPORTS PER EVALUATOR'!$T$25,1))*1</f>
        <v>#VALUE!</v>
      </c>
      <c r="I55" s="113" t="str">
        <f>LEFT('REPORTS PER EVALUATOR'!$T$37,1)</f>
        <v/>
      </c>
      <c r="J55" s="114" t="e">
        <f>(RIGHT('REPORTS PER EVALUATOR'!$T$37,1))*1</f>
        <v>#VALUE!</v>
      </c>
      <c r="K55" s="113" t="str">
        <f>LEFT('REPORTS PER EVALUATOR'!$T$49,1)</f>
        <v/>
      </c>
      <c r="L55" s="114" t="e">
        <f>(RIGHT('REPORTS PER EVALUATOR'!$T$49,1))*1</f>
        <v>#VALUE!</v>
      </c>
      <c r="M55" s="113" t="str">
        <f>LEFT('REPORTS PER EVALUATOR'!$T$61,1)</f>
        <v/>
      </c>
      <c r="N55" s="114" t="e">
        <f>(RIGHT('REPORTS PER EVALUATOR'!$T$61,1))*1</f>
        <v>#VALUE!</v>
      </c>
      <c r="O55" s="113" t="str">
        <f>LEFT('REPORTS PER EVALUATOR'!$T$73,1)</f>
        <v/>
      </c>
      <c r="P55" s="114" t="e">
        <f>(RIGHT('REPORTS PER EVALUATOR'!$T$73,1))*1</f>
        <v>#VALUE!</v>
      </c>
      <c r="Q55" s="113" t="str">
        <f>LEFT('REPORTS PER EVALUATOR'!$T$85,1)</f>
        <v/>
      </c>
      <c r="R55" s="114" t="e">
        <f>(RIGHT('REPORTS PER EVALUATOR'!$T$85,1))*1</f>
        <v>#VALUE!</v>
      </c>
      <c r="S55" s="113" t="str">
        <f>LEFT('REPORTS PER EVALUATOR'!$T$97,1)</f>
        <v/>
      </c>
      <c r="T55" s="114" t="e">
        <f>(RIGHT('REPORTS PER EVALUATOR'!$T$97,1))*1</f>
        <v>#VALUE!</v>
      </c>
      <c r="U55" s="113" t="str">
        <f>LEFT('REPORTS PER EVALUATOR'!$T$109,1)</f>
        <v/>
      </c>
      <c r="V55" s="114" t="e">
        <f>(RIGHT('REPORTS PER EVALUATOR'!$T$109,1))*1</f>
        <v>#VALUE!</v>
      </c>
      <c r="W55" s="113" t="str">
        <f>LEFT('REPORTS PER EVALUATOR'!$T$121,1)</f>
        <v/>
      </c>
      <c r="X55" s="114" t="e">
        <f>(RIGHT('REPORTS PER EVALUATOR'!$T$121,1))*1</f>
        <v>#VALUE!</v>
      </c>
      <c r="Y55" s="113" t="str">
        <f>LEFT('REPORTS PER EVALUATOR'!$T$133,1)</f>
        <v/>
      </c>
      <c r="Z55" s="115" t="e">
        <f>(RIGHT('REPORTS PER EVALUATOR'!$T$133,1))*1</f>
        <v>#VALUE!</v>
      </c>
      <c r="AA55" s="113" t="e">
        <f>LEFT('REPORTS PER EVALUATOR'!#REF!,1)</f>
        <v>#REF!</v>
      </c>
      <c r="AB55" s="115" t="e">
        <f>(RIGHT('REPORTS PER EVALUATOR'!#REF!,1))*1</f>
        <v>#REF!</v>
      </c>
      <c r="AC55" s="113" t="e">
        <f>LEFT('REPORTS PER EVALUATOR'!#REF!,1)</f>
        <v>#REF!</v>
      </c>
      <c r="AD55" s="115" t="e">
        <f>(RIGHT('REPORTS PER EVALUATOR'!#REF!,1))*1</f>
        <v>#REF!</v>
      </c>
      <c r="AE55" s="113" t="e">
        <f>LEFT('REPORTS PER EVALUATOR'!#REF!,1)</f>
        <v>#REF!</v>
      </c>
      <c r="AF55" s="115" t="e">
        <f>(RIGHT('REPORTS PER EVALUATOR'!#REF!,1))*1</f>
        <v>#REF!</v>
      </c>
      <c r="AG55" s="113" t="e">
        <f>LEFT('REPORTS PER EVALUATOR'!#REF!,1)</f>
        <v>#REF!</v>
      </c>
      <c r="AH55" s="115" t="e">
        <f>(RIGHT('REPORTS PER EVALUATOR'!#REF!,1))*1</f>
        <v>#REF!</v>
      </c>
      <c r="AI55" s="113" t="e">
        <f>LEFT('REPORTS PER EVALUATOR'!#REF!,1)</f>
        <v>#REF!</v>
      </c>
      <c r="AJ55" s="115" t="e">
        <f>(RIGHT('REPORTS PER EVALUATOR'!#REF!,1))*1</f>
        <v>#REF!</v>
      </c>
      <c r="AK55" s="113" t="e">
        <f>LEFT('REPORTS PER EVALUATOR'!#REF!,1)</f>
        <v>#REF!</v>
      </c>
      <c r="AL55" s="115" t="e">
        <f>(RIGHT('REPORTS PER EVALUATOR'!#REF!,1))*1</f>
        <v>#REF!</v>
      </c>
      <c r="AM55" s="113" t="e">
        <f>LEFT('REPORTS PER EVALUATOR'!#REF!,1)</f>
        <v>#REF!</v>
      </c>
      <c r="AN55" s="115" t="e">
        <f>(RIGHT('REPORTS PER EVALUATOR'!#REF!,1))*1</f>
        <v>#REF!</v>
      </c>
      <c r="AO55" s="113" t="e">
        <f>LEFT('REPORTS PER EVALUATOR'!#REF!,1)</f>
        <v>#REF!</v>
      </c>
      <c r="AP55" s="115" t="e">
        <f>(RIGHT('REPORTS PER EVALUATOR'!#REF!,1))*1</f>
        <v>#REF!</v>
      </c>
      <c r="AQ55" s="113" t="e">
        <f>LEFT('REPORTS PER EVALUATOR'!#REF!,1)</f>
        <v>#REF!</v>
      </c>
      <c r="AR55" s="115" t="e">
        <f>(RIGHT('REPORTS PER EVALUATOR'!#REF!,1))*1</f>
        <v>#REF!</v>
      </c>
    </row>
    <row r="56" spans="1:44" ht="16" thickBot="1" x14ac:dyDescent="0.25">
      <c r="B56" s="19" t="str">
        <f t="shared" si="1"/>
        <v>L</v>
      </c>
      <c r="C56" s="18" t="str">
        <f t="shared" si="0"/>
        <v>M</v>
      </c>
      <c r="D56" s="18" t="s">
        <v>166</v>
      </c>
      <c r="E56" s="116" t="str">
        <f>LEFT('REPORTS PER EVALUATOR'!$T$14,1)</f>
        <v/>
      </c>
      <c r="F56" s="117" t="e">
        <f>(RIGHT('REPORTS PER EVALUATOR'!$T$14,1))*1</f>
        <v>#VALUE!</v>
      </c>
      <c r="G56" s="118" t="str">
        <f>LEFT('REPORTS PER EVALUATOR'!$T$26,1)</f>
        <v/>
      </c>
      <c r="H56" s="119" t="e">
        <f>(RIGHT('REPORTS PER EVALUATOR'!$T$26,1))*1</f>
        <v>#VALUE!</v>
      </c>
      <c r="I56" s="118" t="str">
        <f>LEFT('REPORTS PER EVALUATOR'!$T$38,1)</f>
        <v/>
      </c>
      <c r="J56" s="119" t="e">
        <f>(RIGHT('REPORTS PER EVALUATOR'!$T$38,1))*1</f>
        <v>#VALUE!</v>
      </c>
      <c r="K56" s="118" t="str">
        <f>LEFT('REPORTS PER EVALUATOR'!$T$50,1)</f>
        <v/>
      </c>
      <c r="L56" s="119" t="e">
        <f>(RIGHT('REPORTS PER EVALUATOR'!$T$50,1))*1</f>
        <v>#VALUE!</v>
      </c>
      <c r="M56" s="118" t="str">
        <f>LEFT('REPORTS PER EVALUATOR'!$T$62,1)</f>
        <v/>
      </c>
      <c r="N56" s="119" t="e">
        <f>(RIGHT('REPORTS PER EVALUATOR'!$T$62,1))*1</f>
        <v>#VALUE!</v>
      </c>
      <c r="O56" s="118" t="str">
        <f>LEFT('REPORTS PER EVALUATOR'!$T$74,1)</f>
        <v/>
      </c>
      <c r="P56" s="119" t="e">
        <f>(RIGHT('REPORTS PER EVALUATOR'!$T$74,1))*1</f>
        <v>#VALUE!</v>
      </c>
      <c r="Q56" s="118" t="str">
        <f>LEFT('REPORTS PER EVALUATOR'!$T$86,1)</f>
        <v/>
      </c>
      <c r="R56" s="119" t="e">
        <f>(RIGHT('REPORTS PER EVALUATOR'!$T$86,1))*1</f>
        <v>#VALUE!</v>
      </c>
      <c r="S56" s="118" t="str">
        <f>LEFT('REPORTS PER EVALUATOR'!$T$98,1)</f>
        <v/>
      </c>
      <c r="T56" s="119" t="e">
        <f>(RIGHT('REPORTS PER EVALUATOR'!$T$98,1))*1</f>
        <v>#VALUE!</v>
      </c>
      <c r="U56" s="118" t="str">
        <f>LEFT('REPORTS PER EVALUATOR'!$T$110,1)</f>
        <v/>
      </c>
      <c r="V56" s="119" t="e">
        <f>(RIGHT('REPORTS PER EVALUATOR'!$T$110,1))*1</f>
        <v>#VALUE!</v>
      </c>
      <c r="W56" s="118" t="str">
        <f>LEFT('REPORTS PER EVALUATOR'!$T$122,1)</f>
        <v/>
      </c>
      <c r="X56" s="119" t="e">
        <f>(RIGHT('REPORTS PER EVALUATOR'!$T$122,1))*1</f>
        <v>#VALUE!</v>
      </c>
      <c r="Y56" s="118" t="str">
        <f>LEFT('REPORTS PER EVALUATOR'!$T$134,1)</f>
        <v/>
      </c>
      <c r="Z56" s="120" t="e">
        <f>(RIGHT('REPORTS PER EVALUATOR'!$T$134,1))*1</f>
        <v>#VALUE!</v>
      </c>
      <c r="AA56" s="118" t="e">
        <f>LEFT('REPORTS PER EVALUATOR'!#REF!,1)</f>
        <v>#REF!</v>
      </c>
      <c r="AB56" s="120" t="e">
        <f>(RIGHT('REPORTS PER EVALUATOR'!#REF!,1))*1</f>
        <v>#REF!</v>
      </c>
      <c r="AC56" s="118" t="e">
        <f>LEFT('REPORTS PER EVALUATOR'!#REF!,1)</f>
        <v>#REF!</v>
      </c>
      <c r="AD56" s="120" t="e">
        <f>(RIGHT('REPORTS PER EVALUATOR'!#REF!,1))*1</f>
        <v>#REF!</v>
      </c>
      <c r="AE56" s="118" t="e">
        <f>LEFT('REPORTS PER EVALUATOR'!#REF!,1)</f>
        <v>#REF!</v>
      </c>
      <c r="AF56" s="120" t="e">
        <f>(RIGHT('REPORTS PER EVALUATOR'!#REF!,1))*1</f>
        <v>#REF!</v>
      </c>
      <c r="AG56" s="118" t="e">
        <f>LEFT('REPORTS PER EVALUATOR'!#REF!,1)</f>
        <v>#REF!</v>
      </c>
      <c r="AH56" s="120" t="e">
        <f>(RIGHT('REPORTS PER EVALUATOR'!#REF!,1))*1</f>
        <v>#REF!</v>
      </c>
      <c r="AI56" s="118" t="e">
        <f>LEFT('REPORTS PER EVALUATOR'!#REF!,1)</f>
        <v>#REF!</v>
      </c>
      <c r="AJ56" s="120" t="e">
        <f>(RIGHT('REPORTS PER EVALUATOR'!#REF!,1))*1</f>
        <v>#REF!</v>
      </c>
      <c r="AK56" s="118" t="e">
        <f>LEFT('REPORTS PER EVALUATOR'!#REF!,1)</f>
        <v>#REF!</v>
      </c>
      <c r="AL56" s="120" t="e">
        <f>(RIGHT('REPORTS PER EVALUATOR'!#REF!,1))*1</f>
        <v>#REF!</v>
      </c>
      <c r="AM56" s="118" t="e">
        <f>LEFT('REPORTS PER EVALUATOR'!#REF!,1)</f>
        <v>#REF!</v>
      </c>
      <c r="AN56" s="120" t="e">
        <f>(RIGHT('REPORTS PER EVALUATOR'!#REF!,1))*1</f>
        <v>#REF!</v>
      </c>
      <c r="AO56" s="118" t="e">
        <f>LEFT('REPORTS PER EVALUATOR'!#REF!,1)</f>
        <v>#REF!</v>
      </c>
      <c r="AP56" s="120" t="e">
        <f>(RIGHT('REPORTS PER EVALUATOR'!#REF!,1))*1</f>
        <v>#REF!</v>
      </c>
      <c r="AQ56" s="118" t="e">
        <f>LEFT('REPORTS PER EVALUATOR'!#REF!,1)</f>
        <v>#REF!</v>
      </c>
      <c r="AR56" s="120" t="e">
        <f>(RIGHT('REPORTS PER EVALUATOR'!#REF!,1))*1</f>
        <v>#REF!</v>
      </c>
    </row>
    <row r="57" spans="1:44" s="62" customFormat="1" ht="16" thickTop="1" x14ac:dyDescent="0.2">
      <c r="A57" s="215" t="s">
        <v>220</v>
      </c>
      <c r="B57" s="61" t="str">
        <f t="shared" ref="B57:B111" si="4">LEFT(D57,1)</f>
        <v>A</v>
      </c>
      <c r="C57" s="103" t="str">
        <f t="shared" ref="C57:C92" si="5">RIGHT(D57,1)</f>
        <v>B</v>
      </c>
      <c r="D57" s="103" t="s">
        <v>10</v>
      </c>
      <c r="E57" s="63" t="str">
        <f>LEFT('REPORTS PER EVALUATOR'!$W$5,1)</f>
        <v>1</v>
      </c>
      <c r="F57" s="76">
        <f>(RIGHT('REPORTS PER EVALUATOR'!$W$5,1))*1</f>
        <v>1</v>
      </c>
      <c r="G57" s="64" t="str">
        <f>LEFT('REPORTS PER EVALUATOR'!$W$17,1)</f>
        <v>A</v>
      </c>
      <c r="H57" s="84">
        <f>(RIGHT('REPORTS PER EVALUATOR'!$W$17,1))*1</f>
        <v>3</v>
      </c>
      <c r="I57" s="64" t="str">
        <f>LEFT('REPORTS PER EVALUATOR'!$W$29,1)</f>
        <v>1</v>
      </c>
      <c r="J57" s="84">
        <f>(RIGHT('REPORTS PER EVALUATOR'!$W$29,1))*1</f>
        <v>1</v>
      </c>
      <c r="K57" s="64" t="str">
        <f>LEFT('REPORTS PER EVALUATOR'!$W$41,1)</f>
        <v>1</v>
      </c>
      <c r="L57" s="84">
        <f>(RIGHT('REPORTS PER EVALUATOR'!$W$41,1))*1</f>
        <v>1</v>
      </c>
      <c r="M57" s="64" t="str">
        <f>LEFT('REPORTS PER EVALUATOR'!$W$53,1)</f>
        <v>1</v>
      </c>
      <c r="N57" s="84">
        <f>(RIGHT('REPORTS PER EVALUATOR'!$W$53,1))*1</f>
        <v>1</v>
      </c>
      <c r="O57" s="64" t="str">
        <f>LEFT('REPORTS PER EVALUATOR'!$W$65,1)</f>
        <v>1</v>
      </c>
      <c r="P57" s="84">
        <f>(RIGHT('REPORTS PER EVALUATOR'!$W$65,1))*1</f>
        <v>1</v>
      </c>
      <c r="Q57" s="64" t="str">
        <f>LEFT('REPORTS PER EVALUATOR'!$W$77,1)</f>
        <v>A</v>
      </c>
      <c r="R57" s="84">
        <f>(RIGHT('REPORTS PER EVALUATOR'!$W$77,1))*1</f>
        <v>2</v>
      </c>
      <c r="S57" s="64" t="str">
        <f>LEFT('REPORTS PER EVALUATOR'!$W$89,1)</f>
        <v>A</v>
      </c>
      <c r="T57" s="84">
        <f>(RIGHT('REPORTS PER EVALUATOR'!$W$89,1))*1</f>
        <v>2</v>
      </c>
      <c r="U57" s="64" t="str">
        <f>LEFT('REPORTS PER EVALUATOR'!$W$101,1)</f>
        <v>1</v>
      </c>
      <c r="V57" s="84">
        <f>(RIGHT('REPORTS PER EVALUATOR'!$W$101,1))*1</f>
        <v>1</v>
      </c>
      <c r="W57" s="64" t="str">
        <f>LEFT('REPORTS PER EVALUATOR'!$W$113,1)</f>
        <v>A</v>
      </c>
      <c r="X57" s="84">
        <f>(RIGHT('REPORTS PER EVALUATOR'!$W$113,1))*1</f>
        <v>2</v>
      </c>
      <c r="Y57" s="64" t="str">
        <f>LEFT('REPORTS PER EVALUATOR'!$W$125,1)</f>
        <v>1</v>
      </c>
      <c r="Z57" s="96">
        <f>(RIGHT('REPORTS PER EVALUATOR'!$W$125,1))*1</f>
        <v>1</v>
      </c>
      <c r="AA57" s="64" t="e">
        <f>LEFT('REPORTS PER EVALUATOR'!#REF!,1)</f>
        <v>#REF!</v>
      </c>
      <c r="AB57" s="96" t="e">
        <f>(RIGHT('REPORTS PER EVALUATOR'!#REF!,1))*1</f>
        <v>#REF!</v>
      </c>
      <c r="AC57" s="64" t="e">
        <f>LEFT('REPORTS PER EVALUATOR'!#REF!,1)</f>
        <v>#REF!</v>
      </c>
      <c r="AD57" s="96" t="e">
        <f>(RIGHT('REPORTS PER EVALUATOR'!#REF!,1))*1</f>
        <v>#REF!</v>
      </c>
      <c r="AE57" s="64" t="e">
        <f>LEFT('REPORTS PER EVALUATOR'!#REF!,1)</f>
        <v>#REF!</v>
      </c>
      <c r="AF57" s="96" t="e">
        <f>(RIGHT('REPORTS PER EVALUATOR'!#REF!,1))*1</f>
        <v>#REF!</v>
      </c>
      <c r="AG57" s="64" t="e">
        <f>LEFT('REPORTS PER EVALUATOR'!#REF!,1)</f>
        <v>#REF!</v>
      </c>
      <c r="AH57" s="96" t="e">
        <f>(RIGHT('REPORTS PER EVALUATOR'!#REF!,1))*1</f>
        <v>#REF!</v>
      </c>
      <c r="AI57" s="64" t="e">
        <f>LEFT('REPORTS PER EVALUATOR'!#REF!,1)</f>
        <v>#REF!</v>
      </c>
      <c r="AJ57" s="96" t="e">
        <f>(RIGHT('REPORTS PER EVALUATOR'!#REF!,1))*1</f>
        <v>#REF!</v>
      </c>
      <c r="AK57" s="64" t="e">
        <f>LEFT('REPORTS PER EVALUATOR'!#REF!,1)</f>
        <v>#REF!</v>
      </c>
      <c r="AL57" s="96" t="e">
        <f>(RIGHT('REPORTS PER EVALUATOR'!#REF!,1))*1</f>
        <v>#REF!</v>
      </c>
      <c r="AM57" s="64" t="e">
        <f>LEFT('REPORTS PER EVALUATOR'!#REF!,1)</f>
        <v>#REF!</v>
      </c>
      <c r="AN57" s="96" t="e">
        <f>(RIGHT('REPORTS PER EVALUATOR'!#REF!,1))*1</f>
        <v>#REF!</v>
      </c>
      <c r="AO57" s="64" t="e">
        <f>LEFT('REPORTS PER EVALUATOR'!#REF!,1)</f>
        <v>#REF!</v>
      </c>
      <c r="AP57" s="96" t="e">
        <f>(RIGHT('REPORTS PER EVALUATOR'!#REF!,1))*1</f>
        <v>#REF!</v>
      </c>
      <c r="AQ57" s="64" t="e">
        <f>LEFT('REPORTS PER EVALUATOR'!#REF!,1)</f>
        <v>#REF!</v>
      </c>
      <c r="AR57" s="96" t="e">
        <f>(RIGHT('REPORTS PER EVALUATOR'!#REF!,1))*1</f>
        <v>#REF!</v>
      </c>
    </row>
    <row r="58" spans="1:44" x14ac:dyDescent="0.2">
      <c r="A58" s="215"/>
      <c r="B58" s="19" t="str">
        <f t="shared" si="4"/>
        <v>A</v>
      </c>
      <c r="C58" s="18" t="str">
        <f t="shared" si="5"/>
        <v>C</v>
      </c>
      <c r="D58" s="18" t="s">
        <v>11</v>
      </c>
      <c r="E58" s="26" t="str">
        <f>LEFT('REPORTS PER EVALUATOR'!$X$5,1)</f>
        <v>A</v>
      </c>
      <c r="F58" s="74">
        <f>(RIGHT('REPORTS PER EVALUATOR'!$X$5,1))*1</f>
        <v>4</v>
      </c>
      <c r="G58" s="11" t="str">
        <f>LEFT('REPORTS PER EVALUATOR'!$X$17,1)</f>
        <v>A</v>
      </c>
      <c r="H58" s="82">
        <f>(RIGHT('REPORTS PER EVALUATOR'!$X$17,1))*1</f>
        <v>5</v>
      </c>
      <c r="I58" s="11" t="str">
        <f>LEFT('REPORTS PER EVALUATOR'!$X$29,1)</f>
        <v>A</v>
      </c>
      <c r="J58" s="82">
        <f>(RIGHT('REPORTS PER EVALUATOR'!$X$29,1))*1</f>
        <v>2</v>
      </c>
      <c r="K58" s="11" t="str">
        <f>LEFT('REPORTS PER EVALUATOR'!$X$41,1)</f>
        <v>A</v>
      </c>
      <c r="L58" s="82">
        <f>(RIGHT('REPORTS PER EVALUATOR'!$X$41,1))*1</f>
        <v>3</v>
      </c>
      <c r="M58" s="11" t="str">
        <f>LEFT('REPORTS PER EVALUATOR'!$X$53,1)</f>
        <v>A</v>
      </c>
      <c r="N58" s="82">
        <f>(RIGHT('REPORTS PER EVALUATOR'!$X$53,1))*1</f>
        <v>3</v>
      </c>
      <c r="O58" s="11" t="str">
        <f>LEFT('REPORTS PER EVALUATOR'!$X$65,1)</f>
        <v>A</v>
      </c>
      <c r="P58" s="82">
        <f>(RIGHT('REPORTS PER EVALUATOR'!$X$65,1))*1</f>
        <v>4</v>
      </c>
      <c r="Q58" s="11" t="str">
        <f>LEFT('REPORTS PER EVALUATOR'!$X$77,1)</f>
        <v>A</v>
      </c>
      <c r="R58" s="82">
        <f>(RIGHT('REPORTS PER EVALUATOR'!$X$77,1))*1</f>
        <v>4</v>
      </c>
      <c r="S58" s="11" t="str">
        <f>LEFT('REPORTS PER EVALUATOR'!$X$89,1)</f>
        <v>A</v>
      </c>
      <c r="T58" s="82">
        <f>(RIGHT('REPORTS PER EVALUATOR'!$X$89,1))*1</f>
        <v>3</v>
      </c>
      <c r="U58" s="11" t="str">
        <f>LEFT('REPORTS PER EVALUATOR'!$X$101,1)</f>
        <v>A</v>
      </c>
      <c r="V58" s="82">
        <f>(RIGHT('REPORTS PER EVALUATOR'!$X$101,1))*1</f>
        <v>2</v>
      </c>
      <c r="W58" s="11" t="str">
        <f>LEFT('REPORTS PER EVALUATOR'!$X$113,1)</f>
        <v>A</v>
      </c>
      <c r="X58" s="82">
        <f>(RIGHT('REPORTS PER EVALUATOR'!$X$113,1))*1</f>
        <v>2</v>
      </c>
      <c r="Y58" s="11" t="str">
        <f>LEFT('REPORTS PER EVALUATOR'!$X$125,1)</f>
        <v>A</v>
      </c>
      <c r="Z58" s="93">
        <f>(RIGHT('REPORTS PER EVALUATOR'!$X$125,1))*1</f>
        <v>3</v>
      </c>
      <c r="AA58" s="11" t="e">
        <f>LEFT('REPORTS PER EVALUATOR'!#REF!,1)</f>
        <v>#REF!</v>
      </c>
      <c r="AB58" s="93" t="e">
        <f>(RIGHT('REPORTS PER EVALUATOR'!#REF!,1))*1</f>
        <v>#REF!</v>
      </c>
      <c r="AC58" s="11" t="e">
        <f>LEFT('REPORTS PER EVALUATOR'!#REF!,1)</f>
        <v>#REF!</v>
      </c>
      <c r="AD58" s="93" t="e">
        <f>(RIGHT('REPORTS PER EVALUATOR'!#REF!,1))*1</f>
        <v>#REF!</v>
      </c>
      <c r="AE58" s="11" t="e">
        <f>LEFT('REPORTS PER EVALUATOR'!#REF!,1)</f>
        <v>#REF!</v>
      </c>
      <c r="AF58" s="93" t="e">
        <f>(RIGHT('REPORTS PER EVALUATOR'!#REF!,1))*1</f>
        <v>#REF!</v>
      </c>
      <c r="AG58" s="11" t="e">
        <f>LEFT('REPORTS PER EVALUATOR'!#REF!,1)</f>
        <v>#REF!</v>
      </c>
      <c r="AH58" s="93" t="e">
        <f>(RIGHT('REPORTS PER EVALUATOR'!#REF!,1))*1</f>
        <v>#REF!</v>
      </c>
      <c r="AI58" s="11" t="e">
        <f>LEFT('REPORTS PER EVALUATOR'!#REF!,1)</f>
        <v>#REF!</v>
      </c>
      <c r="AJ58" s="93" t="e">
        <f>(RIGHT('REPORTS PER EVALUATOR'!#REF!,1))*1</f>
        <v>#REF!</v>
      </c>
      <c r="AK58" s="11" t="e">
        <f>LEFT('REPORTS PER EVALUATOR'!#REF!,1)</f>
        <v>#REF!</v>
      </c>
      <c r="AL58" s="93" t="e">
        <f>(RIGHT('REPORTS PER EVALUATOR'!#REF!,1))*1</f>
        <v>#REF!</v>
      </c>
      <c r="AM58" s="11" t="e">
        <f>LEFT('REPORTS PER EVALUATOR'!#REF!,1)</f>
        <v>#REF!</v>
      </c>
      <c r="AN58" s="93" t="e">
        <f>(RIGHT('REPORTS PER EVALUATOR'!#REF!,1))*1</f>
        <v>#REF!</v>
      </c>
      <c r="AO58" s="11" t="e">
        <f>LEFT('REPORTS PER EVALUATOR'!#REF!,1)</f>
        <v>#REF!</v>
      </c>
      <c r="AP58" s="93" t="e">
        <f>(RIGHT('REPORTS PER EVALUATOR'!#REF!,1))*1</f>
        <v>#REF!</v>
      </c>
      <c r="AQ58" s="11" t="e">
        <f>LEFT('REPORTS PER EVALUATOR'!#REF!,1)</f>
        <v>#REF!</v>
      </c>
      <c r="AR58" s="93" t="e">
        <f>(RIGHT('REPORTS PER EVALUATOR'!#REF!,1))*1</f>
        <v>#REF!</v>
      </c>
    </row>
    <row r="59" spans="1:44" x14ac:dyDescent="0.2">
      <c r="A59" s="215"/>
      <c r="B59" s="19" t="str">
        <f t="shared" si="4"/>
        <v>A</v>
      </c>
      <c r="C59" s="18" t="str">
        <f t="shared" si="5"/>
        <v>D</v>
      </c>
      <c r="D59" s="18" t="s">
        <v>12</v>
      </c>
      <c r="E59" s="26" t="str">
        <f>LEFT('REPORTS PER EVALUATOR'!$Y$5,1)</f>
        <v>1</v>
      </c>
      <c r="F59" s="74">
        <f>(RIGHT('REPORTS PER EVALUATOR'!$Y$5,1))*1</f>
        <v>1</v>
      </c>
      <c r="G59" s="11" t="str">
        <f>LEFT('REPORTS PER EVALUATOR'!$Y$17,1)</f>
        <v>A</v>
      </c>
      <c r="H59" s="82">
        <f>(RIGHT('REPORTS PER EVALUATOR'!$Y$17,1))*1</f>
        <v>3</v>
      </c>
      <c r="I59" s="11" t="str">
        <f>LEFT('REPORTS PER EVALUATOR'!$Y$29,1)</f>
        <v>1</v>
      </c>
      <c r="J59" s="82">
        <f>(RIGHT('REPORTS PER EVALUATOR'!$Y$29,1))*1</f>
        <v>1</v>
      </c>
      <c r="K59" s="11" t="str">
        <f>LEFT('REPORTS PER EVALUATOR'!$Y$41,1)</f>
        <v>A</v>
      </c>
      <c r="L59" s="82">
        <f>(RIGHT('REPORTS PER EVALUATOR'!$Y$41,1))*1</f>
        <v>2</v>
      </c>
      <c r="M59" s="11" t="str">
        <f>LEFT('REPORTS PER EVALUATOR'!$Y$53,1)</f>
        <v>1</v>
      </c>
      <c r="N59" s="82">
        <f>(RIGHT('REPORTS PER EVALUATOR'!$Y$53,1))*1</f>
        <v>1</v>
      </c>
      <c r="O59" s="11" t="str">
        <f>LEFT('REPORTS PER EVALUATOR'!$Y$65,1)</f>
        <v>A</v>
      </c>
      <c r="P59" s="82">
        <f>(RIGHT('REPORTS PER EVALUATOR'!$Y$65,1))*1</f>
        <v>2</v>
      </c>
      <c r="Q59" s="11" t="str">
        <f>LEFT('REPORTS PER EVALUATOR'!$Y$77,1)</f>
        <v>A</v>
      </c>
      <c r="R59" s="82">
        <f>(RIGHT('REPORTS PER EVALUATOR'!$Y$77,1))*1</f>
        <v>2</v>
      </c>
      <c r="S59" s="11" t="str">
        <f>LEFT('REPORTS PER EVALUATOR'!$Y$89,1)</f>
        <v>A</v>
      </c>
      <c r="T59" s="82">
        <f>(RIGHT('REPORTS PER EVALUATOR'!$Y$89,1))*1</f>
        <v>2</v>
      </c>
      <c r="U59" s="11" t="str">
        <f>LEFT('REPORTS PER EVALUATOR'!$Y$101,1)</f>
        <v>1</v>
      </c>
      <c r="V59" s="82">
        <f>(RIGHT('REPORTS PER EVALUATOR'!$Y$101,1))*1</f>
        <v>1</v>
      </c>
      <c r="W59" s="11" t="str">
        <f>LEFT('REPORTS PER EVALUATOR'!$Y$113,1)</f>
        <v>A</v>
      </c>
      <c r="X59" s="82">
        <f>(RIGHT('REPORTS PER EVALUATOR'!$Y$113,1))*1</f>
        <v>2</v>
      </c>
      <c r="Y59" s="11" t="str">
        <f>LEFT('REPORTS PER EVALUATOR'!$Y$125,1)</f>
        <v>1</v>
      </c>
      <c r="Z59" s="93">
        <f>(RIGHT('REPORTS PER EVALUATOR'!$Y$125,1))*1</f>
        <v>1</v>
      </c>
      <c r="AA59" s="11" t="e">
        <f>LEFT('REPORTS PER EVALUATOR'!#REF!,1)</f>
        <v>#REF!</v>
      </c>
      <c r="AB59" s="93" t="e">
        <f>(RIGHT('REPORTS PER EVALUATOR'!#REF!,1))*1</f>
        <v>#REF!</v>
      </c>
      <c r="AC59" s="11" t="e">
        <f>LEFT('REPORTS PER EVALUATOR'!#REF!,1)</f>
        <v>#REF!</v>
      </c>
      <c r="AD59" s="93" t="e">
        <f>(RIGHT('REPORTS PER EVALUATOR'!#REF!,1))*1</f>
        <v>#REF!</v>
      </c>
      <c r="AE59" s="11" t="e">
        <f>LEFT('REPORTS PER EVALUATOR'!#REF!,1)</f>
        <v>#REF!</v>
      </c>
      <c r="AF59" s="93" t="e">
        <f>(RIGHT('REPORTS PER EVALUATOR'!#REF!,1))*1</f>
        <v>#REF!</v>
      </c>
      <c r="AG59" s="11" t="e">
        <f>LEFT('REPORTS PER EVALUATOR'!#REF!,1)</f>
        <v>#REF!</v>
      </c>
      <c r="AH59" s="93" t="e">
        <f>(RIGHT('REPORTS PER EVALUATOR'!#REF!,1))*1</f>
        <v>#REF!</v>
      </c>
      <c r="AI59" s="11" t="e">
        <f>LEFT('REPORTS PER EVALUATOR'!#REF!,1)</f>
        <v>#REF!</v>
      </c>
      <c r="AJ59" s="93" t="e">
        <f>(RIGHT('REPORTS PER EVALUATOR'!#REF!,1))*1</f>
        <v>#REF!</v>
      </c>
      <c r="AK59" s="11" t="e">
        <f>LEFT('REPORTS PER EVALUATOR'!#REF!,1)</f>
        <v>#REF!</v>
      </c>
      <c r="AL59" s="93" t="e">
        <f>(RIGHT('REPORTS PER EVALUATOR'!#REF!,1))*1</f>
        <v>#REF!</v>
      </c>
      <c r="AM59" s="11" t="e">
        <f>LEFT('REPORTS PER EVALUATOR'!#REF!,1)</f>
        <v>#REF!</v>
      </c>
      <c r="AN59" s="93" t="e">
        <f>(RIGHT('REPORTS PER EVALUATOR'!#REF!,1))*1</f>
        <v>#REF!</v>
      </c>
      <c r="AO59" s="11" t="e">
        <f>LEFT('REPORTS PER EVALUATOR'!#REF!,1)</f>
        <v>#REF!</v>
      </c>
      <c r="AP59" s="93" t="e">
        <f>(RIGHT('REPORTS PER EVALUATOR'!#REF!,1))*1</f>
        <v>#REF!</v>
      </c>
      <c r="AQ59" s="11" t="e">
        <f>LEFT('REPORTS PER EVALUATOR'!#REF!,1)</f>
        <v>#REF!</v>
      </c>
      <c r="AR59" s="93" t="e">
        <f>(RIGHT('REPORTS PER EVALUATOR'!#REF!,1))*1</f>
        <v>#REF!</v>
      </c>
    </row>
    <row r="60" spans="1:44" x14ac:dyDescent="0.2">
      <c r="A60" s="215"/>
      <c r="B60" s="19" t="str">
        <f t="shared" si="4"/>
        <v>A</v>
      </c>
      <c r="C60" s="18" t="str">
        <f t="shared" si="5"/>
        <v>E</v>
      </c>
      <c r="D60" s="18" t="s">
        <v>13</v>
      </c>
      <c r="E60" s="26" t="str">
        <f>LEFT('REPORTS PER EVALUATOR'!$Z$5,1)</f>
        <v>1</v>
      </c>
      <c r="F60" s="74">
        <f>(RIGHT('REPORTS PER EVALUATOR'!$Z$5,1))*1</f>
        <v>1</v>
      </c>
      <c r="G60" s="11" t="str">
        <f>LEFT('REPORTS PER EVALUATOR'!$Z$17,1)</f>
        <v>A</v>
      </c>
      <c r="H60" s="82">
        <f>(RIGHT('REPORTS PER EVALUATOR'!$Z$17,1))*1</f>
        <v>2</v>
      </c>
      <c r="I60" s="11" t="str">
        <f>LEFT('REPORTS PER EVALUATOR'!$Z$29,1)</f>
        <v>E</v>
      </c>
      <c r="J60" s="82">
        <f>(RIGHT('REPORTS PER EVALUATOR'!$Z$29,1))*1</f>
        <v>2</v>
      </c>
      <c r="K60" s="11" t="str">
        <f>LEFT('REPORTS PER EVALUATOR'!$Z$41,1)</f>
        <v>A</v>
      </c>
      <c r="L60" s="82">
        <f>(RIGHT('REPORTS PER EVALUATOR'!$Z$41,1))*1</f>
        <v>2</v>
      </c>
      <c r="M60" s="11" t="str">
        <f>LEFT('REPORTS PER EVALUATOR'!$Z$53,1)</f>
        <v>A</v>
      </c>
      <c r="N60" s="82">
        <f>(RIGHT('REPORTS PER EVALUATOR'!$Z$53,1))*1</f>
        <v>2</v>
      </c>
      <c r="O60" s="11" t="str">
        <f>LEFT('REPORTS PER EVALUATOR'!$Z$65,1)</f>
        <v>1</v>
      </c>
      <c r="P60" s="82">
        <f>(RIGHT('REPORTS PER EVALUATOR'!$Z$65,1))*1</f>
        <v>1</v>
      </c>
      <c r="Q60" s="11" t="str">
        <f>LEFT('REPORTS PER EVALUATOR'!$Z$77,1)</f>
        <v>A</v>
      </c>
      <c r="R60" s="82">
        <f>(RIGHT('REPORTS PER EVALUATOR'!$Z$77,1))*1</f>
        <v>2</v>
      </c>
      <c r="S60" s="11" t="str">
        <f>LEFT('REPORTS PER EVALUATOR'!$Z$89,1)</f>
        <v>1</v>
      </c>
      <c r="T60" s="82">
        <f>(RIGHT('REPORTS PER EVALUATOR'!$Z$89,1))*1</f>
        <v>1</v>
      </c>
      <c r="U60" s="11" t="str">
        <f>LEFT('REPORTS PER EVALUATOR'!$Z$101,1)</f>
        <v>A</v>
      </c>
      <c r="V60" s="82">
        <f>(RIGHT('REPORTS PER EVALUATOR'!$Z$101,1))*1</f>
        <v>2</v>
      </c>
      <c r="W60" s="11" t="str">
        <f>LEFT('REPORTS PER EVALUATOR'!$Z$113,1)</f>
        <v>1</v>
      </c>
      <c r="X60" s="82">
        <f>(RIGHT('REPORTS PER EVALUATOR'!$Z$113,1))*1</f>
        <v>1</v>
      </c>
      <c r="Y60" s="11" t="str">
        <f>LEFT('REPORTS PER EVALUATOR'!$Z$125,1)</f>
        <v>A</v>
      </c>
      <c r="Z60" s="93">
        <f>(RIGHT('REPORTS PER EVALUATOR'!$Z$125,1))*1</f>
        <v>2</v>
      </c>
      <c r="AA60" s="11" t="e">
        <f>LEFT('REPORTS PER EVALUATOR'!#REF!,1)</f>
        <v>#REF!</v>
      </c>
      <c r="AB60" s="93" t="e">
        <f>(RIGHT('REPORTS PER EVALUATOR'!#REF!,1))*1</f>
        <v>#REF!</v>
      </c>
      <c r="AC60" s="11" t="e">
        <f>LEFT('REPORTS PER EVALUATOR'!#REF!,1)</f>
        <v>#REF!</v>
      </c>
      <c r="AD60" s="93" t="e">
        <f>(RIGHT('REPORTS PER EVALUATOR'!#REF!,1))*1</f>
        <v>#REF!</v>
      </c>
      <c r="AE60" s="11" t="e">
        <f>LEFT('REPORTS PER EVALUATOR'!#REF!,1)</f>
        <v>#REF!</v>
      </c>
      <c r="AF60" s="93" t="e">
        <f>(RIGHT('REPORTS PER EVALUATOR'!#REF!,1))*1</f>
        <v>#REF!</v>
      </c>
      <c r="AG60" s="11" t="e">
        <f>LEFT('REPORTS PER EVALUATOR'!#REF!,1)</f>
        <v>#REF!</v>
      </c>
      <c r="AH60" s="93" t="e">
        <f>(RIGHT('REPORTS PER EVALUATOR'!#REF!,1))*1</f>
        <v>#REF!</v>
      </c>
      <c r="AI60" s="11" t="e">
        <f>LEFT('REPORTS PER EVALUATOR'!#REF!,1)</f>
        <v>#REF!</v>
      </c>
      <c r="AJ60" s="93" t="e">
        <f>(RIGHT('REPORTS PER EVALUATOR'!#REF!,1))*1</f>
        <v>#REF!</v>
      </c>
      <c r="AK60" s="11" t="e">
        <f>LEFT('REPORTS PER EVALUATOR'!#REF!,1)</f>
        <v>#REF!</v>
      </c>
      <c r="AL60" s="93" t="e">
        <f>(RIGHT('REPORTS PER EVALUATOR'!#REF!,1))*1</f>
        <v>#REF!</v>
      </c>
      <c r="AM60" s="11" t="e">
        <f>LEFT('REPORTS PER EVALUATOR'!#REF!,1)</f>
        <v>#REF!</v>
      </c>
      <c r="AN60" s="93" t="e">
        <f>(RIGHT('REPORTS PER EVALUATOR'!#REF!,1))*1</f>
        <v>#REF!</v>
      </c>
      <c r="AO60" s="11" t="e">
        <f>LEFT('REPORTS PER EVALUATOR'!#REF!,1)</f>
        <v>#REF!</v>
      </c>
      <c r="AP60" s="93" t="e">
        <f>(RIGHT('REPORTS PER EVALUATOR'!#REF!,1))*1</f>
        <v>#REF!</v>
      </c>
      <c r="AQ60" s="11" t="e">
        <f>LEFT('REPORTS PER EVALUATOR'!#REF!,1)</f>
        <v>#REF!</v>
      </c>
      <c r="AR60" s="93" t="e">
        <f>(RIGHT('REPORTS PER EVALUATOR'!#REF!,1))*1</f>
        <v>#REF!</v>
      </c>
    </row>
    <row r="61" spans="1:44" x14ac:dyDescent="0.2">
      <c r="A61" s="215"/>
      <c r="B61" s="19" t="str">
        <f t="shared" si="4"/>
        <v>A</v>
      </c>
      <c r="C61" s="18" t="str">
        <f t="shared" si="5"/>
        <v>F</v>
      </c>
      <c r="D61" s="18" t="s">
        <v>14</v>
      </c>
      <c r="E61" s="26" t="str">
        <f>LEFT('REPORTS PER EVALUATOR'!$AA$5,1)</f>
        <v>1</v>
      </c>
      <c r="F61" s="74">
        <f>(RIGHT('REPORTS PER EVALUATOR'!$AA$5,1))*1</f>
        <v>1</v>
      </c>
      <c r="G61" s="11" t="str">
        <f>LEFT('REPORTS PER EVALUATOR'!$AA$17,1)</f>
        <v>A</v>
      </c>
      <c r="H61" s="82">
        <f>(RIGHT('REPORTS PER EVALUATOR'!$AA$17,1))*1</f>
        <v>2</v>
      </c>
      <c r="I61" s="11" t="str">
        <f>LEFT('REPORTS PER EVALUATOR'!$AA$29,1)</f>
        <v>F</v>
      </c>
      <c r="J61" s="82">
        <f>(RIGHT('REPORTS PER EVALUATOR'!$AA$29,1))*1</f>
        <v>2</v>
      </c>
      <c r="K61" s="11" t="str">
        <f>LEFT('REPORTS PER EVALUATOR'!$AA$41,1)</f>
        <v>1</v>
      </c>
      <c r="L61" s="82">
        <f>(RIGHT('REPORTS PER EVALUATOR'!$AA$41,1))*1</f>
        <v>1</v>
      </c>
      <c r="M61" s="11" t="str">
        <f>LEFT('REPORTS PER EVALUATOR'!$AA$53,1)</f>
        <v>1</v>
      </c>
      <c r="N61" s="82">
        <f>(RIGHT('REPORTS PER EVALUATOR'!$AA$53,1))*1</f>
        <v>1</v>
      </c>
      <c r="O61" s="11" t="str">
        <f>LEFT('REPORTS PER EVALUATOR'!$AA$65,1)</f>
        <v>1</v>
      </c>
      <c r="P61" s="82">
        <f>(RIGHT('REPORTS PER EVALUATOR'!$AA$65,1))*1</f>
        <v>1</v>
      </c>
      <c r="Q61" s="11" t="str">
        <f>LEFT('REPORTS PER EVALUATOR'!$AA$77,1)</f>
        <v>A</v>
      </c>
      <c r="R61" s="82">
        <f>(RIGHT('REPORTS PER EVALUATOR'!$AA$77,1))*1</f>
        <v>2</v>
      </c>
      <c r="S61" s="11" t="str">
        <f>LEFT('REPORTS PER EVALUATOR'!$AA$89,1)</f>
        <v>A</v>
      </c>
      <c r="T61" s="82">
        <f>(RIGHT('REPORTS PER EVALUATOR'!$AA$89,1))*1</f>
        <v>2</v>
      </c>
      <c r="U61" s="11" t="str">
        <f>LEFT('REPORTS PER EVALUATOR'!$AA$101,1)</f>
        <v>A</v>
      </c>
      <c r="V61" s="82">
        <f>(RIGHT('REPORTS PER EVALUATOR'!$AA$101,1))*1</f>
        <v>2</v>
      </c>
      <c r="W61" s="11" t="str">
        <f>LEFT('REPORTS PER EVALUATOR'!$AA$113,1)</f>
        <v>1</v>
      </c>
      <c r="X61" s="82">
        <f>(RIGHT('REPORTS PER EVALUATOR'!$AA$113,1))*1</f>
        <v>1</v>
      </c>
      <c r="Y61" s="11" t="str">
        <f>LEFT('REPORTS PER EVALUATOR'!$AA$125,1)</f>
        <v>A</v>
      </c>
      <c r="Z61" s="93">
        <f>(RIGHT('REPORTS PER EVALUATOR'!$AA$125,1))*1</f>
        <v>2</v>
      </c>
      <c r="AA61" s="11" t="e">
        <f>LEFT('REPORTS PER EVALUATOR'!#REF!,1)</f>
        <v>#REF!</v>
      </c>
      <c r="AB61" s="93" t="e">
        <f>(RIGHT('REPORTS PER EVALUATOR'!#REF!,1))*1</f>
        <v>#REF!</v>
      </c>
      <c r="AC61" s="11" t="e">
        <f>LEFT('REPORTS PER EVALUATOR'!#REF!,1)</f>
        <v>#REF!</v>
      </c>
      <c r="AD61" s="93" t="e">
        <f>(RIGHT('REPORTS PER EVALUATOR'!#REF!,1))*1</f>
        <v>#REF!</v>
      </c>
      <c r="AE61" s="11" t="e">
        <f>LEFT('REPORTS PER EVALUATOR'!#REF!,1)</f>
        <v>#REF!</v>
      </c>
      <c r="AF61" s="93" t="e">
        <f>(RIGHT('REPORTS PER EVALUATOR'!#REF!,1))*1</f>
        <v>#REF!</v>
      </c>
      <c r="AG61" s="11" t="e">
        <f>LEFT('REPORTS PER EVALUATOR'!#REF!,1)</f>
        <v>#REF!</v>
      </c>
      <c r="AH61" s="93" t="e">
        <f>(RIGHT('REPORTS PER EVALUATOR'!#REF!,1))*1</f>
        <v>#REF!</v>
      </c>
      <c r="AI61" s="11" t="e">
        <f>LEFT('REPORTS PER EVALUATOR'!#REF!,1)</f>
        <v>#REF!</v>
      </c>
      <c r="AJ61" s="93" t="e">
        <f>(RIGHT('REPORTS PER EVALUATOR'!#REF!,1))*1</f>
        <v>#REF!</v>
      </c>
      <c r="AK61" s="11" t="e">
        <f>LEFT('REPORTS PER EVALUATOR'!#REF!,1)</f>
        <v>#REF!</v>
      </c>
      <c r="AL61" s="93" t="e">
        <f>(RIGHT('REPORTS PER EVALUATOR'!#REF!,1))*1</f>
        <v>#REF!</v>
      </c>
      <c r="AM61" s="11" t="e">
        <f>LEFT('REPORTS PER EVALUATOR'!#REF!,1)</f>
        <v>#REF!</v>
      </c>
      <c r="AN61" s="93" t="e">
        <f>(RIGHT('REPORTS PER EVALUATOR'!#REF!,1))*1</f>
        <v>#REF!</v>
      </c>
      <c r="AO61" s="11" t="e">
        <f>LEFT('REPORTS PER EVALUATOR'!#REF!,1)</f>
        <v>#REF!</v>
      </c>
      <c r="AP61" s="93" t="e">
        <f>(RIGHT('REPORTS PER EVALUATOR'!#REF!,1))*1</f>
        <v>#REF!</v>
      </c>
      <c r="AQ61" s="11" t="e">
        <f>LEFT('REPORTS PER EVALUATOR'!#REF!,1)</f>
        <v>#REF!</v>
      </c>
      <c r="AR61" s="93" t="e">
        <f>(RIGHT('REPORTS PER EVALUATOR'!#REF!,1))*1</f>
        <v>#REF!</v>
      </c>
    </row>
    <row r="62" spans="1:44" x14ac:dyDescent="0.2">
      <c r="A62" s="215"/>
      <c r="B62" s="19" t="str">
        <f t="shared" si="4"/>
        <v>A</v>
      </c>
      <c r="C62" s="18" t="str">
        <f t="shared" si="5"/>
        <v>G</v>
      </c>
      <c r="D62" s="18" t="s">
        <v>15</v>
      </c>
      <c r="E62" s="26" t="str">
        <f>LEFT('REPORTS PER EVALUATOR'!$AB$5,1)</f>
        <v>1</v>
      </c>
      <c r="F62" s="74">
        <f>(RIGHT('REPORTS PER EVALUATOR'!$AB$5,1))*1</f>
        <v>1</v>
      </c>
      <c r="G62" s="11" t="str">
        <f>LEFT('REPORTS PER EVALUATOR'!$AB$17,1)</f>
        <v>A</v>
      </c>
      <c r="H62" s="82">
        <f>(RIGHT('REPORTS PER EVALUATOR'!$AB$17,1))*1</f>
        <v>3</v>
      </c>
      <c r="I62" s="11" t="str">
        <f>LEFT('REPORTS PER EVALUATOR'!$AB$29,1)</f>
        <v>1</v>
      </c>
      <c r="J62" s="82">
        <f>(RIGHT('REPORTS PER EVALUATOR'!$AB$29,1))*1</f>
        <v>1</v>
      </c>
      <c r="K62" s="11" t="str">
        <f>LEFT('REPORTS PER EVALUATOR'!$AB$41,1)</f>
        <v>1</v>
      </c>
      <c r="L62" s="82">
        <f>(RIGHT('REPORTS PER EVALUATOR'!$AB$41,1))*1</f>
        <v>1</v>
      </c>
      <c r="M62" s="11" t="str">
        <f>LEFT('REPORTS PER EVALUATOR'!$AB$53,1)</f>
        <v>A</v>
      </c>
      <c r="N62" s="82">
        <f>(RIGHT('REPORTS PER EVALUATOR'!$AB$53,1))*1</f>
        <v>2</v>
      </c>
      <c r="O62" s="11" t="str">
        <f>LEFT('REPORTS PER EVALUATOR'!$AB$65,1)</f>
        <v>A</v>
      </c>
      <c r="P62" s="82">
        <f>(RIGHT('REPORTS PER EVALUATOR'!$AB$65,1))*1</f>
        <v>3</v>
      </c>
      <c r="Q62" s="11" t="str">
        <f>LEFT('REPORTS PER EVALUATOR'!$AB$77,1)</f>
        <v>A</v>
      </c>
      <c r="R62" s="82">
        <f>(RIGHT('REPORTS PER EVALUATOR'!$AB$77,1))*1</f>
        <v>3</v>
      </c>
      <c r="S62" s="11" t="str">
        <f>LEFT('REPORTS PER EVALUATOR'!$AB$89,1)</f>
        <v>A</v>
      </c>
      <c r="T62" s="82">
        <f>(RIGHT('REPORTS PER EVALUATOR'!$AB$89,1))*1</f>
        <v>6</v>
      </c>
      <c r="U62" s="11" t="str">
        <f>LEFT('REPORTS PER EVALUATOR'!$AB$101,1)</f>
        <v>A</v>
      </c>
      <c r="V62" s="82">
        <f>(RIGHT('REPORTS PER EVALUATOR'!$AB$101,1))*1</f>
        <v>3</v>
      </c>
      <c r="W62" s="11" t="str">
        <f>LEFT('REPORTS PER EVALUATOR'!$AB$113,1)</f>
        <v>A</v>
      </c>
      <c r="X62" s="82">
        <f>(RIGHT('REPORTS PER EVALUATOR'!$AB$113,1))*1</f>
        <v>3</v>
      </c>
      <c r="Y62" s="11" t="str">
        <f>LEFT('REPORTS PER EVALUATOR'!$AB$125,1)</f>
        <v>A</v>
      </c>
      <c r="Z62" s="93">
        <f>(RIGHT('REPORTS PER EVALUATOR'!$AB$125,1))*1</f>
        <v>2</v>
      </c>
      <c r="AA62" s="11" t="e">
        <f>LEFT('REPORTS PER EVALUATOR'!#REF!,1)</f>
        <v>#REF!</v>
      </c>
      <c r="AB62" s="93" t="e">
        <f>(RIGHT('REPORTS PER EVALUATOR'!#REF!,1))*1</f>
        <v>#REF!</v>
      </c>
      <c r="AC62" s="11" t="e">
        <f>LEFT('REPORTS PER EVALUATOR'!#REF!,1)</f>
        <v>#REF!</v>
      </c>
      <c r="AD62" s="93" t="e">
        <f>(RIGHT('REPORTS PER EVALUATOR'!#REF!,1))*1</f>
        <v>#REF!</v>
      </c>
      <c r="AE62" s="11" t="e">
        <f>LEFT('REPORTS PER EVALUATOR'!#REF!,1)</f>
        <v>#REF!</v>
      </c>
      <c r="AF62" s="93" t="e">
        <f>(RIGHT('REPORTS PER EVALUATOR'!#REF!,1))*1</f>
        <v>#REF!</v>
      </c>
      <c r="AG62" s="11" t="e">
        <f>LEFT('REPORTS PER EVALUATOR'!#REF!,1)</f>
        <v>#REF!</v>
      </c>
      <c r="AH62" s="93" t="e">
        <f>(RIGHT('REPORTS PER EVALUATOR'!#REF!,1))*1</f>
        <v>#REF!</v>
      </c>
      <c r="AI62" s="11" t="e">
        <f>LEFT('REPORTS PER EVALUATOR'!#REF!,1)</f>
        <v>#REF!</v>
      </c>
      <c r="AJ62" s="93" t="e">
        <f>(RIGHT('REPORTS PER EVALUATOR'!#REF!,1))*1</f>
        <v>#REF!</v>
      </c>
      <c r="AK62" s="11" t="e">
        <f>LEFT('REPORTS PER EVALUATOR'!#REF!,1)</f>
        <v>#REF!</v>
      </c>
      <c r="AL62" s="93" t="e">
        <f>(RIGHT('REPORTS PER EVALUATOR'!#REF!,1))*1</f>
        <v>#REF!</v>
      </c>
      <c r="AM62" s="11" t="e">
        <f>LEFT('REPORTS PER EVALUATOR'!#REF!,1)</f>
        <v>#REF!</v>
      </c>
      <c r="AN62" s="93" t="e">
        <f>(RIGHT('REPORTS PER EVALUATOR'!#REF!,1))*1</f>
        <v>#REF!</v>
      </c>
      <c r="AO62" s="11" t="e">
        <f>LEFT('REPORTS PER EVALUATOR'!#REF!,1)</f>
        <v>#REF!</v>
      </c>
      <c r="AP62" s="93" t="e">
        <f>(RIGHT('REPORTS PER EVALUATOR'!#REF!,1))*1</f>
        <v>#REF!</v>
      </c>
      <c r="AQ62" s="11" t="e">
        <f>LEFT('REPORTS PER EVALUATOR'!#REF!,1)</f>
        <v>#REF!</v>
      </c>
      <c r="AR62" s="93" t="e">
        <f>(RIGHT('REPORTS PER EVALUATOR'!#REF!,1))*1</f>
        <v>#REF!</v>
      </c>
    </row>
    <row r="63" spans="1:44" x14ac:dyDescent="0.2">
      <c r="A63" s="215"/>
      <c r="B63" s="19" t="str">
        <f t="shared" si="4"/>
        <v>A</v>
      </c>
      <c r="C63" s="18" t="str">
        <f t="shared" si="5"/>
        <v>H</v>
      </c>
      <c r="D63" s="18" t="s">
        <v>16</v>
      </c>
      <c r="E63" s="26" t="str">
        <f>LEFT('REPORTS PER EVALUATOR'!$AC$5,1)</f>
        <v>1</v>
      </c>
      <c r="F63" s="74">
        <f>(RIGHT('REPORTS PER EVALUATOR'!$AC$5,1))*1</f>
        <v>1</v>
      </c>
      <c r="G63" s="11" t="str">
        <f>LEFT('REPORTS PER EVALUATOR'!$AC$17,1)</f>
        <v>A</v>
      </c>
      <c r="H63" s="82">
        <f>(RIGHT('REPORTS PER EVALUATOR'!$AC$17,1))*1</f>
        <v>2</v>
      </c>
      <c r="I63" s="11" t="str">
        <f>LEFT('REPORTS PER EVALUATOR'!$AC$29,1)</f>
        <v>1</v>
      </c>
      <c r="J63" s="82">
        <f>(RIGHT('REPORTS PER EVALUATOR'!$AC$29,1))*1</f>
        <v>1</v>
      </c>
      <c r="K63" s="11" t="str">
        <f>LEFT('REPORTS PER EVALUATOR'!$AC$41,1)</f>
        <v>A</v>
      </c>
      <c r="L63" s="82">
        <f>(RIGHT('REPORTS PER EVALUATOR'!$AC$41,1))*1</f>
        <v>2</v>
      </c>
      <c r="M63" s="11" t="str">
        <f>LEFT('REPORTS PER EVALUATOR'!$AC$53,1)</f>
        <v>1</v>
      </c>
      <c r="N63" s="82">
        <f>(RIGHT('REPORTS PER EVALUATOR'!$AC$53,1))*1</f>
        <v>1</v>
      </c>
      <c r="O63" s="11" t="str">
        <f>LEFT('REPORTS PER EVALUATOR'!$AC$65,1)</f>
        <v>A</v>
      </c>
      <c r="P63" s="82">
        <f>(RIGHT('REPORTS PER EVALUATOR'!$AC$65,1))*1</f>
        <v>2</v>
      </c>
      <c r="Q63" s="11" t="str">
        <f>LEFT('REPORTS PER EVALUATOR'!$AC$77,1)</f>
        <v>A</v>
      </c>
      <c r="R63" s="82">
        <f>(RIGHT('REPORTS PER EVALUATOR'!$AC$77,1))*1</f>
        <v>2</v>
      </c>
      <c r="S63" s="11" t="str">
        <f>LEFT('REPORTS PER EVALUATOR'!$AC$89,1)</f>
        <v>1</v>
      </c>
      <c r="T63" s="82">
        <f>(RIGHT('REPORTS PER EVALUATOR'!$AC$89,1))*1</f>
        <v>1</v>
      </c>
      <c r="U63" s="11" t="str">
        <f>LEFT('REPORTS PER EVALUATOR'!$AC$101,1)</f>
        <v>1</v>
      </c>
      <c r="V63" s="82">
        <f>(RIGHT('REPORTS PER EVALUATOR'!$AC$101,1))*1</f>
        <v>1</v>
      </c>
      <c r="W63" s="11" t="str">
        <f>LEFT('REPORTS PER EVALUATOR'!$AC$113,1)</f>
        <v>1</v>
      </c>
      <c r="X63" s="82">
        <f>(RIGHT('REPORTS PER EVALUATOR'!$AC$113,1))*1</f>
        <v>1</v>
      </c>
      <c r="Y63" s="11" t="str">
        <f>LEFT('REPORTS PER EVALUATOR'!$AC$125,1)</f>
        <v>1</v>
      </c>
      <c r="Z63" s="93">
        <f>(RIGHT('REPORTS PER EVALUATOR'!$AC$125,1))*1</f>
        <v>1</v>
      </c>
      <c r="AA63" s="11" t="e">
        <f>LEFT('REPORTS PER EVALUATOR'!#REF!,1)</f>
        <v>#REF!</v>
      </c>
      <c r="AB63" s="93" t="e">
        <f>(RIGHT('REPORTS PER EVALUATOR'!#REF!,1))*1</f>
        <v>#REF!</v>
      </c>
      <c r="AC63" s="11" t="e">
        <f>LEFT('REPORTS PER EVALUATOR'!#REF!,1)</f>
        <v>#REF!</v>
      </c>
      <c r="AD63" s="93" t="e">
        <f>(RIGHT('REPORTS PER EVALUATOR'!#REF!,1))*1</f>
        <v>#REF!</v>
      </c>
      <c r="AE63" s="11" t="e">
        <f>LEFT('REPORTS PER EVALUATOR'!#REF!,1)</f>
        <v>#REF!</v>
      </c>
      <c r="AF63" s="93" t="e">
        <f>(RIGHT('REPORTS PER EVALUATOR'!#REF!,1))*1</f>
        <v>#REF!</v>
      </c>
      <c r="AG63" s="11" t="e">
        <f>LEFT('REPORTS PER EVALUATOR'!#REF!,1)</f>
        <v>#REF!</v>
      </c>
      <c r="AH63" s="93" t="e">
        <f>(RIGHT('REPORTS PER EVALUATOR'!#REF!,1))*1</f>
        <v>#REF!</v>
      </c>
      <c r="AI63" s="11" t="e">
        <f>LEFT('REPORTS PER EVALUATOR'!#REF!,1)</f>
        <v>#REF!</v>
      </c>
      <c r="AJ63" s="93" t="e">
        <f>(RIGHT('REPORTS PER EVALUATOR'!#REF!,1))*1</f>
        <v>#REF!</v>
      </c>
      <c r="AK63" s="11" t="e">
        <f>LEFT('REPORTS PER EVALUATOR'!#REF!,1)</f>
        <v>#REF!</v>
      </c>
      <c r="AL63" s="93" t="e">
        <f>(RIGHT('REPORTS PER EVALUATOR'!#REF!,1))*1</f>
        <v>#REF!</v>
      </c>
      <c r="AM63" s="11" t="e">
        <f>LEFT('REPORTS PER EVALUATOR'!#REF!,1)</f>
        <v>#REF!</v>
      </c>
      <c r="AN63" s="93" t="e">
        <f>(RIGHT('REPORTS PER EVALUATOR'!#REF!,1))*1</f>
        <v>#REF!</v>
      </c>
      <c r="AO63" s="11" t="e">
        <f>LEFT('REPORTS PER EVALUATOR'!#REF!,1)</f>
        <v>#REF!</v>
      </c>
      <c r="AP63" s="93" t="e">
        <f>(RIGHT('REPORTS PER EVALUATOR'!#REF!,1))*1</f>
        <v>#REF!</v>
      </c>
      <c r="AQ63" s="11" t="e">
        <f>LEFT('REPORTS PER EVALUATOR'!#REF!,1)</f>
        <v>#REF!</v>
      </c>
      <c r="AR63" s="93" t="e">
        <f>(RIGHT('REPORTS PER EVALUATOR'!#REF!,1))*1</f>
        <v>#REF!</v>
      </c>
    </row>
    <row r="64" spans="1:44" x14ac:dyDescent="0.2">
      <c r="A64" s="215"/>
      <c r="B64" s="19" t="str">
        <f t="shared" si="4"/>
        <v>A</v>
      </c>
      <c r="C64" s="18" t="str">
        <f t="shared" si="5"/>
        <v>I</v>
      </c>
      <c r="D64" s="18" t="s">
        <v>17</v>
      </c>
      <c r="E64" s="26" t="str">
        <f>LEFT('REPORTS PER EVALUATOR'!$AD$5,1)</f>
        <v>1</v>
      </c>
      <c r="F64" s="74">
        <f>(RIGHT('REPORTS PER EVALUATOR'!$AD$5,1))*1</f>
        <v>1</v>
      </c>
      <c r="G64" s="11" t="str">
        <f>LEFT('REPORTS PER EVALUATOR'!$AD$17,1)</f>
        <v>A</v>
      </c>
      <c r="H64" s="82">
        <f>(RIGHT('REPORTS PER EVALUATOR'!$AD$17,1))*1</f>
        <v>3</v>
      </c>
      <c r="I64" s="11" t="str">
        <f>LEFT('REPORTS PER EVALUATOR'!$AD$29,1)</f>
        <v>1</v>
      </c>
      <c r="J64" s="82">
        <f>(RIGHT('REPORTS PER EVALUATOR'!$AD$29,1))*1</f>
        <v>1</v>
      </c>
      <c r="K64" s="11" t="str">
        <f>LEFT('REPORTS PER EVALUATOR'!$AD$41,1)</f>
        <v>1</v>
      </c>
      <c r="L64" s="82">
        <f>(RIGHT('REPORTS PER EVALUATOR'!$AD$41,1))*1</f>
        <v>1</v>
      </c>
      <c r="M64" s="11" t="str">
        <f>LEFT('REPORTS PER EVALUATOR'!$AD$53,1)</f>
        <v>A</v>
      </c>
      <c r="N64" s="82">
        <f>(RIGHT('REPORTS PER EVALUATOR'!$AD$53,1))*1</f>
        <v>2</v>
      </c>
      <c r="O64" s="11" t="str">
        <f>LEFT('REPORTS PER EVALUATOR'!$AD$65,1)</f>
        <v>A</v>
      </c>
      <c r="P64" s="82">
        <f>(RIGHT('REPORTS PER EVALUATOR'!$AD$65,1))*1</f>
        <v>2</v>
      </c>
      <c r="Q64" s="11" t="str">
        <f>LEFT('REPORTS PER EVALUATOR'!$AD$77,1)</f>
        <v>A</v>
      </c>
      <c r="R64" s="82">
        <f>(RIGHT('REPORTS PER EVALUATOR'!$AD$77,1))*1</f>
        <v>2</v>
      </c>
      <c r="S64" s="11" t="str">
        <f>LEFT('REPORTS PER EVALUATOR'!$AD$89,1)</f>
        <v>A</v>
      </c>
      <c r="T64" s="82">
        <f>(RIGHT('REPORTS PER EVALUATOR'!$AD$89,1))*1</f>
        <v>3</v>
      </c>
      <c r="U64" s="11" t="str">
        <f>LEFT('REPORTS PER EVALUATOR'!$AD$101,1)</f>
        <v>A</v>
      </c>
      <c r="V64" s="82">
        <f>(RIGHT('REPORTS PER EVALUATOR'!$AD$101,1))*1</f>
        <v>2</v>
      </c>
      <c r="W64" s="11" t="str">
        <f>LEFT('REPORTS PER EVALUATOR'!$AD$113,1)</f>
        <v>1</v>
      </c>
      <c r="X64" s="82">
        <f>(RIGHT('REPORTS PER EVALUATOR'!$AD$113,1))*1</f>
        <v>1</v>
      </c>
      <c r="Y64" s="11" t="str">
        <f>LEFT('REPORTS PER EVALUATOR'!$AD$125,1)</f>
        <v>1</v>
      </c>
      <c r="Z64" s="93">
        <f>(RIGHT('REPORTS PER EVALUATOR'!$AD$125,1))*1</f>
        <v>1</v>
      </c>
      <c r="AA64" s="11" t="e">
        <f>LEFT('REPORTS PER EVALUATOR'!#REF!,1)</f>
        <v>#REF!</v>
      </c>
      <c r="AB64" s="93" t="e">
        <f>(RIGHT('REPORTS PER EVALUATOR'!#REF!,1))*1</f>
        <v>#REF!</v>
      </c>
      <c r="AC64" s="11" t="e">
        <f>LEFT('REPORTS PER EVALUATOR'!#REF!,1)</f>
        <v>#REF!</v>
      </c>
      <c r="AD64" s="93" t="e">
        <f>(RIGHT('REPORTS PER EVALUATOR'!#REF!,1))*1</f>
        <v>#REF!</v>
      </c>
      <c r="AE64" s="11" t="e">
        <f>LEFT('REPORTS PER EVALUATOR'!#REF!,1)</f>
        <v>#REF!</v>
      </c>
      <c r="AF64" s="93" t="e">
        <f>(RIGHT('REPORTS PER EVALUATOR'!#REF!,1))*1</f>
        <v>#REF!</v>
      </c>
      <c r="AG64" s="11" t="e">
        <f>LEFT('REPORTS PER EVALUATOR'!#REF!,1)</f>
        <v>#REF!</v>
      </c>
      <c r="AH64" s="93" t="e">
        <f>(RIGHT('REPORTS PER EVALUATOR'!#REF!,1))*1</f>
        <v>#REF!</v>
      </c>
      <c r="AI64" s="11" t="e">
        <f>LEFT('REPORTS PER EVALUATOR'!#REF!,1)</f>
        <v>#REF!</v>
      </c>
      <c r="AJ64" s="93" t="e">
        <f>(RIGHT('REPORTS PER EVALUATOR'!#REF!,1))*1</f>
        <v>#REF!</v>
      </c>
      <c r="AK64" s="11" t="e">
        <f>LEFT('REPORTS PER EVALUATOR'!#REF!,1)</f>
        <v>#REF!</v>
      </c>
      <c r="AL64" s="93" t="e">
        <f>(RIGHT('REPORTS PER EVALUATOR'!#REF!,1))*1</f>
        <v>#REF!</v>
      </c>
      <c r="AM64" s="11" t="e">
        <f>LEFT('REPORTS PER EVALUATOR'!#REF!,1)</f>
        <v>#REF!</v>
      </c>
      <c r="AN64" s="93" t="e">
        <f>(RIGHT('REPORTS PER EVALUATOR'!#REF!,1))*1</f>
        <v>#REF!</v>
      </c>
      <c r="AO64" s="11" t="e">
        <f>LEFT('REPORTS PER EVALUATOR'!#REF!,1)</f>
        <v>#REF!</v>
      </c>
      <c r="AP64" s="93" t="e">
        <f>(RIGHT('REPORTS PER EVALUATOR'!#REF!,1))*1</f>
        <v>#REF!</v>
      </c>
      <c r="AQ64" s="11" t="e">
        <f>LEFT('REPORTS PER EVALUATOR'!#REF!,1)</f>
        <v>#REF!</v>
      </c>
      <c r="AR64" s="93" t="e">
        <f>(RIGHT('REPORTS PER EVALUATOR'!#REF!,1))*1</f>
        <v>#REF!</v>
      </c>
    </row>
    <row r="65" spans="1:44" x14ac:dyDescent="0.2">
      <c r="A65" s="215"/>
      <c r="B65" s="19" t="str">
        <f t="shared" si="4"/>
        <v>A</v>
      </c>
      <c r="C65" s="18" t="str">
        <f t="shared" si="5"/>
        <v>L</v>
      </c>
      <c r="D65" s="18" t="s">
        <v>18</v>
      </c>
      <c r="E65" s="26" t="str">
        <f>LEFT('REPORTS PER EVALUATOR'!$AE$5,1)</f>
        <v>A</v>
      </c>
      <c r="F65" s="74">
        <f>(RIGHT('REPORTS PER EVALUATOR'!$AE$5,1))*1</f>
        <v>2</v>
      </c>
      <c r="G65" s="11" t="str">
        <f>LEFT('REPORTS PER EVALUATOR'!$AE$17,1)</f>
        <v>A</v>
      </c>
      <c r="H65" s="82">
        <f>(RIGHT('REPORTS PER EVALUATOR'!$AE$17,1))*1</f>
        <v>3</v>
      </c>
      <c r="I65" s="11" t="str">
        <f>LEFT('REPORTS PER EVALUATOR'!$AE$29,1)</f>
        <v>A</v>
      </c>
      <c r="J65" s="82">
        <f>(RIGHT('REPORTS PER EVALUATOR'!$AE$29,1))*1</f>
        <v>3</v>
      </c>
      <c r="K65" s="11" t="str">
        <f>LEFT('REPORTS PER EVALUATOR'!$AE$41,1)</f>
        <v>A</v>
      </c>
      <c r="L65" s="82">
        <f>(RIGHT('REPORTS PER EVALUATOR'!$AE$41,1))*1</f>
        <v>3</v>
      </c>
      <c r="M65" s="11" t="str">
        <f>LEFT('REPORTS PER EVALUATOR'!$AE$53,1)</f>
        <v>A</v>
      </c>
      <c r="N65" s="82">
        <f>(RIGHT('REPORTS PER EVALUATOR'!$AE$53,1))*1</f>
        <v>2</v>
      </c>
      <c r="O65" s="11" t="str">
        <f>LEFT('REPORTS PER EVALUATOR'!$AE$65,1)</f>
        <v>A</v>
      </c>
      <c r="P65" s="82">
        <f>(RIGHT('REPORTS PER EVALUATOR'!$AE$65,1))*1</f>
        <v>3</v>
      </c>
      <c r="Q65" s="11" t="str">
        <f>LEFT('REPORTS PER EVALUATOR'!$AE$77,1)</f>
        <v>A</v>
      </c>
      <c r="R65" s="82">
        <f>(RIGHT('REPORTS PER EVALUATOR'!$AE$77,1))*1</f>
        <v>3</v>
      </c>
      <c r="S65" s="11" t="str">
        <f>LEFT('REPORTS PER EVALUATOR'!$AE$89,1)</f>
        <v>1</v>
      </c>
      <c r="T65" s="82">
        <f>(RIGHT('REPORTS PER EVALUATOR'!$AE$89,1))*1</f>
        <v>1</v>
      </c>
      <c r="U65" s="11" t="str">
        <f>LEFT('REPORTS PER EVALUATOR'!$AE$101,1)</f>
        <v>A</v>
      </c>
      <c r="V65" s="82">
        <f>(RIGHT('REPORTS PER EVALUATOR'!$AE$101,1))*1</f>
        <v>2</v>
      </c>
      <c r="W65" s="11" t="str">
        <f>LEFT('REPORTS PER EVALUATOR'!$AE$113,1)</f>
        <v>A</v>
      </c>
      <c r="X65" s="82">
        <f>(RIGHT('REPORTS PER EVALUATOR'!$AE$113,1))*1</f>
        <v>3</v>
      </c>
      <c r="Y65" s="11" t="str">
        <f>LEFT('REPORTS PER EVALUATOR'!$AE$125,1)</f>
        <v>A</v>
      </c>
      <c r="Z65" s="93">
        <f>(RIGHT('REPORTS PER EVALUATOR'!$AE$125,1))*1</f>
        <v>2</v>
      </c>
      <c r="AA65" s="11" t="e">
        <f>LEFT('REPORTS PER EVALUATOR'!#REF!,1)</f>
        <v>#REF!</v>
      </c>
      <c r="AB65" s="93" t="e">
        <f>(RIGHT('REPORTS PER EVALUATOR'!#REF!,1))*1</f>
        <v>#REF!</v>
      </c>
      <c r="AC65" s="11" t="e">
        <f>LEFT('REPORTS PER EVALUATOR'!#REF!,1)</f>
        <v>#REF!</v>
      </c>
      <c r="AD65" s="93" t="e">
        <f>(RIGHT('REPORTS PER EVALUATOR'!#REF!,1))*1</f>
        <v>#REF!</v>
      </c>
      <c r="AE65" s="11" t="e">
        <f>LEFT('REPORTS PER EVALUATOR'!#REF!,1)</f>
        <v>#REF!</v>
      </c>
      <c r="AF65" s="93" t="e">
        <f>(RIGHT('REPORTS PER EVALUATOR'!#REF!,1))*1</f>
        <v>#REF!</v>
      </c>
      <c r="AG65" s="11" t="e">
        <f>LEFT('REPORTS PER EVALUATOR'!#REF!,1)</f>
        <v>#REF!</v>
      </c>
      <c r="AH65" s="93" t="e">
        <f>(RIGHT('REPORTS PER EVALUATOR'!#REF!,1))*1</f>
        <v>#REF!</v>
      </c>
      <c r="AI65" s="11" t="e">
        <f>LEFT('REPORTS PER EVALUATOR'!#REF!,1)</f>
        <v>#REF!</v>
      </c>
      <c r="AJ65" s="93" t="e">
        <f>(RIGHT('REPORTS PER EVALUATOR'!#REF!,1))*1</f>
        <v>#REF!</v>
      </c>
      <c r="AK65" s="11" t="e">
        <f>LEFT('REPORTS PER EVALUATOR'!#REF!,1)</f>
        <v>#REF!</v>
      </c>
      <c r="AL65" s="93" t="e">
        <f>(RIGHT('REPORTS PER EVALUATOR'!#REF!,1))*1</f>
        <v>#REF!</v>
      </c>
      <c r="AM65" s="11" t="e">
        <f>LEFT('REPORTS PER EVALUATOR'!#REF!,1)</f>
        <v>#REF!</v>
      </c>
      <c r="AN65" s="93" t="e">
        <f>(RIGHT('REPORTS PER EVALUATOR'!#REF!,1))*1</f>
        <v>#REF!</v>
      </c>
      <c r="AO65" s="11" t="e">
        <f>LEFT('REPORTS PER EVALUATOR'!#REF!,1)</f>
        <v>#REF!</v>
      </c>
      <c r="AP65" s="93" t="e">
        <f>(RIGHT('REPORTS PER EVALUATOR'!#REF!,1))*1</f>
        <v>#REF!</v>
      </c>
      <c r="AQ65" s="11" t="e">
        <f>LEFT('REPORTS PER EVALUATOR'!#REF!,1)</f>
        <v>#REF!</v>
      </c>
      <c r="AR65" s="93" t="e">
        <f>(RIGHT('REPORTS PER EVALUATOR'!#REF!,1))*1</f>
        <v>#REF!</v>
      </c>
    </row>
    <row r="66" spans="1:44" x14ac:dyDescent="0.2">
      <c r="A66" s="215"/>
      <c r="B66" s="19" t="str">
        <f t="shared" si="4"/>
        <v>A</v>
      </c>
      <c r="C66" s="18" t="str">
        <f t="shared" si="5"/>
        <v>M</v>
      </c>
      <c r="D66" s="18" t="s">
        <v>157</v>
      </c>
      <c r="E66" s="26" t="str">
        <f>LEFT('REPORTS PER EVALUATOR'!$AF$5,1)</f>
        <v/>
      </c>
      <c r="F66" s="74" t="e">
        <f>(RIGHT('REPORTS PER EVALUATOR'!$AF$5,1))*1</f>
        <v>#VALUE!</v>
      </c>
      <c r="G66" s="11" t="str">
        <f>LEFT('REPORTS PER EVALUATOR'!$AF$17,1)</f>
        <v/>
      </c>
      <c r="H66" s="82" t="e">
        <f>(RIGHT('REPORTS PER EVALUATOR'!$AF$17,1))*1</f>
        <v>#VALUE!</v>
      </c>
      <c r="I66" s="11" t="str">
        <f>LEFT('REPORTS PER EVALUATOR'!$AF$29,1)</f>
        <v/>
      </c>
      <c r="J66" s="82" t="e">
        <f>(RIGHT('REPORTS PER EVALUATOR'!$AF$29,1))*1</f>
        <v>#VALUE!</v>
      </c>
      <c r="K66" s="11" t="str">
        <f>LEFT('REPORTS PER EVALUATOR'!$AF$41,1)</f>
        <v/>
      </c>
      <c r="L66" s="82" t="e">
        <f>(RIGHT('REPORTS PER EVALUATOR'!$AF$41,1))*1</f>
        <v>#VALUE!</v>
      </c>
      <c r="M66" s="11" t="str">
        <f>LEFT('REPORTS PER EVALUATOR'!$AF$53,1)</f>
        <v/>
      </c>
      <c r="N66" s="82" t="e">
        <f>(RIGHT('REPORTS PER EVALUATOR'!$AF$53,1))*1</f>
        <v>#VALUE!</v>
      </c>
      <c r="O66" s="11" t="str">
        <f>LEFT('REPORTS PER EVALUATOR'!$AF$65,1)</f>
        <v/>
      </c>
      <c r="P66" s="82" t="e">
        <f>(RIGHT('REPORTS PER EVALUATOR'!$AF$65,1))*1</f>
        <v>#VALUE!</v>
      </c>
      <c r="Q66" s="11" t="str">
        <f>LEFT('REPORTS PER EVALUATOR'!$AF$77,1)</f>
        <v/>
      </c>
      <c r="R66" s="82" t="e">
        <f>(RIGHT('REPORTS PER EVALUATOR'!$AF$77,1))*1</f>
        <v>#VALUE!</v>
      </c>
      <c r="S66" s="11" t="str">
        <f>LEFT('REPORTS PER EVALUATOR'!$AF$89,1)</f>
        <v/>
      </c>
      <c r="T66" s="82" t="e">
        <f>(RIGHT('REPORTS PER EVALUATOR'!$AF$89,1))*1</f>
        <v>#VALUE!</v>
      </c>
      <c r="U66" s="11" t="str">
        <f>LEFT('REPORTS PER EVALUATOR'!$AF$101,1)</f>
        <v/>
      </c>
      <c r="V66" s="82" t="e">
        <f>(RIGHT('REPORTS PER EVALUATOR'!$AF$101,1))*1</f>
        <v>#VALUE!</v>
      </c>
      <c r="W66" s="11" t="str">
        <f>LEFT('REPORTS PER EVALUATOR'!$AF$113,1)</f>
        <v/>
      </c>
      <c r="X66" s="82" t="e">
        <f>(RIGHT('REPORTS PER EVALUATOR'!$AF$113,1))*1</f>
        <v>#VALUE!</v>
      </c>
      <c r="Y66" s="11" t="str">
        <f>LEFT('REPORTS PER EVALUATOR'!$AF$125,1)</f>
        <v/>
      </c>
      <c r="Z66" s="93" t="e">
        <f>(RIGHT('REPORTS PER EVALUATOR'!$AF$125,1))*1</f>
        <v>#VALUE!</v>
      </c>
      <c r="AA66" s="11" t="e">
        <f>LEFT('REPORTS PER EVALUATOR'!#REF!,1)</f>
        <v>#REF!</v>
      </c>
      <c r="AB66" s="93" t="e">
        <f>(RIGHT('REPORTS PER EVALUATOR'!#REF!,1))*1</f>
        <v>#REF!</v>
      </c>
      <c r="AC66" s="11" t="e">
        <f>LEFT('REPORTS PER EVALUATOR'!#REF!,1)</f>
        <v>#REF!</v>
      </c>
      <c r="AD66" s="93" t="e">
        <f>(RIGHT('REPORTS PER EVALUATOR'!#REF!,1))*1</f>
        <v>#REF!</v>
      </c>
      <c r="AE66" s="11" t="e">
        <f>LEFT('REPORTS PER EVALUATOR'!#REF!,1)</f>
        <v>#REF!</v>
      </c>
      <c r="AF66" s="93" t="e">
        <f>(RIGHT('REPORTS PER EVALUATOR'!#REF!,1))*1</f>
        <v>#REF!</v>
      </c>
      <c r="AG66" s="11" t="e">
        <f>LEFT('REPORTS PER EVALUATOR'!#REF!,1)</f>
        <v>#REF!</v>
      </c>
      <c r="AH66" s="93" t="e">
        <f>(RIGHT('REPORTS PER EVALUATOR'!#REF!,1))*1</f>
        <v>#REF!</v>
      </c>
      <c r="AI66" s="11" t="e">
        <f>LEFT('REPORTS PER EVALUATOR'!#REF!,1)</f>
        <v>#REF!</v>
      </c>
      <c r="AJ66" s="93" t="e">
        <f>(RIGHT('REPORTS PER EVALUATOR'!#REF!,1))*1</f>
        <v>#REF!</v>
      </c>
      <c r="AK66" s="11" t="e">
        <f>LEFT('REPORTS PER EVALUATOR'!#REF!,1)</f>
        <v>#REF!</v>
      </c>
      <c r="AL66" s="93" t="e">
        <f>(RIGHT('REPORTS PER EVALUATOR'!#REF!,1))*1</f>
        <v>#REF!</v>
      </c>
      <c r="AM66" s="11" t="e">
        <f>LEFT('REPORTS PER EVALUATOR'!#REF!,1)</f>
        <v>#REF!</v>
      </c>
      <c r="AN66" s="93" t="e">
        <f>(RIGHT('REPORTS PER EVALUATOR'!#REF!,1))*1</f>
        <v>#REF!</v>
      </c>
      <c r="AO66" s="11" t="e">
        <f>LEFT('REPORTS PER EVALUATOR'!#REF!,1)</f>
        <v>#REF!</v>
      </c>
      <c r="AP66" s="93" t="e">
        <f>(RIGHT('REPORTS PER EVALUATOR'!#REF!,1))*1</f>
        <v>#REF!</v>
      </c>
      <c r="AQ66" s="11" t="e">
        <f>LEFT('REPORTS PER EVALUATOR'!#REF!,1)</f>
        <v>#REF!</v>
      </c>
      <c r="AR66" s="93" t="e">
        <f>(RIGHT('REPORTS PER EVALUATOR'!#REF!,1))*1</f>
        <v>#REF!</v>
      </c>
    </row>
    <row r="67" spans="1:44" x14ac:dyDescent="0.2">
      <c r="A67" s="215"/>
      <c r="B67" s="19" t="str">
        <f t="shared" si="4"/>
        <v>B</v>
      </c>
      <c r="C67" s="18" t="str">
        <f t="shared" si="5"/>
        <v>C</v>
      </c>
      <c r="D67" s="18" t="s">
        <v>20</v>
      </c>
      <c r="E67" s="65" t="str">
        <f>LEFT('REPORTS PER EVALUATOR'!$X$6,1)</f>
        <v>B</v>
      </c>
      <c r="F67" s="77">
        <f>(RIGHT('REPORTS PER EVALUATOR'!$X$6,1))*1</f>
        <v>2</v>
      </c>
      <c r="G67" s="66" t="str">
        <f>LEFT('REPORTS PER EVALUATOR'!$X$18,1)</f>
        <v>B</v>
      </c>
      <c r="H67" s="85">
        <f>(RIGHT('REPORTS PER EVALUATOR'!$X$18,1))*1</f>
        <v>3</v>
      </c>
      <c r="I67" s="66" t="str">
        <f>LEFT('REPORTS PER EVALUATOR'!$X$30,1)</f>
        <v>C</v>
      </c>
      <c r="J67" s="85">
        <f>(RIGHT('REPORTS PER EVALUATOR'!$X$30,1))*1</f>
        <v>2</v>
      </c>
      <c r="K67" s="66" t="str">
        <f>LEFT('REPORTS PER EVALUATOR'!$X$42,1)</f>
        <v>C</v>
      </c>
      <c r="L67" s="85">
        <f>(RIGHT('REPORTS PER EVALUATOR'!$X$42,1))*1</f>
        <v>2</v>
      </c>
      <c r="M67" s="66" t="str">
        <f>LEFT('REPORTS PER EVALUATOR'!$X$54,1)</f>
        <v>B</v>
      </c>
      <c r="N67" s="85">
        <f>(RIGHT('REPORTS PER EVALUATOR'!$X$54,1))*1</f>
        <v>3</v>
      </c>
      <c r="O67" s="66" t="str">
        <f>LEFT('REPORTS PER EVALUATOR'!$X$66,1)</f>
        <v>B</v>
      </c>
      <c r="P67" s="85">
        <f>(RIGHT('REPORTS PER EVALUATOR'!$X$66,1))*1</f>
        <v>3</v>
      </c>
      <c r="Q67" s="66" t="str">
        <f>LEFT('REPORTS PER EVALUATOR'!$X$78,1)</f>
        <v>B</v>
      </c>
      <c r="R67" s="85">
        <f>(RIGHT('REPORTS PER EVALUATOR'!$X$78,1))*1</f>
        <v>3</v>
      </c>
      <c r="S67" s="66" t="str">
        <f>LEFT('REPORTS PER EVALUATOR'!$X$90,1)</f>
        <v>1</v>
      </c>
      <c r="T67" s="85">
        <f>(RIGHT('REPORTS PER EVALUATOR'!$X$90,1))*1</f>
        <v>1</v>
      </c>
      <c r="U67" s="66" t="str">
        <f>LEFT('REPORTS PER EVALUATOR'!$X$102,1)</f>
        <v>B</v>
      </c>
      <c r="V67" s="85">
        <f>(RIGHT('REPORTS PER EVALUATOR'!$X$102,1))*1</f>
        <v>2</v>
      </c>
      <c r="W67" s="66" t="str">
        <f>LEFT('REPORTS PER EVALUATOR'!$X$114,1)</f>
        <v>B</v>
      </c>
      <c r="X67" s="85">
        <f>(RIGHT('REPORTS PER EVALUATOR'!$X$114,1))*1</f>
        <v>2</v>
      </c>
      <c r="Y67" s="66" t="str">
        <f>LEFT('REPORTS PER EVALUATOR'!$X$126,1)</f>
        <v>B</v>
      </c>
      <c r="Z67" s="97">
        <f>(RIGHT('REPORTS PER EVALUATOR'!$X$126,1))*1</f>
        <v>2</v>
      </c>
      <c r="AA67" s="66" t="e">
        <f>LEFT('REPORTS PER EVALUATOR'!#REF!,1)</f>
        <v>#REF!</v>
      </c>
      <c r="AB67" s="97" t="e">
        <f>(RIGHT('REPORTS PER EVALUATOR'!#REF!,1))*1</f>
        <v>#REF!</v>
      </c>
      <c r="AC67" s="66" t="e">
        <f>LEFT('REPORTS PER EVALUATOR'!#REF!,1)</f>
        <v>#REF!</v>
      </c>
      <c r="AD67" s="97" t="e">
        <f>(RIGHT('REPORTS PER EVALUATOR'!#REF!,1))*1</f>
        <v>#REF!</v>
      </c>
      <c r="AE67" s="66" t="e">
        <f>LEFT('REPORTS PER EVALUATOR'!#REF!,1)</f>
        <v>#REF!</v>
      </c>
      <c r="AF67" s="97" t="e">
        <f>(RIGHT('REPORTS PER EVALUATOR'!#REF!,1))*1</f>
        <v>#REF!</v>
      </c>
      <c r="AG67" s="66" t="e">
        <f>LEFT('REPORTS PER EVALUATOR'!#REF!,1)</f>
        <v>#REF!</v>
      </c>
      <c r="AH67" s="97" t="e">
        <f>(RIGHT('REPORTS PER EVALUATOR'!#REF!,1))*1</f>
        <v>#REF!</v>
      </c>
      <c r="AI67" s="66" t="e">
        <f>LEFT('REPORTS PER EVALUATOR'!#REF!,1)</f>
        <v>#REF!</v>
      </c>
      <c r="AJ67" s="97" t="e">
        <f>(RIGHT('REPORTS PER EVALUATOR'!#REF!,1))*1</f>
        <v>#REF!</v>
      </c>
      <c r="AK67" s="66" t="e">
        <f>LEFT('REPORTS PER EVALUATOR'!#REF!,1)</f>
        <v>#REF!</v>
      </c>
      <c r="AL67" s="97" t="e">
        <f>(RIGHT('REPORTS PER EVALUATOR'!#REF!,1))*1</f>
        <v>#REF!</v>
      </c>
      <c r="AM67" s="66" t="e">
        <f>LEFT('REPORTS PER EVALUATOR'!#REF!,1)</f>
        <v>#REF!</v>
      </c>
      <c r="AN67" s="97" t="e">
        <f>(RIGHT('REPORTS PER EVALUATOR'!#REF!,1))*1</f>
        <v>#REF!</v>
      </c>
      <c r="AO67" s="66" t="e">
        <f>LEFT('REPORTS PER EVALUATOR'!#REF!,1)</f>
        <v>#REF!</v>
      </c>
      <c r="AP67" s="97" t="e">
        <f>(RIGHT('REPORTS PER EVALUATOR'!#REF!,1))*1</f>
        <v>#REF!</v>
      </c>
      <c r="AQ67" s="66" t="e">
        <f>LEFT('REPORTS PER EVALUATOR'!#REF!,1)</f>
        <v>#REF!</v>
      </c>
      <c r="AR67" s="97" t="e">
        <f>(RIGHT('REPORTS PER EVALUATOR'!#REF!,1))*1</f>
        <v>#REF!</v>
      </c>
    </row>
    <row r="68" spans="1:44" x14ac:dyDescent="0.2">
      <c r="A68" s="215"/>
      <c r="B68" s="19" t="str">
        <f t="shared" si="4"/>
        <v>B</v>
      </c>
      <c r="C68" s="18" t="str">
        <f t="shared" si="5"/>
        <v>D</v>
      </c>
      <c r="D68" s="18" t="s">
        <v>21</v>
      </c>
      <c r="E68" s="26" t="str">
        <f>LEFT('REPORTS PER EVALUATOR'!$Y$6,1)</f>
        <v>D</v>
      </c>
      <c r="F68" s="74">
        <f>(RIGHT('REPORTS PER EVALUATOR'!$Y$6,1))*1</f>
        <v>2</v>
      </c>
      <c r="G68" s="11" t="str">
        <f>LEFT('REPORTS PER EVALUATOR'!$Y$18,1)</f>
        <v>D</v>
      </c>
      <c r="H68" s="82">
        <f>(RIGHT('REPORTS PER EVALUATOR'!$Y$18,1))*1</f>
        <v>3</v>
      </c>
      <c r="I68" s="11" t="str">
        <f>LEFT('REPORTS PER EVALUATOR'!$Y$30,1)</f>
        <v>1</v>
      </c>
      <c r="J68" s="82">
        <f>(RIGHT('REPORTS PER EVALUATOR'!$Y$30,1))*1</f>
        <v>1</v>
      </c>
      <c r="K68" s="11" t="str">
        <f>LEFT('REPORTS PER EVALUATOR'!$Y$42,1)</f>
        <v>B</v>
      </c>
      <c r="L68" s="82">
        <f>(RIGHT('REPORTS PER EVALUATOR'!$Y$42,1))*1</f>
        <v>2</v>
      </c>
      <c r="M68" s="11" t="str">
        <f>LEFT('REPORTS PER EVALUATOR'!$Y$54,1)</f>
        <v>B</v>
      </c>
      <c r="N68" s="82">
        <f>(RIGHT('REPORTS PER EVALUATOR'!$Y$54,1))*1</f>
        <v>2</v>
      </c>
      <c r="O68" s="11" t="str">
        <f>LEFT('REPORTS PER EVALUATOR'!$Y$66,1)</f>
        <v>1</v>
      </c>
      <c r="P68" s="82">
        <f>(RIGHT('REPORTS PER EVALUATOR'!$Y$66,1))*1</f>
        <v>1</v>
      </c>
      <c r="Q68" s="11" t="str">
        <f>LEFT('REPORTS PER EVALUATOR'!$Y$78,1)</f>
        <v>1</v>
      </c>
      <c r="R68" s="82">
        <f>(RIGHT('REPORTS PER EVALUATOR'!$Y$78,1))*1</f>
        <v>1</v>
      </c>
      <c r="S68" s="11" t="str">
        <f>LEFT('REPORTS PER EVALUATOR'!$Y$90,1)</f>
        <v>D</v>
      </c>
      <c r="T68" s="82">
        <f>(RIGHT('REPORTS PER EVALUATOR'!$Y$90,1))*1</f>
        <v>3</v>
      </c>
      <c r="U68" s="11" t="str">
        <f>LEFT('REPORTS PER EVALUATOR'!$Y$102,1)</f>
        <v>D</v>
      </c>
      <c r="V68" s="82">
        <f>(RIGHT('REPORTS PER EVALUATOR'!$Y$102,1))*1</f>
        <v>2</v>
      </c>
      <c r="W68" s="11" t="str">
        <f>LEFT('REPORTS PER EVALUATOR'!$Y$114,1)</f>
        <v>D</v>
      </c>
      <c r="X68" s="82">
        <f>(RIGHT('REPORTS PER EVALUATOR'!$Y$114,1))*1</f>
        <v>2</v>
      </c>
      <c r="Y68" s="11" t="str">
        <f>LEFT('REPORTS PER EVALUATOR'!$Y$126,1)</f>
        <v>B</v>
      </c>
      <c r="Z68" s="93">
        <f>(RIGHT('REPORTS PER EVALUATOR'!$Y$126,1))*1</f>
        <v>2</v>
      </c>
      <c r="AA68" s="11" t="e">
        <f>LEFT('REPORTS PER EVALUATOR'!#REF!,1)</f>
        <v>#REF!</v>
      </c>
      <c r="AB68" s="93" t="e">
        <f>(RIGHT('REPORTS PER EVALUATOR'!#REF!,1))*1</f>
        <v>#REF!</v>
      </c>
      <c r="AC68" s="11" t="e">
        <f>LEFT('REPORTS PER EVALUATOR'!#REF!,1)</f>
        <v>#REF!</v>
      </c>
      <c r="AD68" s="93" t="e">
        <f>(RIGHT('REPORTS PER EVALUATOR'!#REF!,1))*1</f>
        <v>#REF!</v>
      </c>
      <c r="AE68" s="11" t="e">
        <f>LEFT('REPORTS PER EVALUATOR'!#REF!,1)</f>
        <v>#REF!</v>
      </c>
      <c r="AF68" s="93" t="e">
        <f>(RIGHT('REPORTS PER EVALUATOR'!#REF!,1))*1</f>
        <v>#REF!</v>
      </c>
      <c r="AG68" s="11" t="e">
        <f>LEFT('REPORTS PER EVALUATOR'!#REF!,1)</f>
        <v>#REF!</v>
      </c>
      <c r="AH68" s="93" t="e">
        <f>(RIGHT('REPORTS PER EVALUATOR'!#REF!,1))*1</f>
        <v>#REF!</v>
      </c>
      <c r="AI68" s="11" t="e">
        <f>LEFT('REPORTS PER EVALUATOR'!#REF!,1)</f>
        <v>#REF!</v>
      </c>
      <c r="AJ68" s="93" t="e">
        <f>(RIGHT('REPORTS PER EVALUATOR'!#REF!,1))*1</f>
        <v>#REF!</v>
      </c>
      <c r="AK68" s="11" t="e">
        <f>LEFT('REPORTS PER EVALUATOR'!#REF!,1)</f>
        <v>#REF!</v>
      </c>
      <c r="AL68" s="93" t="e">
        <f>(RIGHT('REPORTS PER EVALUATOR'!#REF!,1))*1</f>
        <v>#REF!</v>
      </c>
      <c r="AM68" s="11" t="e">
        <f>LEFT('REPORTS PER EVALUATOR'!#REF!,1)</f>
        <v>#REF!</v>
      </c>
      <c r="AN68" s="93" t="e">
        <f>(RIGHT('REPORTS PER EVALUATOR'!#REF!,1))*1</f>
        <v>#REF!</v>
      </c>
      <c r="AO68" s="11" t="e">
        <f>LEFT('REPORTS PER EVALUATOR'!#REF!,1)</f>
        <v>#REF!</v>
      </c>
      <c r="AP68" s="93" t="e">
        <f>(RIGHT('REPORTS PER EVALUATOR'!#REF!,1))*1</f>
        <v>#REF!</v>
      </c>
      <c r="AQ68" s="11" t="e">
        <f>LEFT('REPORTS PER EVALUATOR'!#REF!,1)</f>
        <v>#REF!</v>
      </c>
      <c r="AR68" s="93" t="e">
        <f>(RIGHT('REPORTS PER EVALUATOR'!#REF!,1))*1</f>
        <v>#REF!</v>
      </c>
    </row>
    <row r="69" spans="1:44" x14ac:dyDescent="0.2">
      <c r="A69" s="215"/>
      <c r="B69" s="19" t="str">
        <f t="shared" si="4"/>
        <v>B</v>
      </c>
      <c r="C69" s="18" t="str">
        <f t="shared" si="5"/>
        <v>E</v>
      </c>
      <c r="D69" s="18" t="s">
        <v>22</v>
      </c>
      <c r="E69" s="26" t="str">
        <f>LEFT('REPORTS PER EVALUATOR'!$Z$6,1)</f>
        <v>1</v>
      </c>
      <c r="F69" s="74">
        <f>(RIGHT('REPORTS PER EVALUATOR'!$Z$6,1))*1</f>
        <v>1</v>
      </c>
      <c r="G69" s="11" t="str">
        <f>LEFT('REPORTS PER EVALUATOR'!$Z$18,1)</f>
        <v>E</v>
      </c>
      <c r="H69" s="82">
        <f>(RIGHT('REPORTS PER EVALUATOR'!$Z$18,1))*1</f>
        <v>3</v>
      </c>
      <c r="I69" s="11" t="str">
        <f>LEFT('REPORTS PER EVALUATOR'!$Z$30,1)</f>
        <v>1</v>
      </c>
      <c r="J69" s="82">
        <f>(RIGHT('REPORTS PER EVALUATOR'!$Z$30,1))*1</f>
        <v>1</v>
      </c>
      <c r="K69" s="11" t="str">
        <f>LEFT('REPORTS PER EVALUATOR'!$Z$42,1)</f>
        <v>1</v>
      </c>
      <c r="L69" s="82">
        <f>(RIGHT('REPORTS PER EVALUATOR'!$Z$42,1))*1</f>
        <v>1</v>
      </c>
      <c r="M69" s="11" t="str">
        <f>LEFT('REPORTS PER EVALUATOR'!$Z$54,1)</f>
        <v>E</v>
      </c>
      <c r="N69" s="82">
        <f>(RIGHT('REPORTS PER EVALUATOR'!$Z$54,1))*1</f>
        <v>2</v>
      </c>
      <c r="O69" s="11" t="str">
        <f>LEFT('REPORTS PER EVALUATOR'!$Z$66,1)</f>
        <v>E</v>
      </c>
      <c r="P69" s="82">
        <f>(RIGHT('REPORTS PER EVALUATOR'!$Z$66,1))*1</f>
        <v>3</v>
      </c>
      <c r="Q69" s="11" t="str">
        <f>LEFT('REPORTS PER EVALUATOR'!$Z$78,1)</f>
        <v>E</v>
      </c>
      <c r="R69" s="82">
        <f>(RIGHT('REPORTS PER EVALUATOR'!$Z$78,1))*1</f>
        <v>2</v>
      </c>
      <c r="S69" s="11" t="str">
        <f>LEFT('REPORTS PER EVALUATOR'!$Z$90,1)</f>
        <v>E</v>
      </c>
      <c r="T69" s="82">
        <f>(RIGHT('REPORTS PER EVALUATOR'!$Z$90,1))*1</f>
        <v>2</v>
      </c>
      <c r="U69" s="11" t="str">
        <f>LEFT('REPORTS PER EVALUATOR'!$Z$102,1)</f>
        <v>B</v>
      </c>
      <c r="V69" s="82">
        <f>(RIGHT('REPORTS PER EVALUATOR'!$Z$102,1))*1</f>
        <v>2</v>
      </c>
      <c r="W69" s="11" t="str">
        <f>LEFT('REPORTS PER EVALUATOR'!$Z$114,1)</f>
        <v>E</v>
      </c>
      <c r="X69" s="82">
        <f>(RIGHT('REPORTS PER EVALUATOR'!$Z$114,1))*1</f>
        <v>2</v>
      </c>
      <c r="Y69" s="11" t="str">
        <f>LEFT('REPORTS PER EVALUATOR'!$Z$126,1)</f>
        <v>B</v>
      </c>
      <c r="Z69" s="93">
        <f>(RIGHT('REPORTS PER EVALUATOR'!$Z$126,1))*1</f>
        <v>2</v>
      </c>
      <c r="AA69" s="11" t="e">
        <f>LEFT('REPORTS PER EVALUATOR'!#REF!,1)</f>
        <v>#REF!</v>
      </c>
      <c r="AB69" s="93" t="e">
        <f>(RIGHT('REPORTS PER EVALUATOR'!#REF!,1))*1</f>
        <v>#REF!</v>
      </c>
      <c r="AC69" s="11" t="e">
        <f>LEFT('REPORTS PER EVALUATOR'!#REF!,1)</f>
        <v>#REF!</v>
      </c>
      <c r="AD69" s="93" t="e">
        <f>(RIGHT('REPORTS PER EVALUATOR'!#REF!,1))*1</f>
        <v>#REF!</v>
      </c>
      <c r="AE69" s="11" t="e">
        <f>LEFT('REPORTS PER EVALUATOR'!#REF!,1)</f>
        <v>#REF!</v>
      </c>
      <c r="AF69" s="93" t="e">
        <f>(RIGHT('REPORTS PER EVALUATOR'!#REF!,1))*1</f>
        <v>#REF!</v>
      </c>
      <c r="AG69" s="11" t="e">
        <f>LEFT('REPORTS PER EVALUATOR'!#REF!,1)</f>
        <v>#REF!</v>
      </c>
      <c r="AH69" s="93" t="e">
        <f>(RIGHT('REPORTS PER EVALUATOR'!#REF!,1))*1</f>
        <v>#REF!</v>
      </c>
      <c r="AI69" s="11" t="e">
        <f>LEFT('REPORTS PER EVALUATOR'!#REF!,1)</f>
        <v>#REF!</v>
      </c>
      <c r="AJ69" s="93" t="e">
        <f>(RIGHT('REPORTS PER EVALUATOR'!#REF!,1))*1</f>
        <v>#REF!</v>
      </c>
      <c r="AK69" s="11" t="e">
        <f>LEFT('REPORTS PER EVALUATOR'!#REF!,1)</f>
        <v>#REF!</v>
      </c>
      <c r="AL69" s="93" t="e">
        <f>(RIGHT('REPORTS PER EVALUATOR'!#REF!,1))*1</f>
        <v>#REF!</v>
      </c>
      <c r="AM69" s="11" t="e">
        <f>LEFT('REPORTS PER EVALUATOR'!#REF!,1)</f>
        <v>#REF!</v>
      </c>
      <c r="AN69" s="93" t="e">
        <f>(RIGHT('REPORTS PER EVALUATOR'!#REF!,1))*1</f>
        <v>#REF!</v>
      </c>
      <c r="AO69" s="11" t="e">
        <f>LEFT('REPORTS PER EVALUATOR'!#REF!,1)</f>
        <v>#REF!</v>
      </c>
      <c r="AP69" s="93" t="e">
        <f>(RIGHT('REPORTS PER EVALUATOR'!#REF!,1))*1</f>
        <v>#REF!</v>
      </c>
      <c r="AQ69" s="11" t="e">
        <f>LEFT('REPORTS PER EVALUATOR'!#REF!,1)</f>
        <v>#REF!</v>
      </c>
      <c r="AR69" s="93" t="e">
        <f>(RIGHT('REPORTS PER EVALUATOR'!#REF!,1))*1</f>
        <v>#REF!</v>
      </c>
    </row>
    <row r="70" spans="1:44" x14ac:dyDescent="0.2">
      <c r="A70" s="215"/>
      <c r="B70" s="19" t="str">
        <f t="shared" si="4"/>
        <v>B</v>
      </c>
      <c r="C70" s="18" t="str">
        <f t="shared" si="5"/>
        <v>F</v>
      </c>
      <c r="D70" s="18" t="s">
        <v>23</v>
      </c>
      <c r="E70" s="26" t="str">
        <f>LEFT('REPORTS PER EVALUATOR'!$AA$6,1)</f>
        <v>1</v>
      </c>
      <c r="F70" s="74">
        <f>(RIGHT('REPORTS PER EVALUATOR'!$AA$6,1))*1</f>
        <v>1</v>
      </c>
      <c r="G70" s="11" t="str">
        <f>LEFT('REPORTS PER EVALUATOR'!$AA$18,1)</f>
        <v>F</v>
      </c>
      <c r="H70" s="82">
        <f>(RIGHT('REPORTS PER EVALUATOR'!$AA$18,1))*1</f>
        <v>2</v>
      </c>
      <c r="I70" s="11" t="str">
        <f>LEFT('REPORTS PER EVALUATOR'!$AA$30,1)</f>
        <v>F</v>
      </c>
      <c r="J70" s="82">
        <f>(RIGHT('REPORTS PER EVALUATOR'!$AA$30,1))*1</f>
        <v>2</v>
      </c>
      <c r="K70" s="11" t="str">
        <f>LEFT('REPORTS PER EVALUATOR'!$AA$42,1)</f>
        <v>F</v>
      </c>
      <c r="L70" s="82">
        <f>(RIGHT('REPORTS PER EVALUATOR'!$AA$42,1))*1</f>
        <v>2</v>
      </c>
      <c r="M70" s="11" t="str">
        <f>LEFT('REPORTS PER EVALUATOR'!$AA$54,1)</f>
        <v>F</v>
      </c>
      <c r="N70" s="82">
        <f>(RIGHT('REPORTS PER EVALUATOR'!$AA$54,1))*1</f>
        <v>2</v>
      </c>
      <c r="O70" s="11" t="str">
        <f>LEFT('REPORTS PER EVALUATOR'!$AA$66,1)</f>
        <v>F</v>
      </c>
      <c r="P70" s="82">
        <f>(RIGHT('REPORTS PER EVALUATOR'!$AA$66,1))*1</f>
        <v>3</v>
      </c>
      <c r="Q70" s="11" t="str">
        <f>LEFT('REPORTS PER EVALUATOR'!$AA$78,1)</f>
        <v>F</v>
      </c>
      <c r="R70" s="82">
        <f>(RIGHT('REPORTS PER EVALUATOR'!$AA$78,1))*1</f>
        <v>2</v>
      </c>
      <c r="S70" s="11" t="str">
        <f>LEFT('REPORTS PER EVALUATOR'!$AA$90,1)</f>
        <v>1</v>
      </c>
      <c r="T70" s="82">
        <f>(RIGHT('REPORTS PER EVALUATOR'!$AA$90,1))*1</f>
        <v>1</v>
      </c>
      <c r="U70" s="11" t="str">
        <f>LEFT('REPORTS PER EVALUATOR'!$AA$102,1)</f>
        <v>B</v>
      </c>
      <c r="V70" s="82">
        <f>(RIGHT('REPORTS PER EVALUATOR'!$AA$102,1))*1</f>
        <v>2</v>
      </c>
      <c r="W70" s="11" t="str">
        <f>LEFT('REPORTS PER EVALUATOR'!$AA$114,1)</f>
        <v>B</v>
      </c>
      <c r="X70" s="82">
        <f>(RIGHT('REPORTS PER EVALUATOR'!$AA$114,1))*1</f>
        <v>2</v>
      </c>
      <c r="Y70" s="11" t="str">
        <f>LEFT('REPORTS PER EVALUATOR'!$AA$126,1)</f>
        <v>1</v>
      </c>
      <c r="Z70" s="93">
        <f>(RIGHT('REPORTS PER EVALUATOR'!$AA$126,1))*1</f>
        <v>1</v>
      </c>
      <c r="AA70" s="11" t="e">
        <f>LEFT('REPORTS PER EVALUATOR'!#REF!,1)</f>
        <v>#REF!</v>
      </c>
      <c r="AB70" s="93" t="e">
        <f>(RIGHT('REPORTS PER EVALUATOR'!#REF!,1))*1</f>
        <v>#REF!</v>
      </c>
      <c r="AC70" s="11" t="e">
        <f>LEFT('REPORTS PER EVALUATOR'!#REF!,1)</f>
        <v>#REF!</v>
      </c>
      <c r="AD70" s="93" t="e">
        <f>(RIGHT('REPORTS PER EVALUATOR'!#REF!,1))*1</f>
        <v>#REF!</v>
      </c>
      <c r="AE70" s="11" t="e">
        <f>LEFT('REPORTS PER EVALUATOR'!#REF!,1)</f>
        <v>#REF!</v>
      </c>
      <c r="AF70" s="93" t="e">
        <f>(RIGHT('REPORTS PER EVALUATOR'!#REF!,1))*1</f>
        <v>#REF!</v>
      </c>
      <c r="AG70" s="11" t="e">
        <f>LEFT('REPORTS PER EVALUATOR'!#REF!,1)</f>
        <v>#REF!</v>
      </c>
      <c r="AH70" s="93" t="e">
        <f>(RIGHT('REPORTS PER EVALUATOR'!#REF!,1))*1</f>
        <v>#REF!</v>
      </c>
      <c r="AI70" s="11" t="e">
        <f>LEFT('REPORTS PER EVALUATOR'!#REF!,1)</f>
        <v>#REF!</v>
      </c>
      <c r="AJ70" s="93" t="e">
        <f>(RIGHT('REPORTS PER EVALUATOR'!#REF!,1))*1</f>
        <v>#REF!</v>
      </c>
      <c r="AK70" s="11" t="e">
        <f>LEFT('REPORTS PER EVALUATOR'!#REF!,1)</f>
        <v>#REF!</v>
      </c>
      <c r="AL70" s="93" t="e">
        <f>(RIGHT('REPORTS PER EVALUATOR'!#REF!,1))*1</f>
        <v>#REF!</v>
      </c>
      <c r="AM70" s="11" t="e">
        <f>LEFT('REPORTS PER EVALUATOR'!#REF!,1)</f>
        <v>#REF!</v>
      </c>
      <c r="AN70" s="93" t="e">
        <f>(RIGHT('REPORTS PER EVALUATOR'!#REF!,1))*1</f>
        <v>#REF!</v>
      </c>
      <c r="AO70" s="11" t="e">
        <f>LEFT('REPORTS PER EVALUATOR'!#REF!,1)</f>
        <v>#REF!</v>
      </c>
      <c r="AP70" s="93" t="e">
        <f>(RIGHT('REPORTS PER EVALUATOR'!#REF!,1))*1</f>
        <v>#REF!</v>
      </c>
      <c r="AQ70" s="11" t="e">
        <f>LEFT('REPORTS PER EVALUATOR'!#REF!,1)</f>
        <v>#REF!</v>
      </c>
      <c r="AR70" s="93" t="e">
        <f>(RIGHT('REPORTS PER EVALUATOR'!#REF!,1))*1</f>
        <v>#REF!</v>
      </c>
    </row>
    <row r="71" spans="1:44" x14ac:dyDescent="0.2">
      <c r="A71" s="215"/>
      <c r="B71" s="19" t="str">
        <f t="shared" si="4"/>
        <v>B</v>
      </c>
      <c r="C71" s="18" t="str">
        <f t="shared" si="5"/>
        <v>G</v>
      </c>
      <c r="D71" s="18" t="s">
        <v>24</v>
      </c>
      <c r="E71" s="26" t="str">
        <f>LEFT('REPORTS PER EVALUATOR'!$AB$6,1)</f>
        <v>B</v>
      </c>
      <c r="F71" s="74">
        <f>(RIGHT('REPORTS PER EVALUATOR'!$AB$6,1))*1</f>
        <v>3</v>
      </c>
      <c r="G71" s="11" t="str">
        <f>LEFT('REPORTS PER EVALUATOR'!$AB$18,1)</f>
        <v>B</v>
      </c>
      <c r="H71" s="82">
        <f>(RIGHT('REPORTS PER EVALUATOR'!$AB$18,1))*1</f>
        <v>2</v>
      </c>
      <c r="I71" s="11" t="str">
        <f>LEFT('REPORTS PER EVALUATOR'!$AB$30,1)</f>
        <v>G</v>
      </c>
      <c r="J71" s="82">
        <f>(RIGHT('REPORTS PER EVALUATOR'!$AB$30,1))*1</f>
        <v>2</v>
      </c>
      <c r="K71" s="11" t="str">
        <f>LEFT('REPORTS PER EVALUATOR'!$AB$42,1)</f>
        <v>G</v>
      </c>
      <c r="L71" s="82">
        <f>(RIGHT('REPORTS PER EVALUATOR'!$AB$42,1))*1</f>
        <v>2</v>
      </c>
      <c r="M71" s="11" t="str">
        <f>LEFT('REPORTS PER EVALUATOR'!$AB$54,1)</f>
        <v>1</v>
      </c>
      <c r="N71" s="82">
        <f>(RIGHT('REPORTS PER EVALUATOR'!$AB$54,1))*1</f>
        <v>1</v>
      </c>
      <c r="O71" s="11" t="str">
        <f>LEFT('REPORTS PER EVALUATOR'!$AB$66,1)</f>
        <v>1</v>
      </c>
      <c r="P71" s="82">
        <f>(RIGHT('REPORTS PER EVALUATOR'!$AB$66,1))*1</f>
        <v>1</v>
      </c>
      <c r="Q71" s="11" t="str">
        <f>LEFT('REPORTS PER EVALUATOR'!$AB$78,1)</f>
        <v>B</v>
      </c>
      <c r="R71" s="82">
        <f>(RIGHT('REPORTS PER EVALUATOR'!$AB$78,1))*1</f>
        <v>2</v>
      </c>
      <c r="S71" s="11" t="str">
        <f>LEFT('REPORTS PER EVALUATOR'!$AB$90,1)</f>
        <v>B</v>
      </c>
      <c r="T71" s="82">
        <f>(RIGHT('REPORTS PER EVALUATOR'!$AB$90,1))*1</f>
        <v>6</v>
      </c>
      <c r="U71" s="11" t="str">
        <f>LEFT('REPORTS PER EVALUATOR'!$AB$102,1)</f>
        <v>B</v>
      </c>
      <c r="V71" s="82">
        <f>(RIGHT('REPORTS PER EVALUATOR'!$AB$102,1))*1</f>
        <v>4</v>
      </c>
      <c r="W71" s="11" t="str">
        <f>LEFT('REPORTS PER EVALUATOR'!$AB$114,1)</f>
        <v>B</v>
      </c>
      <c r="X71" s="82">
        <f>(RIGHT('REPORTS PER EVALUATOR'!$AB$114,1))*1</f>
        <v>4</v>
      </c>
      <c r="Y71" s="11" t="str">
        <f>LEFT('REPORTS PER EVALUATOR'!$AB$126,1)</f>
        <v>B</v>
      </c>
      <c r="Z71" s="93">
        <f>(RIGHT('REPORTS PER EVALUATOR'!$AB$126,1))*1</f>
        <v>3</v>
      </c>
      <c r="AA71" s="11" t="e">
        <f>LEFT('REPORTS PER EVALUATOR'!#REF!,1)</f>
        <v>#REF!</v>
      </c>
      <c r="AB71" s="93" t="e">
        <f>(RIGHT('REPORTS PER EVALUATOR'!#REF!,1))*1</f>
        <v>#REF!</v>
      </c>
      <c r="AC71" s="11" t="e">
        <f>LEFT('REPORTS PER EVALUATOR'!#REF!,1)</f>
        <v>#REF!</v>
      </c>
      <c r="AD71" s="93" t="e">
        <f>(RIGHT('REPORTS PER EVALUATOR'!#REF!,1))*1</f>
        <v>#REF!</v>
      </c>
      <c r="AE71" s="11" t="e">
        <f>LEFT('REPORTS PER EVALUATOR'!#REF!,1)</f>
        <v>#REF!</v>
      </c>
      <c r="AF71" s="93" t="e">
        <f>(RIGHT('REPORTS PER EVALUATOR'!#REF!,1))*1</f>
        <v>#REF!</v>
      </c>
      <c r="AG71" s="11" t="e">
        <f>LEFT('REPORTS PER EVALUATOR'!#REF!,1)</f>
        <v>#REF!</v>
      </c>
      <c r="AH71" s="93" t="e">
        <f>(RIGHT('REPORTS PER EVALUATOR'!#REF!,1))*1</f>
        <v>#REF!</v>
      </c>
      <c r="AI71" s="11" t="e">
        <f>LEFT('REPORTS PER EVALUATOR'!#REF!,1)</f>
        <v>#REF!</v>
      </c>
      <c r="AJ71" s="93" t="e">
        <f>(RIGHT('REPORTS PER EVALUATOR'!#REF!,1))*1</f>
        <v>#REF!</v>
      </c>
      <c r="AK71" s="11" t="e">
        <f>LEFT('REPORTS PER EVALUATOR'!#REF!,1)</f>
        <v>#REF!</v>
      </c>
      <c r="AL71" s="93" t="e">
        <f>(RIGHT('REPORTS PER EVALUATOR'!#REF!,1))*1</f>
        <v>#REF!</v>
      </c>
      <c r="AM71" s="11" t="e">
        <f>LEFT('REPORTS PER EVALUATOR'!#REF!,1)</f>
        <v>#REF!</v>
      </c>
      <c r="AN71" s="93" t="e">
        <f>(RIGHT('REPORTS PER EVALUATOR'!#REF!,1))*1</f>
        <v>#REF!</v>
      </c>
      <c r="AO71" s="11" t="e">
        <f>LEFT('REPORTS PER EVALUATOR'!#REF!,1)</f>
        <v>#REF!</v>
      </c>
      <c r="AP71" s="93" t="e">
        <f>(RIGHT('REPORTS PER EVALUATOR'!#REF!,1))*1</f>
        <v>#REF!</v>
      </c>
      <c r="AQ71" s="11" t="e">
        <f>LEFT('REPORTS PER EVALUATOR'!#REF!,1)</f>
        <v>#REF!</v>
      </c>
      <c r="AR71" s="93" t="e">
        <f>(RIGHT('REPORTS PER EVALUATOR'!#REF!,1))*1</f>
        <v>#REF!</v>
      </c>
    </row>
    <row r="72" spans="1:44" x14ac:dyDescent="0.2">
      <c r="A72" s="215"/>
      <c r="B72" s="19" t="str">
        <f t="shared" si="4"/>
        <v>B</v>
      </c>
      <c r="C72" s="18" t="str">
        <f t="shared" si="5"/>
        <v>H</v>
      </c>
      <c r="D72" s="18" t="s">
        <v>25</v>
      </c>
      <c r="E72" s="26" t="str">
        <f>LEFT('REPORTS PER EVALUATOR'!$AC$6,1)</f>
        <v>1</v>
      </c>
      <c r="F72" s="74">
        <f>(RIGHT('REPORTS PER EVALUATOR'!$AC$6,1))*1</f>
        <v>1</v>
      </c>
      <c r="G72" s="11" t="str">
        <f>LEFT('REPORTS PER EVALUATOR'!$AC$18,1)</f>
        <v>H</v>
      </c>
      <c r="H72" s="82">
        <f>(RIGHT('REPORTS PER EVALUATOR'!$AC$18,1))*1</f>
        <v>3</v>
      </c>
      <c r="I72" s="11" t="str">
        <f>LEFT('REPORTS PER EVALUATOR'!$AC$30,1)</f>
        <v>B</v>
      </c>
      <c r="J72" s="82">
        <f>(RIGHT('REPORTS PER EVALUATOR'!$AC$30,1))*1</f>
        <v>2</v>
      </c>
      <c r="K72" s="11" t="str">
        <f>LEFT('REPORTS PER EVALUATOR'!$AC$42,1)</f>
        <v>B</v>
      </c>
      <c r="L72" s="82">
        <f>(RIGHT('REPORTS PER EVALUATOR'!$AC$42,1))*1</f>
        <v>2</v>
      </c>
      <c r="M72" s="11" t="str">
        <f>LEFT('REPORTS PER EVALUATOR'!$AC$54,1)</f>
        <v>H</v>
      </c>
      <c r="N72" s="82">
        <f>(RIGHT('REPORTS PER EVALUATOR'!$AC$54,1))*1</f>
        <v>2</v>
      </c>
      <c r="O72" s="11" t="str">
        <f>LEFT('REPORTS PER EVALUATOR'!$AC$66,1)</f>
        <v>H</v>
      </c>
      <c r="P72" s="82">
        <f>(RIGHT('REPORTS PER EVALUATOR'!$AC$66,1))*1</f>
        <v>2</v>
      </c>
      <c r="Q72" s="11" t="str">
        <f>LEFT('REPORTS PER EVALUATOR'!$AC$78,1)</f>
        <v>H</v>
      </c>
      <c r="R72" s="82">
        <f>(RIGHT('REPORTS PER EVALUATOR'!$AC$78,1))*1</f>
        <v>2</v>
      </c>
      <c r="S72" s="11" t="str">
        <f>LEFT('REPORTS PER EVALUATOR'!$AC$90,1)</f>
        <v>H</v>
      </c>
      <c r="T72" s="82">
        <f>(RIGHT('REPORTS PER EVALUATOR'!$AC$90,1))*1</f>
        <v>2</v>
      </c>
      <c r="U72" s="11" t="str">
        <f>LEFT('REPORTS PER EVALUATOR'!$AC$102,1)</f>
        <v>H</v>
      </c>
      <c r="V72" s="82">
        <f>(RIGHT('REPORTS PER EVALUATOR'!$AC$102,1))*1</f>
        <v>2</v>
      </c>
      <c r="W72" s="11" t="str">
        <f>LEFT('REPORTS PER EVALUATOR'!$AC$114,1)</f>
        <v>H</v>
      </c>
      <c r="X72" s="82">
        <f>(RIGHT('REPORTS PER EVALUATOR'!$AC$114,1))*1</f>
        <v>2</v>
      </c>
      <c r="Y72" s="11" t="str">
        <f>LEFT('REPORTS PER EVALUATOR'!$AC$126,1)</f>
        <v>1</v>
      </c>
      <c r="Z72" s="93">
        <f>(RIGHT('REPORTS PER EVALUATOR'!$AC$126,1))*1</f>
        <v>1</v>
      </c>
      <c r="AA72" s="11" t="e">
        <f>LEFT('REPORTS PER EVALUATOR'!#REF!,1)</f>
        <v>#REF!</v>
      </c>
      <c r="AB72" s="93" t="e">
        <f>(RIGHT('REPORTS PER EVALUATOR'!#REF!,1))*1</f>
        <v>#REF!</v>
      </c>
      <c r="AC72" s="11" t="e">
        <f>LEFT('REPORTS PER EVALUATOR'!#REF!,1)</f>
        <v>#REF!</v>
      </c>
      <c r="AD72" s="93" t="e">
        <f>(RIGHT('REPORTS PER EVALUATOR'!#REF!,1))*1</f>
        <v>#REF!</v>
      </c>
      <c r="AE72" s="11" t="e">
        <f>LEFT('REPORTS PER EVALUATOR'!#REF!,1)</f>
        <v>#REF!</v>
      </c>
      <c r="AF72" s="93" t="e">
        <f>(RIGHT('REPORTS PER EVALUATOR'!#REF!,1))*1</f>
        <v>#REF!</v>
      </c>
      <c r="AG72" s="11" t="e">
        <f>LEFT('REPORTS PER EVALUATOR'!#REF!,1)</f>
        <v>#REF!</v>
      </c>
      <c r="AH72" s="93" t="e">
        <f>(RIGHT('REPORTS PER EVALUATOR'!#REF!,1))*1</f>
        <v>#REF!</v>
      </c>
      <c r="AI72" s="11" t="e">
        <f>LEFT('REPORTS PER EVALUATOR'!#REF!,1)</f>
        <v>#REF!</v>
      </c>
      <c r="AJ72" s="93" t="e">
        <f>(RIGHT('REPORTS PER EVALUATOR'!#REF!,1))*1</f>
        <v>#REF!</v>
      </c>
      <c r="AK72" s="11" t="e">
        <f>LEFT('REPORTS PER EVALUATOR'!#REF!,1)</f>
        <v>#REF!</v>
      </c>
      <c r="AL72" s="93" t="e">
        <f>(RIGHT('REPORTS PER EVALUATOR'!#REF!,1))*1</f>
        <v>#REF!</v>
      </c>
      <c r="AM72" s="11" t="e">
        <f>LEFT('REPORTS PER EVALUATOR'!#REF!,1)</f>
        <v>#REF!</v>
      </c>
      <c r="AN72" s="93" t="e">
        <f>(RIGHT('REPORTS PER EVALUATOR'!#REF!,1))*1</f>
        <v>#REF!</v>
      </c>
      <c r="AO72" s="11" t="e">
        <f>LEFT('REPORTS PER EVALUATOR'!#REF!,1)</f>
        <v>#REF!</v>
      </c>
      <c r="AP72" s="93" t="e">
        <f>(RIGHT('REPORTS PER EVALUATOR'!#REF!,1))*1</f>
        <v>#REF!</v>
      </c>
      <c r="AQ72" s="11" t="e">
        <f>LEFT('REPORTS PER EVALUATOR'!#REF!,1)</f>
        <v>#REF!</v>
      </c>
      <c r="AR72" s="93" t="e">
        <f>(RIGHT('REPORTS PER EVALUATOR'!#REF!,1))*1</f>
        <v>#REF!</v>
      </c>
    </row>
    <row r="73" spans="1:44" x14ac:dyDescent="0.2">
      <c r="A73" s="215"/>
      <c r="B73" s="19" t="str">
        <f t="shared" si="4"/>
        <v>B</v>
      </c>
      <c r="C73" s="18" t="str">
        <f t="shared" si="5"/>
        <v>I</v>
      </c>
      <c r="D73" s="18" t="s">
        <v>26</v>
      </c>
      <c r="E73" s="26" t="str">
        <f>LEFT('REPORTS PER EVALUATOR'!$AD$6,1)</f>
        <v>I</v>
      </c>
      <c r="F73" s="74">
        <f>(RIGHT('REPORTS PER EVALUATOR'!$AD$6,1))*1</f>
        <v>2</v>
      </c>
      <c r="G73" s="11" t="str">
        <f>LEFT('REPORTS PER EVALUATOR'!$AD$18,1)</f>
        <v>I</v>
      </c>
      <c r="H73" s="82">
        <f>(RIGHT('REPORTS PER EVALUATOR'!$AD$18,1))*1</f>
        <v>2</v>
      </c>
      <c r="I73" s="11" t="str">
        <f>LEFT('REPORTS PER EVALUATOR'!$AD$30,1)</f>
        <v>I</v>
      </c>
      <c r="J73" s="82">
        <f>(RIGHT('REPORTS PER EVALUATOR'!$AD$30,1))*1</f>
        <v>2</v>
      </c>
      <c r="K73" s="11" t="str">
        <f>LEFT('REPORTS PER EVALUATOR'!$AD$42,1)</f>
        <v>I</v>
      </c>
      <c r="L73" s="82">
        <f>(RIGHT('REPORTS PER EVALUATOR'!$AD$42,1))*1</f>
        <v>3</v>
      </c>
      <c r="M73" s="11" t="str">
        <f>LEFT('REPORTS PER EVALUATOR'!$AD$54,1)</f>
        <v>1</v>
      </c>
      <c r="N73" s="82">
        <f>(RIGHT('REPORTS PER EVALUATOR'!$AD$54,1))*1</f>
        <v>1</v>
      </c>
      <c r="O73" s="11" t="str">
        <f>LEFT('REPORTS PER EVALUATOR'!$AD$66,1)</f>
        <v>1</v>
      </c>
      <c r="P73" s="82">
        <f>(RIGHT('REPORTS PER EVALUATOR'!$AD$66,1))*1</f>
        <v>1</v>
      </c>
      <c r="Q73" s="11" t="str">
        <f>LEFT('REPORTS PER EVALUATOR'!$AD$78,1)</f>
        <v>1</v>
      </c>
      <c r="R73" s="82">
        <f>(RIGHT('REPORTS PER EVALUATOR'!$AD$78,1))*1</f>
        <v>1</v>
      </c>
      <c r="S73" s="11" t="str">
        <f>LEFT('REPORTS PER EVALUATOR'!$AD$90,1)</f>
        <v>B</v>
      </c>
      <c r="T73" s="82">
        <f>(RIGHT('REPORTS PER EVALUATOR'!$AD$90,1))*1</f>
        <v>2</v>
      </c>
      <c r="U73" s="11" t="str">
        <f>LEFT('REPORTS PER EVALUATOR'!$AD$102,1)</f>
        <v>B</v>
      </c>
      <c r="V73" s="82">
        <f>(RIGHT('REPORTS PER EVALUATOR'!$AD$102,1))*1</f>
        <v>2</v>
      </c>
      <c r="W73" s="11" t="str">
        <f>LEFT('REPORTS PER EVALUATOR'!$AD$114,1)</f>
        <v>I</v>
      </c>
      <c r="X73" s="82">
        <f>(RIGHT('REPORTS PER EVALUATOR'!$AD$114,1))*1</f>
        <v>2</v>
      </c>
      <c r="Y73" s="11" t="str">
        <f>LEFT('REPORTS PER EVALUATOR'!$AD$126,1)</f>
        <v>1</v>
      </c>
      <c r="Z73" s="93">
        <f>(RIGHT('REPORTS PER EVALUATOR'!$AD$126,1))*1</f>
        <v>1</v>
      </c>
      <c r="AA73" s="11" t="e">
        <f>LEFT('REPORTS PER EVALUATOR'!#REF!,1)</f>
        <v>#REF!</v>
      </c>
      <c r="AB73" s="93" t="e">
        <f>(RIGHT('REPORTS PER EVALUATOR'!#REF!,1))*1</f>
        <v>#REF!</v>
      </c>
      <c r="AC73" s="11" t="e">
        <f>LEFT('REPORTS PER EVALUATOR'!#REF!,1)</f>
        <v>#REF!</v>
      </c>
      <c r="AD73" s="93" t="e">
        <f>(RIGHT('REPORTS PER EVALUATOR'!#REF!,1))*1</f>
        <v>#REF!</v>
      </c>
      <c r="AE73" s="11" t="e">
        <f>LEFT('REPORTS PER EVALUATOR'!#REF!,1)</f>
        <v>#REF!</v>
      </c>
      <c r="AF73" s="93" t="e">
        <f>(RIGHT('REPORTS PER EVALUATOR'!#REF!,1))*1</f>
        <v>#REF!</v>
      </c>
      <c r="AG73" s="11" t="e">
        <f>LEFT('REPORTS PER EVALUATOR'!#REF!,1)</f>
        <v>#REF!</v>
      </c>
      <c r="AH73" s="93" t="e">
        <f>(RIGHT('REPORTS PER EVALUATOR'!#REF!,1))*1</f>
        <v>#REF!</v>
      </c>
      <c r="AI73" s="11" t="e">
        <f>LEFT('REPORTS PER EVALUATOR'!#REF!,1)</f>
        <v>#REF!</v>
      </c>
      <c r="AJ73" s="93" t="e">
        <f>(RIGHT('REPORTS PER EVALUATOR'!#REF!,1))*1</f>
        <v>#REF!</v>
      </c>
      <c r="AK73" s="11" t="e">
        <f>LEFT('REPORTS PER EVALUATOR'!#REF!,1)</f>
        <v>#REF!</v>
      </c>
      <c r="AL73" s="93" t="e">
        <f>(RIGHT('REPORTS PER EVALUATOR'!#REF!,1))*1</f>
        <v>#REF!</v>
      </c>
      <c r="AM73" s="11" t="e">
        <f>LEFT('REPORTS PER EVALUATOR'!#REF!,1)</f>
        <v>#REF!</v>
      </c>
      <c r="AN73" s="93" t="e">
        <f>(RIGHT('REPORTS PER EVALUATOR'!#REF!,1))*1</f>
        <v>#REF!</v>
      </c>
      <c r="AO73" s="11" t="e">
        <f>LEFT('REPORTS PER EVALUATOR'!#REF!,1)</f>
        <v>#REF!</v>
      </c>
      <c r="AP73" s="93" t="e">
        <f>(RIGHT('REPORTS PER EVALUATOR'!#REF!,1))*1</f>
        <v>#REF!</v>
      </c>
      <c r="AQ73" s="11" t="e">
        <f>LEFT('REPORTS PER EVALUATOR'!#REF!,1)</f>
        <v>#REF!</v>
      </c>
      <c r="AR73" s="93" t="e">
        <f>(RIGHT('REPORTS PER EVALUATOR'!#REF!,1))*1</f>
        <v>#REF!</v>
      </c>
    </row>
    <row r="74" spans="1:44" x14ac:dyDescent="0.2">
      <c r="B74" s="19" t="str">
        <f t="shared" si="4"/>
        <v>B</v>
      </c>
      <c r="C74" s="18" t="str">
        <f t="shared" si="5"/>
        <v>L</v>
      </c>
      <c r="D74" s="18" t="s">
        <v>27</v>
      </c>
      <c r="E74" s="26" t="str">
        <f>LEFT('REPORTS PER EVALUATOR'!$AE$6,1)</f>
        <v>B</v>
      </c>
      <c r="F74" s="74">
        <f>(RIGHT('REPORTS PER EVALUATOR'!$AE$6,1))*1</f>
        <v>3</v>
      </c>
      <c r="G74" s="11" t="str">
        <f>LEFT('REPORTS PER EVALUATOR'!$AE$18,1)</f>
        <v>1</v>
      </c>
      <c r="H74" s="82">
        <f>(RIGHT('REPORTS PER EVALUATOR'!$AE$18,1))*1</f>
        <v>1</v>
      </c>
      <c r="I74" s="11" t="str">
        <f>LEFT('REPORTS PER EVALUATOR'!$AE$30,1)</f>
        <v>B</v>
      </c>
      <c r="J74" s="82">
        <f>(RIGHT('REPORTS PER EVALUATOR'!$AE$30,1))*1</f>
        <v>2</v>
      </c>
      <c r="K74" s="11" t="str">
        <f>LEFT('REPORTS PER EVALUATOR'!$AE$42,1)</f>
        <v>B</v>
      </c>
      <c r="L74" s="82">
        <f>(RIGHT('REPORTS PER EVALUATOR'!$AE$42,1))*1</f>
        <v>3</v>
      </c>
      <c r="M74" s="11" t="str">
        <f>LEFT('REPORTS PER EVALUATOR'!$AE$54,1)</f>
        <v>1</v>
      </c>
      <c r="N74" s="82">
        <f>(RIGHT('REPORTS PER EVALUATOR'!$AE$54,1))*1</f>
        <v>1</v>
      </c>
      <c r="O74" s="11" t="str">
        <f>LEFT('REPORTS PER EVALUATOR'!$AE$66,1)</f>
        <v>1</v>
      </c>
      <c r="P74" s="82">
        <f>(RIGHT('REPORTS PER EVALUATOR'!$AE$66,1))*1</f>
        <v>1</v>
      </c>
      <c r="Q74" s="11" t="str">
        <f>LEFT('REPORTS PER EVALUATOR'!$AE$78,1)</f>
        <v>1</v>
      </c>
      <c r="R74" s="82">
        <f>(RIGHT('REPORTS PER EVALUATOR'!$AE$78,1))*1</f>
        <v>1</v>
      </c>
      <c r="S74" s="11" t="str">
        <f>LEFT('REPORTS PER EVALUATOR'!$AE$90,1)</f>
        <v>L</v>
      </c>
      <c r="T74" s="82">
        <f>(RIGHT('REPORTS PER EVALUATOR'!$AE$90,1))*1</f>
        <v>3</v>
      </c>
      <c r="U74" s="11" t="str">
        <f>LEFT('REPORTS PER EVALUATOR'!$AE$102,1)</f>
        <v>B</v>
      </c>
      <c r="V74" s="82">
        <f>(RIGHT('REPORTS PER EVALUATOR'!$AE$102,1))*1</f>
        <v>2</v>
      </c>
      <c r="W74" s="11" t="str">
        <f>LEFT('REPORTS PER EVALUATOR'!$AE$114,1)</f>
        <v>1</v>
      </c>
      <c r="X74" s="82">
        <f>(RIGHT('REPORTS PER EVALUATOR'!$AE$114,1))*1</f>
        <v>1</v>
      </c>
      <c r="Y74" s="11" t="str">
        <f>LEFT('REPORTS PER EVALUATOR'!$AE$126,1)</f>
        <v>1</v>
      </c>
      <c r="Z74" s="93">
        <f>(RIGHT('REPORTS PER EVALUATOR'!$AE$126,1))*1</f>
        <v>1</v>
      </c>
      <c r="AA74" s="11" t="e">
        <f>LEFT('REPORTS PER EVALUATOR'!#REF!,1)</f>
        <v>#REF!</v>
      </c>
      <c r="AB74" s="93" t="e">
        <f>(RIGHT('REPORTS PER EVALUATOR'!#REF!,1))*1</f>
        <v>#REF!</v>
      </c>
      <c r="AC74" s="11" t="e">
        <f>LEFT('REPORTS PER EVALUATOR'!#REF!,1)</f>
        <v>#REF!</v>
      </c>
      <c r="AD74" s="93" t="e">
        <f>(RIGHT('REPORTS PER EVALUATOR'!#REF!,1))*1</f>
        <v>#REF!</v>
      </c>
      <c r="AE74" s="11" t="e">
        <f>LEFT('REPORTS PER EVALUATOR'!#REF!,1)</f>
        <v>#REF!</v>
      </c>
      <c r="AF74" s="93" t="e">
        <f>(RIGHT('REPORTS PER EVALUATOR'!#REF!,1))*1</f>
        <v>#REF!</v>
      </c>
      <c r="AG74" s="11" t="e">
        <f>LEFT('REPORTS PER EVALUATOR'!#REF!,1)</f>
        <v>#REF!</v>
      </c>
      <c r="AH74" s="93" t="e">
        <f>(RIGHT('REPORTS PER EVALUATOR'!#REF!,1))*1</f>
        <v>#REF!</v>
      </c>
      <c r="AI74" s="11" t="e">
        <f>LEFT('REPORTS PER EVALUATOR'!#REF!,1)</f>
        <v>#REF!</v>
      </c>
      <c r="AJ74" s="93" t="e">
        <f>(RIGHT('REPORTS PER EVALUATOR'!#REF!,1))*1</f>
        <v>#REF!</v>
      </c>
      <c r="AK74" s="11" t="e">
        <f>LEFT('REPORTS PER EVALUATOR'!#REF!,1)</f>
        <v>#REF!</v>
      </c>
      <c r="AL74" s="93" t="e">
        <f>(RIGHT('REPORTS PER EVALUATOR'!#REF!,1))*1</f>
        <v>#REF!</v>
      </c>
      <c r="AM74" s="11" t="e">
        <f>LEFT('REPORTS PER EVALUATOR'!#REF!,1)</f>
        <v>#REF!</v>
      </c>
      <c r="AN74" s="93" t="e">
        <f>(RIGHT('REPORTS PER EVALUATOR'!#REF!,1))*1</f>
        <v>#REF!</v>
      </c>
      <c r="AO74" s="11" t="e">
        <f>LEFT('REPORTS PER EVALUATOR'!#REF!,1)</f>
        <v>#REF!</v>
      </c>
      <c r="AP74" s="93" t="e">
        <f>(RIGHT('REPORTS PER EVALUATOR'!#REF!,1))*1</f>
        <v>#REF!</v>
      </c>
      <c r="AQ74" s="11" t="e">
        <f>LEFT('REPORTS PER EVALUATOR'!#REF!,1)</f>
        <v>#REF!</v>
      </c>
      <c r="AR74" s="93" t="e">
        <f>(RIGHT('REPORTS PER EVALUATOR'!#REF!,1))*1</f>
        <v>#REF!</v>
      </c>
    </row>
    <row r="75" spans="1:44" x14ac:dyDescent="0.2">
      <c r="B75" s="19" t="str">
        <f t="shared" si="4"/>
        <v>B</v>
      </c>
      <c r="C75" s="18" t="str">
        <f t="shared" si="5"/>
        <v>M</v>
      </c>
      <c r="D75" s="18" t="s">
        <v>158</v>
      </c>
      <c r="E75" s="26" t="str">
        <f>LEFT('REPORTS PER EVALUATOR'!$AF$6,1)</f>
        <v/>
      </c>
      <c r="F75" s="74" t="e">
        <f>(RIGHT('REPORTS PER EVALUATOR'!$AF$6,1))*1</f>
        <v>#VALUE!</v>
      </c>
      <c r="G75" s="11" t="str">
        <f>LEFT('REPORTS PER EVALUATOR'!$AF$18,1)</f>
        <v/>
      </c>
      <c r="H75" s="82" t="e">
        <f>(RIGHT('REPORTS PER EVALUATOR'!$AF$18,1))*1</f>
        <v>#VALUE!</v>
      </c>
      <c r="I75" s="11" t="str">
        <f>LEFT('REPORTS PER EVALUATOR'!$AF$30,1)</f>
        <v/>
      </c>
      <c r="J75" s="82" t="e">
        <f>(RIGHT('REPORTS PER EVALUATOR'!$AF$30,1))*1</f>
        <v>#VALUE!</v>
      </c>
      <c r="K75" s="11" t="str">
        <f>LEFT('REPORTS PER EVALUATOR'!$AF$42,1)</f>
        <v/>
      </c>
      <c r="L75" s="82" t="e">
        <f>(RIGHT('REPORTS PER EVALUATOR'!$AF$42,1))*1</f>
        <v>#VALUE!</v>
      </c>
      <c r="M75" s="11" t="str">
        <f>LEFT('REPORTS PER EVALUATOR'!$AF$54,1)</f>
        <v/>
      </c>
      <c r="N75" s="82" t="e">
        <f>(RIGHT('REPORTS PER EVALUATOR'!$AF$54,1))*1</f>
        <v>#VALUE!</v>
      </c>
      <c r="O75" s="11" t="str">
        <f>LEFT('REPORTS PER EVALUATOR'!$AF$66,1)</f>
        <v/>
      </c>
      <c r="P75" s="82" t="e">
        <f>(RIGHT('REPORTS PER EVALUATOR'!$AF$66,1))*1</f>
        <v>#VALUE!</v>
      </c>
      <c r="Q75" s="11" t="str">
        <f>LEFT('REPORTS PER EVALUATOR'!$AF$78,1)</f>
        <v/>
      </c>
      <c r="R75" s="82" t="e">
        <f>(RIGHT('REPORTS PER EVALUATOR'!$AF$78,1))*1</f>
        <v>#VALUE!</v>
      </c>
      <c r="S75" s="11" t="str">
        <f>LEFT('REPORTS PER EVALUATOR'!$AF$90,1)</f>
        <v/>
      </c>
      <c r="T75" s="82" t="e">
        <f>(RIGHT('REPORTS PER EVALUATOR'!$AF$90,1))*1</f>
        <v>#VALUE!</v>
      </c>
      <c r="U75" s="11" t="str">
        <f>LEFT('REPORTS PER EVALUATOR'!$AF$102,1)</f>
        <v/>
      </c>
      <c r="V75" s="82" t="e">
        <f>(RIGHT('REPORTS PER EVALUATOR'!$AF$102,1))*1</f>
        <v>#VALUE!</v>
      </c>
      <c r="W75" s="11" t="str">
        <f>LEFT('REPORTS PER EVALUATOR'!$AF$114,1)</f>
        <v/>
      </c>
      <c r="X75" s="82" t="e">
        <f>(RIGHT('REPORTS PER EVALUATOR'!$AF$114,1))*1</f>
        <v>#VALUE!</v>
      </c>
      <c r="Y75" s="11" t="str">
        <f>LEFT('REPORTS PER EVALUATOR'!$AF$126,1)</f>
        <v/>
      </c>
      <c r="Z75" s="93" t="e">
        <f>(RIGHT('REPORTS PER EVALUATOR'!$AF$126,1))*1</f>
        <v>#VALUE!</v>
      </c>
      <c r="AA75" s="11" t="e">
        <f>LEFT('REPORTS PER EVALUATOR'!#REF!,1)</f>
        <v>#REF!</v>
      </c>
      <c r="AB75" s="93" t="e">
        <f>(RIGHT('REPORTS PER EVALUATOR'!#REF!,1))*1</f>
        <v>#REF!</v>
      </c>
      <c r="AC75" s="11" t="e">
        <f>LEFT('REPORTS PER EVALUATOR'!#REF!,1)</f>
        <v>#REF!</v>
      </c>
      <c r="AD75" s="93" t="e">
        <f>(RIGHT('REPORTS PER EVALUATOR'!#REF!,1))*1</f>
        <v>#REF!</v>
      </c>
      <c r="AE75" s="11" t="e">
        <f>LEFT('REPORTS PER EVALUATOR'!#REF!,1)</f>
        <v>#REF!</v>
      </c>
      <c r="AF75" s="93" t="e">
        <f>(RIGHT('REPORTS PER EVALUATOR'!#REF!,1))*1</f>
        <v>#REF!</v>
      </c>
      <c r="AG75" s="11" t="e">
        <f>LEFT('REPORTS PER EVALUATOR'!#REF!,1)</f>
        <v>#REF!</v>
      </c>
      <c r="AH75" s="93" t="e">
        <f>(RIGHT('REPORTS PER EVALUATOR'!#REF!,1))*1</f>
        <v>#REF!</v>
      </c>
      <c r="AI75" s="11" t="e">
        <f>LEFT('REPORTS PER EVALUATOR'!#REF!,1)</f>
        <v>#REF!</v>
      </c>
      <c r="AJ75" s="93" t="e">
        <f>(RIGHT('REPORTS PER EVALUATOR'!#REF!,1))*1</f>
        <v>#REF!</v>
      </c>
      <c r="AK75" s="11" t="e">
        <f>LEFT('REPORTS PER EVALUATOR'!#REF!,1)</f>
        <v>#REF!</v>
      </c>
      <c r="AL75" s="93" t="e">
        <f>(RIGHT('REPORTS PER EVALUATOR'!#REF!,1))*1</f>
        <v>#REF!</v>
      </c>
      <c r="AM75" s="11" t="e">
        <f>LEFT('REPORTS PER EVALUATOR'!#REF!,1)</f>
        <v>#REF!</v>
      </c>
      <c r="AN75" s="93" t="e">
        <f>(RIGHT('REPORTS PER EVALUATOR'!#REF!,1))*1</f>
        <v>#REF!</v>
      </c>
      <c r="AO75" s="11" t="e">
        <f>LEFT('REPORTS PER EVALUATOR'!#REF!,1)</f>
        <v>#REF!</v>
      </c>
      <c r="AP75" s="93" t="e">
        <f>(RIGHT('REPORTS PER EVALUATOR'!#REF!,1))*1</f>
        <v>#REF!</v>
      </c>
      <c r="AQ75" s="11" t="e">
        <f>LEFT('REPORTS PER EVALUATOR'!#REF!,1)</f>
        <v>#REF!</v>
      </c>
      <c r="AR75" s="93" t="e">
        <f>(RIGHT('REPORTS PER EVALUATOR'!#REF!,1))*1</f>
        <v>#REF!</v>
      </c>
    </row>
    <row r="76" spans="1:44" x14ac:dyDescent="0.2">
      <c r="B76" s="19" t="str">
        <f t="shared" si="4"/>
        <v>C</v>
      </c>
      <c r="C76" s="18" t="str">
        <f t="shared" si="5"/>
        <v>D</v>
      </c>
      <c r="D76" s="18" t="s">
        <v>28</v>
      </c>
      <c r="E76" s="65" t="str">
        <f>LEFT('REPORTS PER EVALUATOR'!$Y$7,1)</f>
        <v>D</v>
      </c>
      <c r="F76" s="77">
        <f>(RIGHT('REPORTS PER EVALUATOR'!$Y$7,1))*1</f>
        <v>4</v>
      </c>
      <c r="G76" s="66" t="str">
        <f>LEFT('REPORTS PER EVALUATOR'!$Y$19,1)</f>
        <v>D</v>
      </c>
      <c r="H76" s="85">
        <f>(RIGHT('REPORTS PER EVALUATOR'!$Y$19,1))*1</f>
        <v>4</v>
      </c>
      <c r="I76" s="66" t="str">
        <f>LEFT('REPORTS PER EVALUATOR'!$Y$31,1)</f>
        <v>D</v>
      </c>
      <c r="J76" s="85">
        <f>(RIGHT('REPORTS PER EVALUATOR'!$Y$31,1))*1</f>
        <v>4</v>
      </c>
      <c r="K76" s="66" t="str">
        <f>LEFT('REPORTS PER EVALUATOR'!$Y$43,1)</f>
        <v>D</v>
      </c>
      <c r="L76" s="85">
        <f>(RIGHT('REPORTS PER EVALUATOR'!$Y$43,1))*1</f>
        <v>2</v>
      </c>
      <c r="M76" s="66" t="str">
        <f>LEFT('REPORTS PER EVALUATOR'!$Y$55,1)</f>
        <v>D</v>
      </c>
      <c r="N76" s="85">
        <f>(RIGHT('REPORTS PER EVALUATOR'!$Y$55,1))*1</f>
        <v>3</v>
      </c>
      <c r="O76" s="66" t="str">
        <f>LEFT('REPORTS PER EVALUATOR'!$Y$67,1)</f>
        <v>D</v>
      </c>
      <c r="P76" s="85">
        <f>(RIGHT('REPORTS PER EVALUATOR'!$Y$67,1))*1</f>
        <v>3</v>
      </c>
      <c r="Q76" s="66" t="str">
        <f>LEFT('REPORTS PER EVALUATOR'!$Y$79,1)</f>
        <v>D</v>
      </c>
      <c r="R76" s="85">
        <f>(RIGHT('REPORTS PER EVALUATOR'!$Y$79,1))*1</f>
        <v>4</v>
      </c>
      <c r="S76" s="66" t="str">
        <f>LEFT('REPORTS PER EVALUATOR'!$Y$91,1)</f>
        <v>D</v>
      </c>
      <c r="T76" s="85">
        <f>(RIGHT('REPORTS PER EVALUATOR'!$Y$91,1))*1</f>
        <v>3</v>
      </c>
      <c r="U76" s="66" t="str">
        <f>LEFT('REPORTS PER EVALUATOR'!$Y$103,1)</f>
        <v>1</v>
      </c>
      <c r="V76" s="85">
        <f>(RIGHT('REPORTS PER EVALUATOR'!$Y$103,1))*1</f>
        <v>1</v>
      </c>
      <c r="W76" s="66" t="str">
        <f>LEFT('REPORTS PER EVALUATOR'!$Y$115,1)</f>
        <v>1</v>
      </c>
      <c r="X76" s="85">
        <f>(RIGHT('REPORTS PER EVALUATOR'!$Y$115,1))*1</f>
        <v>1</v>
      </c>
      <c r="Y76" s="66" t="str">
        <f>LEFT('REPORTS PER EVALUATOR'!$Y$127,1)</f>
        <v>D</v>
      </c>
      <c r="Z76" s="97">
        <f>(RIGHT('REPORTS PER EVALUATOR'!$Y$127,1))*1</f>
        <v>2</v>
      </c>
      <c r="AA76" s="66" t="e">
        <f>LEFT('REPORTS PER EVALUATOR'!#REF!,1)</f>
        <v>#REF!</v>
      </c>
      <c r="AB76" s="97" t="e">
        <f>(RIGHT('REPORTS PER EVALUATOR'!#REF!,1))*1</f>
        <v>#REF!</v>
      </c>
      <c r="AC76" s="66" t="e">
        <f>LEFT('REPORTS PER EVALUATOR'!#REF!,1)</f>
        <v>#REF!</v>
      </c>
      <c r="AD76" s="97" t="e">
        <f>(RIGHT('REPORTS PER EVALUATOR'!#REF!,1))*1</f>
        <v>#REF!</v>
      </c>
      <c r="AE76" s="66" t="e">
        <f>LEFT('REPORTS PER EVALUATOR'!#REF!,1)</f>
        <v>#REF!</v>
      </c>
      <c r="AF76" s="97" t="e">
        <f>(RIGHT('REPORTS PER EVALUATOR'!#REF!,1))*1</f>
        <v>#REF!</v>
      </c>
      <c r="AG76" s="66" t="e">
        <f>LEFT('REPORTS PER EVALUATOR'!#REF!,1)</f>
        <v>#REF!</v>
      </c>
      <c r="AH76" s="97" t="e">
        <f>(RIGHT('REPORTS PER EVALUATOR'!#REF!,1))*1</f>
        <v>#REF!</v>
      </c>
      <c r="AI76" s="66" t="e">
        <f>LEFT('REPORTS PER EVALUATOR'!#REF!,1)</f>
        <v>#REF!</v>
      </c>
      <c r="AJ76" s="97" t="e">
        <f>(RIGHT('REPORTS PER EVALUATOR'!#REF!,1))*1</f>
        <v>#REF!</v>
      </c>
      <c r="AK76" s="66" t="e">
        <f>LEFT('REPORTS PER EVALUATOR'!#REF!,1)</f>
        <v>#REF!</v>
      </c>
      <c r="AL76" s="97" t="e">
        <f>(RIGHT('REPORTS PER EVALUATOR'!#REF!,1))*1</f>
        <v>#REF!</v>
      </c>
      <c r="AM76" s="66" t="e">
        <f>LEFT('REPORTS PER EVALUATOR'!#REF!,1)</f>
        <v>#REF!</v>
      </c>
      <c r="AN76" s="97" t="e">
        <f>(RIGHT('REPORTS PER EVALUATOR'!#REF!,1))*1</f>
        <v>#REF!</v>
      </c>
      <c r="AO76" s="66" t="e">
        <f>LEFT('REPORTS PER EVALUATOR'!#REF!,1)</f>
        <v>#REF!</v>
      </c>
      <c r="AP76" s="97" t="e">
        <f>(RIGHT('REPORTS PER EVALUATOR'!#REF!,1))*1</f>
        <v>#REF!</v>
      </c>
      <c r="AQ76" s="66" t="e">
        <f>LEFT('REPORTS PER EVALUATOR'!#REF!,1)</f>
        <v>#REF!</v>
      </c>
      <c r="AR76" s="97" t="e">
        <f>(RIGHT('REPORTS PER EVALUATOR'!#REF!,1))*1</f>
        <v>#REF!</v>
      </c>
    </row>
    <row r="77" spans="1:44" x14ac:dyDescent="0.2">
      <c r="B77" s="19" t="str">
        <f t="shared" si="4"/>
        <v>C</v>
      </c>
      <c r="C77" s="18" t="str">
        <f t="shared" si="5"/>
        <v>E</v>
      </c>
      <c r="D77" s="18" t="s">
        <v>29</v>
      </c>
      <c r="E77" s="26" t="str">
        <f>LEFT('REPORTS PER EVALUATOR'!$Z$7,1)</f>
        <v>E</v>
      </c>
      <c r="F77" s="74">
        <f>(RIGHT('REPORTS PER EVALUATOR'!$Z$7,1))*1</f>
        <v>4</v>
      </c>
      <c r="G77" s="11" t="str">
        <f>LEFT('REPORTS PER EVALUATOR'!$Z$19,1)</f>
        <v>E</v>
      </c>
      <c r="H77" s="82">
        <f>(RIGHT('REPORTS PER EVALUATOR'!$Z$19,1))*1</f>
        <v>4</v>
      </c>
      <c r="I77" s="11" t="str">
        <f>LEFT('REPORTS PER EVALUATOR'!$Z$31,1)</f>
        <v>1</v>
      </c>
      <c r="J77" s="82">
        <f>(RIGHT('REPORTS PER EVALUATOR'!$Z$31,1))*1</f>
        <v>1</v>
      </c>
      <c r="K77" s="11" t="str">
        <f>LEFT('REPORTS PER EVALUATOR'!$Z$43,1)</f>
        <v>1</v>
      </c>
      <c r="L77" s="82">
        <f>(RIGHT('REPORTS PER EVALUATOR'!$Z$43,1))*1</f>
        <v>1</v>
      </c>
      <c r="M77" s="11" t="str">
        <f>LEFT('REPORTS PER EVALUATOR'!$Z$55,1)</f>
        <v>E</v>
      </c>
      <c r="N77" s="82">
        <f>(RIGHT('REPORTS PER EVALUATOR'!$Z$55,1))*1</f>
        <v>3</v>
      </c>
      <c r="O77" s="11" t="str">
        <f>LEFT('REPORTS PER EVALUATOR'!$Z$67,1)</f>
        <v>E</v>
      </c>
      <c r="P77" s="82">
        <f>(RIGHT('REPORTS PER EVALUATOR'!$Z$67,1))*1</f>
        <v>4</v>
      </c>
      <c r="Q77" s="11" t="str">
        <f>LEFT('REPORTS PER EVALUATOR'!$Z$79,1)</f>
        <v>E</v>
      </c>
      <c r="R77" s="82">
        <f>(RIGHT('REPORTS PER EVALUATOR'!$Z$79,1))*1</f>
        <v>5</v>
      </c>
      <c r="S77" s="11" t="str">
        <f>LEFT('REPORTS PER EVALUATOR'!$Z$91,1)</f>
        <v>E</v>
      </c>
      <c r="T77" s="82">
        <f>(RIGHT('REPORTS PER EVALUATOR'!$Z$91,1))*1</f>
        <v>2</v>
      </c>
      <c r="U77" s="11" t="str">
        <f>LEFT('REPORTS PER EVALUATOR'!$Z$103,1)</f>
        <v>1</v>
      </c>
      <c r="V77" s="82">
        <f>(RIGHT('REPORTS PER EVALUATOR'!$Z$103,1))*1</f>
        <v>1</v>
      </c>
      <c r="W77" s="11" t="str">
        <f>LEFT('REPORTS PER EVALUATOR'!$Z$115,1)</f>
        <v>E</v>
      </c>
      <c r="X77" s="82">
        <f>(RIGHT('REPORTS PER EVALUATOR'!$Z$115,1))*1</f>
        <v>2</v>
      </c>
      <c r="Y77" s="11" t="str">
        <f>LEFT('REPORTS PER EVALUATOR'!$Z$127,1)</f>
        <v>E</v>
      </c>
      <c r="Z77" s="93">
        <f>(RIGHT('REPORTS PER EVALUATOR'!$Z$127,1))*1</f>
        <v>2</v>
      </c>
      <c r="AA77" s="11" t="e">
        <f>LEFT('REPORTS PER EVALUATOR'!#REF!,1)</f>
        <v>#REF!</v>
      </c>
      <c r="AB77" s="93" t="e">
        <f>(RIGHT('REPORTS PER EVALUATOR'!#REF!,1))*1</f>
        <v>#REF!</v>
      </c>
      <c r="AC77" s="11" t="e">
        <f>LEFT('REPORTS PER EVALUATOR'!#REF!,1)</f>
        <v>#REF!</v>
      </c>
      <c r="AD77" s="93" t="e">
        <f>(RIGHT('REPORTS PER EVALUATOR'!#REF!,1))*1</f>
        <v>#REF!</v>
      </c>
      <c r="AE77" s="11" t="e">
        <f>LEFT('REPORTS PER EVALUATOR'!#REF!,1)</f>
        <v>#REF!</v>
      </c>
      <c r="AF77" s="93" t="e">
        <f>(RIGHT('REPORTS PER EVALUATOR'!#REF!,1))*1</f>
        <v>#REF!</v>
      </c>
      <c r="AG77" s="11" t="e">
        <f>LEFT('REPORTS PER EVALUATOR'!#REF!,1)</f>
        <v>#REF!</v>
      </c>
      <c r="AH77" s="93" t="e">
        <f>(RIGHT('REPORTS PER EVALUATOR'!#REF!,1))*1</f>
        <v>#REF!</v>
      </c>
      <c r="AI77" s="11" t="e">
        <f>LEFT('REPORTS PER EVALUATOR'!#REF!,1)</f>
        <v>#REF!</v>
      </c>
      <c r="AJ77" s="93" t="e">
        <f>(RIGHT('REPORTS PER EVALUATOR'!#REF!,1))*1</f>
        <v>#REF!</v>
      </c>
      <c r="AK77" s="11" t="e">
        <f>LEFT('REPORTS PER EVALUATOR'!#REF!,1)</f>
        <v>#REF!</v>
      </c>
      <c r="AL77" s="93" t="e">
        <f>(RIGHT('REPORTS PER EVALUATOR'!#REF!,1))*1</f>
        <v>#REF!</v>
      </c>
      <c r="AM77" s="11" t="e">
        <f>LEFT('REPORTS PER EVALUATOR'!#REF!,1)</f>
        <v>#REF!</v>
      </c>
      <c r="AN77" s="93" t="e">
        <f>(RIGHT('REPORTS PER EVALUATOR'!#REF!,1))*1</f>
        <v>#REF!</v>
      </c>
      <c r="AO77" s="11" t="e">
        <f>LEFT('REPORTS PER EVALUATOR'!#REF!,1)</f>
        <v>#REF!</v>
      </c>
      <c r="AP77" s="93" t="e">
        <f>(RIGHT('REPORTS PER EVALUATOR'!#REF!,1))*1</f>
        <v>#REF!</v>
      </c>
      <c r="AQ77" s="11" t="e">
        <f>LEFT('REPORTS PER EVALUATOR'!#REF!,1)</f>
        <v>#REF!</v>
      </c>
      <c r="AR77" s="93" t="e">
        <f>(RIGHT('REPORTS PER EVALUATOR'!#REF!,1))*1</f>
        <v>#REF!</v>
      </c>
    </row>
    <row r="78" spans="1:44" x14ac:dyDescent="0.2">
      <c r="B78" s="19" t="str">
        <f t="shared" si="4"/>
        <v>C</v>
      </c>
      <c r="C78" s="18" t="str">
        <f t="shared" si="5"/>
        <v>F</v>
      </c>
      <c r="D78" s="18" t="s">
        <v>30</v>
      </c>
      <c r="E78" s="26" t="str">
        <f>LEFT('REPORTS PER EVALUATOR'!$AA$7,1)</f>
        <v>F</v>
      </c>
      <c r="F78" s="74">
        <f>(RIGHT('REPORTS PER EVALUATOR'!$AA$7,1))*1</f>
        <v>3</v>
      </c>
      <c r="G78" s="11" t="str">
        <f>LEFT('REPORTS PER EVALUATOR'!$AA$19,1)</f>
        <v>F</v>
      </c>
      <c r="H78" s="82">
        <f>(RIGHT('REPORTS PER EVALUATOR'!$AA$19,1))*1</f>
        <v>3</v>
      </c>
      <c r="I78" s="11" t="str">
        <f>LEFT('REPORTS PER EVALUATOR'!$AA$31,1)</f>
        <v>F</v>
      </c>
      <c r="J78" s="82">
        <f>(RIGHT('REPORTS PER EVALUATOR'!$AA$31,1))*1</f>
        <v>2</v>
      </c>
      <c r="K78" s="11" t="str">
        <f>LEFT('REPORTS PER EVALUATOR'!$AA$43,1)</f>
        <v>F</v>
      </c>
      <c r="L78" s="82">
        <f>(RIGHT('REPORTS PER EVALUATOR'!$AA$43,1))*1</f>
        <v>2</v>
      </c>
      <c r="M78" s="11" t="str">
        <f>LEFT('REPORTS PER EVALUATOR'!$AA$55,1)</f>
        <v>F</v>
      </c>
      <c r="N78" s="82">
        <f>(RIGHT('REPORTS PER EVALUATOR'!$AA$55,1))*1</f>
        <v>3</v>
      </c>
      <c r="O78" s="11" t="str">
        <f>LEFT('REPORTS PER EVALUATOR'!$AA$67,1)</f>
        <v>F</v>
      </c>
      <c r="P78" s="82">
        <f>(RIGHT('REPORTS PER EVALUATOR'!$AA$67,1))*1</f>
        <v>4</v>
      </c>
      <c r="Q78" s="11" t="str">
        <f>LEFT('REPORTS PER EVALUATOR'!$AA$79,1)</f>
        <v>F</v>
      </c>
      <c r="R78" s="82">
        <f>(RIGHT('REPORTS PER EVALUATOR'!$AA$79,1))*1</f>
        <v>4</v>
      </c>
      <c r="S78" s="11" t="str">
        <f>LEFT('REPORTS PER EVALUATOR'!$AA$91,1)</f>
        <v>1</v>
      </c>
      <c r="T78" s="82">
        <f>(RIGHT('REPORTS PER EVALUATOR'!$AA$91,1))*1</f>
        <v>1</v>
      </c>
      <c r="U78" s="11" t="str">
        <f>LEFT('REPORTS PER EVALUATOR'!$AA$103,1)</f>
        <v>C</v>
      </c>
      <c r="V78" s="82">
        <f>(RIGHT('REPORTS PER EVALUATOR'!$AA$103,1))*1</f>
        <v>2</v>
      </c>
      <c r="W78" s="11" t="str">
        <f>LEFT('REPORTS PER EVALUATOR'!$AA$115,1)</f>
        <v>1</v>
      </c>
      <c r="X78" s="82">
        <f>(RIGHT('REPORTS PER EVALUATOR'!$AA$115,1))*1</f>
        <v>1</v>
      </c>
      <c r="Y78" s="11" t="str">
        <f>LEFT('REPORTS PER EVALUATOR'!$AA$127,1)</f>
        <v>1</v>
      </c>
      <c r="Z78" s="93">
        <f>(RIGHT('REPORTS PER EVALUATOR'!$AA$127,1))*1</f>
        <v>1</v>
      </c>
      <c r="AA78" s="11" t="e">
        <f>LEFT('REPORTS PER EVALUATOR'!#REF!,1)</f>
        <v>#REF!</v>
      </c>
      <c r="AB78" s="93" t="e">
        <f>(RIGHT('REPORTS PER EVALUATOR'!#REF!,1))*1</f>
        <v>#REF!</v>
      </c>
      <c r="AC78" s="11" t="e">
        <f>LEFT('REPORTS PER EVALUATOR'!#REF!,1)</f>
        <v>#REF!</v>
      </c>
      <c r="AD78" s="93" t="e">
        <f>(RIGHT('REPORTS PER EVALUATOR'!#REF!,1))*1</f>
        <v>#REF!</v>
      </c>
      <c r="AE78" s="11" t="e">
        <f>LEFT('REPORTS PER EVALUATOR'!#REF!,1)</f>
        <v>#REF!</v>
      </c>
      <c r="AF78" s="93" t="e">
        <f>(RIGHT('REPORTS PER EVALUATOR'!#REF!,1))*1</f>
        <v>#REF!</v>
      </c>
      <c r="AG78" s="11" t="e">
        <f>LEFT('REPORTS PER EVALUATOR'!#REF!,1)</f>
        <v>#REF!</v>
      </c>
      <c r="AH78" s="93" t="e">
        <f>(RIGHT('REPORTS PER EVALUATOR'!#REF!,1))*1</f>
        <v>#REF!</v>
      </c>
      <c r="AI78" s="11" t="e">
        <f>LEFT('REPORTS PER EVALUATOR'!#REF!,1)</f>
        <v>#REF!</v>
      </c>
      <c r="AJ78" s="93" t="e">
        <f>(RIGHT('REPORTS PER EVALUATOR'!#REF!,1))*1</f>
        <v>#REF!</v>
      </c>
      <c r="AK78" s="11" t="e">
        <f>LEFT('REPORTS PER EVALUATOR'!#REF!,1)</f>
        <v>#REF!</v>
      </c>
      <c r="AL78" s="93" t="e">
        <f>(RIGHT('REPORTS PER EVALUATOR'!#REF!,1))*1</f>
        <v>#REF!</v>
      </c>
      <c r="AM78" s="11" t="e">
        <f>LEFT('REPORTS PER EVALUATOR'!#REF!,1)</f>
        <v>#REF!</v>
      </c>
      <c r="AN78" s="93" t="e">
        <f>(RIGHT('REPORTS PER EVALUATOR'!#REF!,1))*1</f>
        <v>#REF!</v>
      </c>
      <c r="AO78" s="11" t="e">
        <f>LEFT('REPORTS PER EVALUATOR'!#REF!,1)</f>
        <v>#REF!</v>
      </c>
      <c r="AP78" s="93" t="e">
        <f>(RIGHT('REPORTS PER EVALUATOR'!#REF!,1))*1</f>
        <v>#REF!</v>
      </c>
      <c r="AQ78" s="11" t="e">
        <f>LEFT('REPORTS PER EVALUATOR'!#REF!,1)</f>
        <v>#REF!</v>
      </c>
      <c r="AR78" s="93" t="e">
        <f>(RIGHT('REPORTS PER EVALUATOR'!#REF!,1))*1</f>
        <v>#REF!</v>
      </c>
    </row>
    <row r="79" spans="1:44" x14ac:dyDescent="0.2">
      <c r="B79" s="19" t="str">
        <f t="shared" si="4"/>
        <v>C</v>
      </c>
      <c r="C79" s="18" t="str">
        <f t="shared" si="5"/>
        <v>G</v>
      </c>
      <c r="D79" s="18" t="s">
        <v>31</v>
      </c>
      <c r="E79" s="26" t="str">
        <f>LEFT('REPORTS PER EVALUATOR'!$AB$7,1)</f>
        <v>G</v>
      </c>
      <c r="F79" s="74">
        <f>(RIGHT('REPORTS PER EVALUATOR'!$AB$7,1))*1</f>
        <v>3</v>
      </c>
      <c r="G79" s="11" t="str">
        <f>LEFT('REPORTS PER EVALUATOR'!$AB$19,1)</f>
        <v>G</v>
      </c>
      <c r="H79" s="82">
        <f>(RIGHT('REPORTS PER EVALUATOR'!$AB$19,1))*1</f>
        <v>3</v>
      </c>
      <c r="I79" s="11" t="str">
        <f>LEFT('REPORTS PER EVALUATOR'!$AB$31,1)</f>
        <v>G</v>
      </c>
      <c r="J79" s="82">
        <f>(RIGHT('REPORTS PER EVALUATOR'!$AB$31,1))*1</f>
        <v>2</v>
      </c>
      <c r="K79" s="11" t="str">
        <f>LEFT('REPORTS PER EVALUATOR'!$AB$43,1)</f>
        <v>G</v>
      </c>
      <c r="L79" s="82">
        <f>(RIGHT('REPORTS PER EVALUATOR'!$AB$43,1))*1</f>
        <v>2</v>
      </c>
      <c r="M79" s="11" t="str">
        <f>LEFT('REPORTS PER EVALUATOR'!$AB$55,1)</f>
        <v>G</v>
      </c>
      <c r="N79" s="82">
        <f>(RIGHT('REPORTS PER EVALUATOR'!$AB$55,1))*1</f>
        <v>2</v>
      </c>
      <c r="O79" s="11" t="str">
        <f>LEFT('REPORTS PER EVALUATOR'!$AB$67,1)</f>
        <v>1</v>
      </c>
      <c r="P79" s="82">
        <f>(RIGHT('REPORTS PER EVALUATOR'!$AB$67,1))*1</f>
        <v>1</v>
      </c>
      <c r="Q79" s="11" t="str">
        <f>LEFT('REPORTS PER EVALUATOR'!$AB$79,1)</f>
        <v>1</v>
      </c>
      <c r="R79" s="82">
        <f>(RIGHT('REPORTS PER EVALUATOR'!$AB$79,1))*1</f>
        <v>1</v>
      </c>
      <c r="S79" s="11" t="str">
        <f>LEFT('REPORTS PER EVALUATOR'!$AB$91,1)</f>
        <v>C</v>
      </c>
      <c r="T79" s="82">
        <f>(RIGHT('REPORTS PER EVALUATOR'!$AB$91,1))*1</f>
        <v>6</v>
      </c>
      <c r="U79" s="11" t="str">
        <f>LEFT('REPORTS PER EVALUATOR'!$AB$103,1)</f>
        <v>C</v>
      </c>
      <c r="V79" s="82">
        <f>(RIGHT('REPORTS PER EVALUATOR'!$AB$103,1))*1</f>
        <v>4</v>
      </c>
      <c r="W79" s="11" t="str">
        <f>LEFT('REPORTS PER EVALUATOR'!$AB$115,1)</f>
        <v>1</v>
      </c>
      <c r="X79" s="82">
        <f>(RIGHT('REPORTS PER EVALUATOR'!$AB$115,1))*1</f>
        <v>1</v>
      </c>
      <c r="Y79" s="11" t="str">
        <f>LEFT('REPORTS PER EVALUATOR'!$AB$127,1)</f>
        <v>C</v>
      </c>
      <c r="Z79" s="93">
        <f>(RIGHT('REPORTS PER EVALUATOR'!$AB$127,1))*1</f>
        <v>2</v>
      </c>
      <c r="AA79" s="11" t="e">
        <f>LEFT('REPORTS PER EVALUATOR'!#REF!,1)</f>
        <v>#REF!</v>
      </c>
      <c r="AB79" s="93" t="e">
        <f>(RIGHT('REPORTS PER EVALUATOR'!#REF!,1))*1</f>
        <v>#REF!</v>
      </c>
      <c r="AC79" s="11" t="e">
        <f>LEFT('REPORTS PER EVALUATOR'!#REF!,1)</f>
        <v>#REF!</v>
      </c>
      <c r="AD79" s="93" t="e">
        <f>(RIGHT('REPORTS PER EVALUATOR'!#REF!,1))*1</f>
        <v>#REF!</v>
      </c>
      <c r="AE79" s="11" t="e">
        <f>LEFT('REPORTS PER EVALUATOR'!#REF!,1)</f>
        <v>#REF!</v>
      </c>
      <c r="AF79" s="93" t="e">
        <f>(RIGHT('REPORTS PER EVALUATOR'!#REF!,1))*1</f>
        <v>#REF!</v>
      </c>
      <c r="AG79" s="11" t="e">
        <f>LEFT('REPORTS PER EVALUATOR'!#REF!,1)</f>
        <v>#REF!</v>
      </c>
      <c r="AH79" s="93" t="e">
        <f>(RIGHT('REPORTS PER EVALUATOR'!#REF!,1))*1</f>
        <v>#REF!</v>
      </c>
      <c r="AI79" s="11" t="e">
        <f>LEFT('REPORTS PER EVALUATOR'!#REF!,1)</f>
        <v>#REF!</v>
      </c>
      <c r="AJ79" s="93" t="e">
        <f>(RIGHT('REPORTS PER EVALUATOR'!#REF!,1))*1</f>
        <v>#REF!</v>
      </c>
      <c r="AK79" s="11" t="e">
        <f>LEFT('REPORTS PER EVALUATOR'!#REF!,1)</f>
        <v>#REF!</v>
      </c>
      <c r="AL79" s="93" t="e">
        <f>(RIGHT('REPORTS PER EVALUATOR'!#REF!,1))*1</f>
        <v>#REF!</v>
      </c>
      <c r="AM79" s="11" t="e">
        <f>LEFT('REPORTS PER EVALUATOR'!#REF!,1)</f>
        <v>#REF!</v>
      </c>
      <c r="AN79" s="93" t="e">
        <f>(RIGHT('REPORTS PER EVALUATOR'!#REF!,1))*1</f>
        <v>#REF!</v>
      </c>
      <c r="AO79" s="11" t="e">
        <f>LEFT('REPORTS PER EVALUATOR'!#REF!,1)</f>
        <v>#REF!</v>
      </c>
      <c r="AP79" s="93" t="e">
        <f>(RIGHT('REPORTS PER EVALUATOR'!#REF!,1))*1</f>
        <v>#REF!</v>
      </c>
      <c r="AQ79" s="11" t="e">
        <f>LEFT('REPORTS PER EVALUATOR'!#REF!,1)</f>
        <v>#REF!</v>
      </c>
      <c r="AR79" s="93" t="e">
        <f>(RIGHT('REPORTS PER EVALUATOR'!#REF!,1))*1</f>
        <v>#REF!</v>
      </c>
    </row>
    <row r="80" spans="1:44" x14ac:dyDescent="0.2">
      <c r="B80" s="19" t="str">
        <f t="shared" si="4"/>
        <v>C</v>
      </c>
      <c r="C80" s="18" t="str">
        <f t="shared" si="5"/>
        <v>H</v>
      </c>
      <c r="D80" s="18" t="s">
        <v>32</v>
      </c>
      <c r="E80" s="26" t="str">
        <f>LEFT('REPORTS PER EVALUATOR'!$AC$7,1)</f>
        <v>H</v>
      </c>
      <c r="F80" s="74">
        <f>(RIGHT('REPORTS PER EVALUATOR'!$AC$7,1))*1</f>
        <v>3</v>
      </c>
      <c r="G80" s="11" t="str">
        <f>LEFT('REPORTS PER EVALUATOR'!$AC$19,1)</f>
        <v>H</v>
      </c>
      <c r="H80" s="82">
        <f>(RIGHT('REPORTS PER EVALUATOR'!$AC$19,1))*1</f>
        <v>4</v>
      </c>
      <c r="I80" s="11" t="str">
        <f>LEFT('REPORTS PER EVALUATOR'!$AC$31,1)</f>
        <v>C</v>
      </c>
      <c r="J80" s="82">
        <f>(RIGHT('REPORTS PER EVALUATOR'!$AC$31,1))*1</f>
        <v>3</v>
      </c>
      <c r="K80" s="11" t="str">
        <f>LEFT('REPORTS PER EVALUATOR'!$AC$43,1)</f>
        <v>C</v>
      </c>
      <c r="L80" s="82">
        <f>(RIGHT('REPORTS PER EVALUATOR'!$AC$43,1))*1</f>
        <v>3</v>
      </c>
      <c r="M80" s="11" t="str">
        <f>LEFT('REPORTS PER EVALUATOR'!$AC$55,1)</f>
        <v>H</v>
      </c>
      <c r="N80" s="82">
        <f>(RIGHT('REPORTS PER EVALUATOR'!$AC$55,1))*1</f>
        <v>3</v>
      </c>
      <c r="O80" s="11" t="str">
        <f>LEFT('REPORTS PER EVALUATOR'!$AC$67,1)</f>
        <v>H</v>
      </c>
      <c r="P80" s="82">
        <f>(RIGHT('REPORTS PER EVALUATOR'!$AC$67,1))*1</f>
        <v>3</v>
      </c>
      <c r="Q80" s="11" t="str">
        <f>LEFT('REPORTS PER EVALUATOR'!$AC$79,1)</f>
        <v>H</v>
      </c>
      <c r="R80" s="82">
        <f>(RIGHT('REPORTS PER EVALUATOR'!$AC$79,1))*1</f>
        <v>3</v>
      </c>
      <c r="S80" s="11" t="str">
        <f>LEFT('REPORTS PER EVALUATOR'!$AC$91,1)</f>
        <v>H</v>
      </c>
      <c r="T80" s="82">
        <f>(RIGHT('REPORTS PER EVALUATOR'!$AC$91,1))*1</f>
        <v>3</v>
      </c>
      <c r="U80" s="11" t="str">
        <f>LEFT('REPORTS PER EVALUATOR'!$AC$103,1)</f>
        <v>H</v>
      </c>
      <c r="V80" s="82">
        <f>(RIGHT('REPORTS PER EVALUATOR'!$AC$103,1))*1</f>
        <v>2</v>
      </c>
      <c r="W80" s="11" t="str">
        <f>LEFT('REPORTS PER EVALUATOR'!$AC$115,1)</f>
        <v>H</v>
      </c>
      <c r="X80" s="82">
        <f>(RIGHT('REPORTS PER EVALUATOR'!$AC$115,1))*1</f>
        <v>2</v>
      </c>
      <c r="Y80" s="11" t="str">
        <f>LEFT('REPORTS PER EVALUATOR'!$AC$127,1)</f>
        <v>H</v>
      </c>
      <c r="Z80" s="93">
        <f>(RIGHT('REPORTS PER EVALUATOR'!$AC$127,1))*1</f>
        <v>2</v>
      </c>
      <c r="AA80" s="11" t="e">
        <f>LEFT('REPORTS PER EVALUATOR'!#REF!,1)</f>
        <v>#REF!</v>
      </c>
      <c r="AB80" s="93" t="e">
        <f>(RIGHT('REPORTS PER EVALUATOR'!#REF!,1))*1</f>
        <v>#REF!</v>
      </c>
      <c r="AC80" s="11" t="e">
        <f>LEFT('REPORTS PER EVALUATOR'!#REF!,1)</f>
        <v>#REF!</v>
      </c>
      <c r="AD80" s="93" t="e">
        <f>(RIGHT('REPORTS PER EVALUATOR'!#REF!,1))*1</f>
        <v>#REF!</v>
      </c>
      <c r="AE80" s="11" t="e">
        <f>LEFT('REPORTS PER EVALUATOR'!#REF!,1)</f>
        <v>#REF!</v>
      </c>
      <c r="AF80" s="93" t="e">
        <f>(RIGHT('REPORTS PER EVALUATOR'!#REF!,1))*1</f>
        <v>#REF!</v>
      </c>
      <c r="AG80" s="11" t="e">
        <f>LEFT('REPORTS PER EVALUATOR'!#REF!,1)</f>
        <v>#REF!</v>
      </c>
      <c r="AH80" s="93" t="e">
        <f>(RIGHT('REPORTS PER EVALUATOR'!#REF!,1))*1</f>
        <v>#REF!</v>
      </c>
      <c r="AI80" s="11" t="e">
        <f>LEFT('REPORTS PER EVALUATOR'!#REF!,1)</f>
        <v>#REF!</v>
      </c>
      <c r="AJ80" s="93" t="e">
        <f>(RIGHT('REPORTS PER EVALUATOR'!#REF!,1))*1</f>
        <v>#REF!</v>
      </c>
      <c r="AK80" s="11" t="e">
        <f>LEFT('REPORTS PER EVALUATOR'!#REF!,1)</f>
        <v>#REF!</v>
      </c>
      <c r="AL80" s="93" t="e">
        <f>(RIGHT('REPORTS PER EVALUATOR'!#REF!,1))*1</f>
        <v>#REF!</v>
      </c>
      <c r="AM80" s="11" t="e">
        <f>LEFT('REPORTS PER EVALUATOR'!#REF!,1)</f>
        <v>#REF!</v>
      </c>
      <c r="AN80" s="93" t="e">
        <f>(RIGHT('REPORTS PER EVALUATOR'!#REF!,1))*1</f>
        <v>#REF!</v>
      </c>
      <c r="AO80" s="11" t="e">
        <f>LEFT('REPORTS PER EVALUATOR'!#REF!,1)</f>
        <v>#REF!</v>
      </c>
      <c r="AP80" s="93" t="e">
        <f>(RIGHT('REPORTS PER EVALUATOR'!#REF!,1))*1</f>
        <v>#REF!</v>
      </c>
      <c r="AQ80" s="11" t="e">
        <f>LEFT('REPORTS PER EVALUATOR'!#REF!,1)</f>
        <v>#REF!</v>
      </c>
      <c r="AR80" s="93" t="e">
        <f>(RIGHT('REPORTS PER EVALUATOR'!#REF!,1))*1</f>
        <v>#REF!</v>
      </c>
    </row>
    <row r="81" spans="2:44" x14ac:dyDescent="0.2">
      <c r="B81" s="19" t="str">
        <f t="shared" si="4"/>
        <v>C</v>
      </c>
      <c r="C81" s="18" t="str">
        <f t="shared" si="5"/>
        <v>I</v>
      </c>
      <c r="D81" s="18" t="s">
        <v>33</v>
      </c>
      <c r="E81" s="26" t="str">
        <f>LEFT('REPORTS PER EVALUATOR'!$AD$7,1)</f>
        <v>I</v>
      </c>
      <c r="F81" s="74">
        <f>(RIGHT('REPORTS PER EVALUATOR'!$AD$7,1))*1</f>
        <v>3</v>
      </c>
      <c r="G81" s="11" t="str">
        <f>LEFT('REPORTS PER EVALUATOR'!$AD$19,1)</f>
        <v>I</v>
      </c>
      <c r="H81" s="82">
        <f>(RIGHT('REPORTS PER EVALUATOR'!$AD$19,1))*1</f>
        <v>3</v>
      </c>
      <c r="I81" s="11" t="str">
        <f>LEFT('REPORTS PER EVALUATOR'!$AD$31,1)</f>
        <v>I</v>
      </c>
      <c r="J81" s="82">
        <f>(RIGHT('REPORTS PER EVALUATOR'!$AD$31,1))*1</f>
        <v>2</v>
      </c>
      <c r="K81" s="11" t="str">
        <f>LEFT('REPORTS PER EVALUATOR'!$AD$43,1)</f>
        <v>I</v>
      </c>
      <c r="L81" s="82">
        <f>(RIGHT('REPORTS PER EVALUATOR'!$AD$43,1))*1</f>
        <v>2</v>
      </c>
      <c r="M81" s="11" t="str">
        <f>LEFT('REPORTS PER EVALUATOR'!$AD$55,1)</f>
        <v>I</v>
      </c>
      <c r="N81" s="82">
        <f>(RIGHT('REPORTS PER EVALUATOR'!$AD$55,1))*1</f>
        <v>3</v>
      </c>
      <c r="O81" s="11" t="str">
        <f>LEFT('REPORTS PER EVALUATOR'!$AD$67,1)</f>
        <v>I</v>
      </c>
      <c r="P81" s="82">
        <f>(RIGHT('REPORTS PER EVALUATOR'!$AD$67,1))*1</f>
        <v>3</v>
      </c>
      <c r="Q81" s="11" t="str">
        <f>LEFT('REPORTS PER EVALUATOR'!$AD$79,1)</f>
        <v>I</v>
      </c>
      <c r="R81" s="82">
        <f>(RIGHT('REPORTS PER EVALUATOR'!$AD$79,1))*1</f>
        <v>3</v>
      </c>
      <c r="S81" s="11" t="str">
        <f>LEFT('REPORTS PER EVALUATOR'!$AD$91,1)</f>
        <v>C</v>
      </c>
      <c r="T81" s="82">
        <f>(RIGHT('REPORTS PER EVALUATOR'!$AD$91,1))*1</f>
        <v>2</v>
      </c>
      <c r="U81" s="11" t="str">
        <f>LEFT('REPORTS PER EVALUATOR'!$AD$103,1)</f>
        <v>C</v>
      </c>
      <c r="V81" s="82">
        <f>(RIGHT('REPORTS PER EVALUATOR'!$AD$103,1))*1</f>
        <v>2</v>
      </c>
      <c r="W81" s="11" t="str">
        <f>LEFT('REPORTS PER EVALUATOR'!$AD$115,1)</f>
        <v>I</v>
      </c>
      <c r="X81" s="82">
        <f>(RIGHT('REPORTS PER EVALUATOR'!$AD$115,1))*1</f>
        <v>2</v>
      </c>
      <c r="Y81" s="11" t="str">
        <f>LEFT('REPORTS PER EVALUATOR'!$AD$127,1)</f>
        <v>I</v>
      </c>
      <c r="Z81" s="93">
        <f>(RIGHT('REPORTS PER EVALUATOR'!$AD$127,1))*1</f>
        <v>2</v>
      </c>
      <c r="AA81" s="11" t="e">
        <f>LEFT('REPORTS PER EVALUATOR'!#REF!,1)</f>
        <v>#REF!</v>
      </c>
      <c r="AB81" s="93" t="e">
        <f>(RIGHT('REPORTS PER EVALUATOR'!#REF!,1))*1</f>
        <v>#REF!</v>
      </c>
      <c r="AC81" s="11" t="e">
        <f>LEFT('REPORTS PER EVALUATOR'!#REF!,1)</f>
        <v>#REF!</v>
      </c>
      <c r="AD81" s="93" t="e">
        <f>(RIGHT('REPORTS PER EVALUATOR'!#REF!,1))*1</f>
        <v>#REF!</v>
      </c>
      <c r="AE81" s="11" t="e">
        <f>LEFT('REPORTS PER EVALUATOR'!#REF!,1)</f>
        <v>#REF!</v>
      </c>
      <c r="AF81" s="93" t="e">
        <f>(RIGHT('REPORTS PER EVALUATOR'!#REF!,1))*1</f>
        <v>#REF!</v>
      </c>
      <c r="AG81" s="11" t="e">
        <f>LEFT('REPORTS PER EVALUATOR'!#REF!,1)</f>
        <v>#REF!</v>
      </c>
      <c r="AH81" s="93" t="e">
        <f>(RIGHT('REPORTS PER EVALUATOR'!#REF!,1))*1</f>
        <v>#REF!</v>
      </c>
      <c r="AI81" s="11" t="e">
        <f>LEFT('REPORTS PER EVALUATOR'!#REF!,1)</f>
        <v>#REF!</v>
      </c>
      <c r="AJ81" s="93" t="e">
        <f>(RIGHT('REPORTS PER EVALUATOR'!#REF!,1))*1</f>
        <v>#REF!</v>
      </c>
      <c r="AK81" s="11" t="e">
        <f>LEFT('REPORTS PER EVALUATOR'!#REF!,1)</f>
        <v>#REF!</v>
      </c>
      <c r="AL81" s="93" t="e">
        <f>(RIGHT('REPORTS PER EVALUATOR'!#REF!,1))*1</f>
        <v>#REF!</v>
      </c>
      <c r="AM81" s="11" t="e">
        <f>LEFT('REPORTS PER EVALUATOR'!#REF!,1)</f>
        <v>#REF!</v>
      </c>
      <c r="AN81" s="93" t="e">
        <f>(RIGHT('REPORTS PER EVALUATOR'!#REF!,1))*1</f>
        <v>#REF!</v>
      </c>
      <c r="AO81" s="11" t="e">
        <f>LEFT('REPORTS PER EVALUATOR'!#REF!,1)</f>
        <v>#REF!</v>
      </c>
      <c r="AP81" s="93" t="e">
        <f>(RIGHT('REPORTS PER EVALUATOR'!#REF!,1))*1</f>
        <v>#REF!</v>
      </c>
      <c r="AQ81" s="11" t="e">
        <f>LEFT('REPORTS PER EVALUATOR'!#REF!,1)</f>
        <v>#REF!</v>
      </c>
      <c r="AR81" s="93" t="e">
        <f>(RIGHT('REPORTS PER EVALUATOR'!#REF!,1))*1</f>
        <v>#REF!</v>
      </c>
    </row>
    <row r="82" spans="2:44" x14ac:dyDescent="0.2">
      <c r="B82" s="19" t="str">
        <f t="shared" si="4"/>
        <v>C</v>
      </c>
      <c r="C82" s="18" t="str">
        <f t="shared" si="5"/>
        <v>L</v>
      </c>
      <c r="D82" s="18" t="s">
        <v>34</v>
      </c>
      <c r="E82" s="26" t="str">
        <f>LEFT('REPORTS PER EVALUATOR'!$AE$7,1)</f>
        <v>L</v>
      </c>
      <c r="F82" s="74">
        <f>(RIGHT('REPORTS PER EVALUATOR'!$AE$7,1))*1</f>
        <v>2</v>
      </c>
      <c r="G82" s="11" t="str">
        <f>LEFT('REPORTS PER EVALUATOR'!$AE$19,1)</f>
        <v>L</v>
      </c>
      <c r="H82" s="82">
        <f>(RIGHT('REPORTS PER EVALUATOR'!$AE$19,1))*1</f>
        <v>2</v>
      </c>
      <c r="I82" s="11" t="str">
        <f>LEFT('REPORTS PER EVALUATOR'!$AE$31,1)</f>
        <v>1</v>
      </c>
      <c r="J82" s="82">
        <f>(RIGHT('REPORTS PER EVALUATOR'!$AE$31,1))*1</f>
        <v>1</v>
      </c>
      <c r="K82" s="11" t="str">
        <f>LEFT('REPORTS PER EVALUATOR'!$AE$43,1)</f>
        <v>1</v>
      </c>
      <c r="L82" s="82">
        <f>(RIGHT('REPORTS PER EVALUATOR'!$AE$43,1))*1</f>
        <v>1</v>
      </c>
      <c r="M82" s="11" t="str">
        <f>LEFT('REPORTS PER EVALUATOR'!$AE$55,1)</f>
        <v>L</v>
      </c>
      <c r="N82" s="82">
        <f>(RIGHT('REPORTS PER EVALUATOR'!$AE$55,1))*1</f>
        <v>3</v>
      </c>
      <c r="O82" s="11" t="str">
        <f>LEFT('REPORTS PER EVALUATOR'!$AE$67,1)</f>
        <v>L</v>
      </c>
      <c r="P82" s="82">
        <f>(RIGHT('REPORTS PER EVALUATOR'!$AE$67,1))*1</f>
        <v>3</v>
      </c>
      <c r="Q82" s="11" t="str">
        <f>LEFT('REPORTS PER EVALUATOR'!$AE$79,1)</f>
        <v>L</v>
      </c>
      <c r="R82" s="82">
        <f>(RIGHT('REPORTS PER EVALUATOR'!$AE$79,1))*1</f>
        <v>3</v>
      </c>
      <c r="S82" s="11" t="str">
        <f>LEFT('REPORTS PER EVALUATOR'!$AE$91,1)</f>
        <v>L</v>
      </c>
      <c r="T82" s="82">
        <f>(RIGHT('REPORTS PER EVALUATOR'!$AE$91,1))*1</f>
        <v>3</v>
      </c>
      <c r="U82" s="11" t="str">
        <f>LEFT('REPORTS PER EVALUATOR'!$AE$103,1)</f>
        <v>C</v>
      </c>
      <c r="V82" s="82">
        <f>(RIGHT('REPORTS PER EVALUATOR'!$AE$103,1))*1</f>
        <v>3</v>
      </c>
      <c r="W82" s="11" t="str">
        <f>LEFT('REPORTS PER EVALUATOR'!$AE$115,1)</f>
        <v>L</v>
      </c>
      <c r="X82" s="82">
        <f>(RIGHT('REPORTS PER EVALUATOR'!$AE$115,1))*1</f>
        <v>2</v>
      </c>
      <c r="Y82" s="11" t="str">
        <f>LEFT('REPORTS PER EVALUATOR'!$AE$127,1)</f>
        <v>1</v>
      </c>
      <c r="Z82" s="93">
        <f>(RIGHT('REPORTS PER EVALUATOR'!$AE$127,1))*1</f>
        <v>1</v>
      </c>
      <c r="AA82" s="11" t="e">
        <f>LEFT('REPORTS PER EVALUATOR'!#REF!,1)</f>
        <v>#REF!</v>
      </c>
      <c r="AB82" s="93" t="e">
        <f>(RIGHT('REPORTS PER EVALUATOR'!#REF!,1))*1</f>
        <v>#REF!</v>
      </c>
      <c r="AC82" s="11" t="e">
        <f>LEFT('REPORTS PER EVALUATOR'!#REF!,1)</f>
        <v>#REF!</v>
      </c>
      <c r="AD82" s="93" t="e">
        <f>(RIGHT('REPORTS PER EVALUATOR'!#REF!,1))*1</f>
        <v>#REF!</v>
      </c>
      <c r="AE82" s="11" t="e">
        <f>LEFT('REPORTS PER EVALUATOR'!#REF!,1)</f>
        <v>#REF!</v>
      </c>
      <c r="AF82" s="93" t="e">
        <f>(RIGHT('REPORTS PER EVALUATOR'!#REF!,1))*1</f>
        <v>#REF!</v>
      </c>
      <c r="AG82" s="11" t="e">
        <f>LEFT('REPORTS PER EVALUATOR'!#REF!,1)</f>
        <v>#REF!</v>
      </c>
      <c r="AH82" s="93" t="e">
        <f>(RIGHT('REPORTS PER EVALUATOR'!#REF!,1))*1</f>
        <v>#REF!</v>
      </c>
      <c r="AI82" s="11" t="e">
        <f>LEFT('REPORTS PER EVALUATOR'!#REF!,1)</f>
        <v>#REF!</v>
      </c>
      <c r="AJ82" s="93" t="e">
        <f>(RIGHT('REPORTS PER EVALUATOR'!#REF!,1))*1</f>
        <v>#REF!</v>
      </c>
      <c r="AK82" s="11" t="e">
        <f>LEFT('REPORTS PER EVALUATOR'!#REF!,1)</f>
        <v>#REF!</v>
      </c>
      <c r="AL82" s="93" t="e">
        <f>(RIGHT('REPORTS PER EVALUATOR'!#REF!,1))*1</f>
        <v>#REF!</v>
      </c>
      <c r="AM82" s="11" t="e">
        <f>LEFT('REPORTS PER EVALUATOR'!#REF!,1)</f>
        <v>#REF!</v>
      </c>
      <c r="AN82" s="93" t="e">
        <f>(RIGHT('REPORTS PER EVALUATOR'!#REF!,1))*1</f>
        <v>#REF!</v>
      </c>
      <c r="AO82" s="11" t="e">
        <f>LEFT('REPORTS PER EVALUATOR'!#REF!,1)</f>
        <v>#REF!</v>
      </c>
      <c r="AP82" s="93" t="e">
        <f>(RIGHT('REPORTS PER EVALUATOR'!#REF!,1))*1</f>
        <v>#REF!</v>
      </c>
      <c r="AQ82" s="11" t="e">
        <f>LEFT('REPORTS PER EVALUATOR'!#REF!,1)</f>
        <v>#REF!</v>
      </c>
      <c r="AR82" s="93" t="e">
        <f>(RIGHT('REPORTS PER EVALUATOR'!#REF!,1))*1</f>
        <v>#REF!</v>
      </c>
    </row>
    <row r="83" spans="2:44" x14ac:dyDescent="0.2">
      <c r="B83" s="19" t="str">
        <f t="shared" si="4"/>
        <v>C</v>
      </c>
      <c r="C83" s="18" t="str">
        <f t="shared" si="5"/>
        <v>M</v>
      </c>
      <c r="D83" s="18" t="s">
        <v>159</v>
      </c>
      <c r="E83" s="26" t="str">
        <f>LEFT('REPORTS PER EVALUATOR'!$AF$7,1)</f>
        <v/>
      </c>
      <c r="F83" s="74" t="e">
        <f>(RIGHT('REPORTS PER EVALUATOR'!$AF$7,1))*1</f>
        <v>#VALUE!</v>
      </c>
      <c r="G83" s="11" t="str">
        <f>LEFT('REPORTS PER EVALUATOR'!$AF$19,1)</f>
        <v/>
      </c>
      <c r="H83" s="82" t="e">
        <f>(RIGHT('REPORTS PER EVALUATOR'!$AF$19,1))*1</f>
        <v>#VALUE!</v>
      </c>
      <c r="I83" s="11" t="str">
        <f>LEFT('REPORTS PER EVALUATOR'!$AF$31,1)</f>
        <v/>
      </c>
      <c r="J83" s="82" t="e">
        <f>(RIGHT('REPORTS PER EVALUATOR'!$AF$31,1))*1</f>
        <v>#VALUE!</v>
      </c>
      <c r="K83" s="11" t="str">
        <f>LEFT('REPORTS PER EVALUATOR'!$AF$43,1)</f>
        <v/>
      </c>
      <c r="L83" s="82" t="e">
        <f>(RIGHT('REPORTS PER EVALUATOR'!$AF$43,1))*1</f>
        <v>#VALUE!</v>
      </c>
      <c r="M83" s="11" t="str">
        <f>LEFT('REPORTS PER EVALUATOR'!$AF$55,1)</f>
        <v/>
      </c>
      <c r="N83" s="82" t="e">
        <f>(RIGHT('REPORTS PER EVALUATOR'!$AF$55,1))*1</f>
        <v>#VALUE!</v>
      </c>
      <c r="O83" s="11" t="str">
        <f>LEFT('REPORTS PER EVALUATOR'!$AF$67,1)</f>
        <v/>
      </c>
      <c r="P83" s="82" t="e">
        <f>(RIGHT('REPORTS PER EVALUATOR'!$AF$67,1))*1</f>
        <v>#VALUE!</v>
      </c>
      <c r="Q83" s="11" t="str">
        <f>LEFT('REPORTS PER EVALUATOR'!$AF$79,1)</f>
        <v/>
      </c>
      <c r="R83" s="82" t="e">
        <f>(RIGHT('REPORTS PER EVALUATOR'!$AF$79,1))*1</f>
        <v>#VALUE!</v>
      </c>
      <c r="S83" s="11" t="str">
        <f>LEFT('REPORTS PER EVALUATOR'!$AF$91,1)</f>
        <v/>
      </c>
      <c r="T83" s="82" t="e">
        <f>(RIGHT('REPORTS PER EVALUATOR'!$AF$91,1))*1</f>
        <v>#VALUE!</v>
      </c>
      <c r="U83" s="11" t="str">
        <f>LEFT('REPORTS PER EVALUATOR'!$AF$103,1)</f>
        <v/>
      </c>
      <c r="V83" s="82" t="e">
        <f>(RIGHT('REPORTS PER EVALUATOR'!$AF$103,1))*1</f>
        <v>#VALUE!</v>
      </c>
      <c r="W83" s="11" t="str">
        <f>LEFT('REPORTS PER EVALUATOR'!$AF$115,1)</f>
        <v/>
      </c>
      <c r="X83" s="82" t="e">
        <f>(RIGHT('REPORTS PER EVALUATOR'!$AF$115,1))*1</f>
        <v>#VALUE!</v>
      </c>
      <c r="Y83" s="11" t="str">
        <f>LEFT('REPORTS PER EVALUATOR'!$AF$127,1)</f>
        <v/>
      </c>
      <c r="Z83" s="93" t="e">
        <f>(RIGHT('REPORTS PER EVALUATOR'!$AF$127,1))*1</f>
        <v>#VALUE!</v>
      </c>
      <c r="AA83" s="11" t="e">
        <f>LEFT('REPORTS PER EVALUATOR'!#REF!,1)</f>
        <v>#REF!</v>
      </c>
      <c r="AB83" s="93" t="e">
        <f>(RIGHT('REPORTS PER EVALUATOR'!#REF!,1))*1</f>
        <v>#REF!</v>
      </c>
      <c r="AC83" s="11" t="e">
        <f>LEFT('REPORTS PER EVALUATOR'!#REF!,1)</f>
        <v>#REF!</v>
      </c>
      <c r="AD83" s="93" t="e">
        <f>(RIGHT('REPORTS PER EVALUATOR'!#REF!,1))*1</f>
        <v>#REF!</v>
      </c>
      <c r="AE83" s="11" t="e">
        <f>LEFT('REPORTS PER EVALUATOR'!#REF!,1)</f>
        <v>#REF!</v>
      </c>
      <c r="AF83" s="93" t="e">
        <f>(RIGHT('REPORTS PER EVALUATOR'!#REF!,1))*1</f>
        <v>#REF!</v>
      </c>
      <c r="AG83" s="11" t="e">
        <f>LEFT('REPORTS PER EVALUATOR'!#REF!,1)</f>
        <v>#REF!</v>
      </c>
      <c r="AH83" s="93" t="e">
        <f>(RIGHT('REPORTS PER EVALUATOR'!#REF!,1))*1</f>
        <v>#REF!</v>
      </c>
      <c r="AI83" s="11" t="e">
        <f>LEFT('REPORTS PER EVALUATOR'!#REF!,1)</f>
        <v>#REF!</v>
      </c>
      <c r="AJ83" s="93" t="e">
        <f>(RIGHT('REPORTS PER EVALUATOR'!#REF!,1))*1</f>
        <v>#REF!</v>
      </c>
      <c r="AK83" s="11" t="e">
        <f>LEFT('REPORTS PER EVALUATOR'!#REF!,1)</f>
        <v>#REF!</v>
      </c>
      <c r="AL83" s="93" t="e">
        <f>(RIGHT('REPORTS PER EVALUATOR'!#REF!,1))*1</f>
        <v>#REF!</v>
      </c>
      <c r="AM83" s="11" t="e">
        <f>LEFT('REPORTS PER EVALUATOR'!#REF!,1)</f>
        <v>#REF!</v>
      </c>
      <c r="AN83" s="93" t="e">
        <f>(RIGHT('REPORTS PER EVALUATOR'!#REF!,1))*1</f>
        <v>#REF!</v>
      </c>
      <c r="AO83" s="11" t="e">
        <f>LEFT('REPORTS PER EVALUATOR'!#REF!,1)</f>
        <v>#REF!</v>
      </c>
      <c r="AP83" s="93" t="e">
        <f>(RIGHT('REPORTS PER EVALUATOR'!#REF!,1))*1</f>
        <v>#REF!</v>
      </c>
      <c r="AQ83" s="11" t="e">
        <f>LEFT('REPORTS PER EVALUATOR'!#REF!,1)</f>
        <v>#REF!</v>
      </c>
      <c r="AR83" s="93" t="e">
        <f>(RIGHT('REPORTS PER EVALUATOR'!#REF!,1))*1</f>
        <v>#REF!</v>
      </c>
    </row>
    <row r="84" spans="2:44" x14ac:dyDescent="0.2">
      <c r="B84" s="19" t="str">
        <f t="shared" si="4"/>
        <v>D</v>
      </c>
      <c r="C84" s="18" t="str">
        <f t="shared" si="5"/>
        <v>E</v>
      </c>
      <c r="D84" s="18" t="s">
        <v>35</v>
      </c>
      <c r="E84" s="65" t="str">
        <f>LEFT('REPORTS PER EVALUATOR'!$Z$8,1)</f>
        <v>D</v>
      </c>
      <c r="F84" s="77">
        <f>(RIGHT('REPORTS PER EVALUATOR'!$Z$8,1))*1</f>
        <v>2</v>
      </c>
      <c r="G84" s="66" t="str">
        <f>LEFT('REPORTS PER EVALUATOR'!$Z$20,1)</f>
        <v>1</v>
      </c>
      <c r="H84" s="85">
        <f>(RIGHT('REPORTS PER EVALUATOR'!$Z$20,1))*1</f>
        <v>1</v>
      </c>
      <c r="I84" s="66" t="str">
        <f>LEFT('REPORTS PER EVALUATOR'!$Z$32,1)</f>
        <v>D</v>
      </c>
      <c r="J84" s="85">
        <f>(RIGHT('REPORTS PER EVALUATOR'!$Z$32,1))*1</f>
        <v>2</v>
      </c>
      <c r="K84" s="66" t="str">
        <f>LEFT('REPORTS PER EVALUATOR'!$Z$44,1)</f>
        <v>D</v>
      </c>
      <c r="L84" s="85">
        <f>(RIGHT('REPORTS PER EVALUATOR'!$Z$44,1))*1</f>
        <v>2</v>
      </c>
      <c r="M84" s="66" t="str">
        <f>LEFT('REPORTS PER EVALUATOR'!$Z$56,1)</f>
        <v>E</v>
      </c>
      <c r="N84" s="85">
        <f>(RIGHT('REPORTS PER EVALUATOR'!$Z$56,1))*1</f>
        <v>3</v>
      </c>
      <c r="O84" s="66" t="str">
        <f>LEFT('REPORTS PER EVALUATOR'!$Z$68,1)</f>
        <v>E</v>
      </c>
      <c r="P84" s="85">
        <f>(RIGHT('REPORTS PER EVALUATOR'!$Z$68,1))*1</f>
        <v>2</v>
      </c>
      <c r="Q84" s="66" t="str">
        <f>LEFT('REPORTS PER EVALUATOR'!$Z$80,1)</f>
        <v>E</v>
      </c>
      <c r="R84" s="85">
        <f>(RIGHT('REPORTS PER EVALUATOR'!$Z$80,1))*1</f>
        <v>2</v>
      </c>
      <c r="S84" s="66" t="str">
        <f>LEFT('REPORTS PER EVALUATOR'!$Z$92,1)</f>
        <v>1</v>
      </c>
      <c r="T84" s="85">
        <f>(RIGHT('REPORTS PER EVALUATOR'!$Z$92,1))*1</f>
        <v>1</v>
      </c>
      <c r="U84" s="66" t="str">
        <f>LEFT('REPORTS PER EVALUATOR'!$Z$104,1)</f>
        <v>D</v>
      </c>
      <c r="V84" s="85">
        <f>(RIGHT('REPORTS PER EVALUATOR'!$Z$104,1))*1</f>
        <v>2</v>
      </c>
      <c r="W84" s="66" t="str">
        <f>LEFT('REPORTS PER EVALUATOR'!$Z$116,1)</f>
        <v>1</v>
      </c>
      <c r="X84" s="85">
        <f>(RIGHT('REPORTS PER EVALUATOR'!$Z$116,1))*1</f>
        <v>1</v>
      </c>
      <c r="Y84" s="66" t="str">
        <f>LEFT('REPORTS PER EVALUATOR'!$Z$128,1)</f>
        <v>1</v>
      </c>
      <c r="Z84" s="97">
        <f>(RIGHT('REPORTS PER EVALUATOR'!$Z$128,1))*1</f>
        <v>1</v>
      </c>
      <c r="AA84" s="66" t="e">
        <f>LEFT('REPORTS PER EVALUATOR'!#REF!,1)</f>
        <v>#REF!</v>
      </c>
      <c r="AB84" s="97" t="e">
        <f>(RIGHT('REPORTS PER EVALUATOR'!#REF!,1))*1</f>
        <v>#REF!</v>
      </c>
      <c r="AC84" s="66" t="e">
        <f>LEFT('REPORTS PER EVALUATOR'!#REF!,1)</f>
        <v>#REF!</v>
      </c>
      <c r="AD84" s="97" t="e">
        <f>(RIGHT('REPORTS PER EVALUATOR'!#REF!,1))*1</f>
        <v>#REF!</v>
      </c>
      <c r="AE84" s="66" t="e">
        <f>LEFT('REPORTS PER EVALUATOR'!#REF!,1)</f>
        <v>#REF!</v>
      </c>
      <c r="AF84" s="97" t="e">
        <f>(RIGHT('REPORTS PER EVALUATOR'!#REF!,1))*1</f>
        <v>#REF!</v>
      </c>
      <c r="AG84" s="66" t="e">
        <f>LEFT('REPORTS PER EVALUATOR'!#REF!,1)</f>
        <v>#REF!</v>
      </c>
      <c r="AH84" s="97" t="e">
        <f>(RIGHT('REPORTS PER EVALUATOR'!#REF!,1))*1</f>
        <v>#REF!</v>
      </c>
      <c r="AI84" s="66" t="e">
        <f>LEFT('REPORTS PER EVALUATOR'!#REF!,1)</f>
        <v>#REF!</v>
      </c>
      <c r="AJ84" s="97" t="e">
        <f>(RIGHT('REPORTS PER EVALUATOR'!#REF!,1))*1</f>
        <v>#REF!</v>
      </c>
      <c r="AK84" s="66" t="e">
        <f>LEFT('REPORTS PER EVALUATOR'!#REF!,1)</f>
        <v>#REF!</v>
      </c>
      <c r="AL84" s="97" t="e">
        <f>(RIGHT('REPORTS PER EVALUATOR'!#REF!,1))*1</f>
        <v>#REF!</v>
      </c>
      <c r="AM84" s="66" t="e">
        <f>LEFT('REPORTS PER EVALUATOR'!#REF!,1)</f>
        <v>#REF!</v>
      </c>
      <c r="AN84" s="97" t="e">
        <f>(RIGHT('REPORTS PER EVALUATOR'!#REF!,1))*1</f>
        <v>#REF!</v>
      </c>
      <c r="AO84" s="66" t="e">
        <f>LEFT('REPORTS PER EVALUATOR'!#REF!,1)</f>
        <v>#REF!</v>
      </c>
      <c r="AP84" s="97" t="e">
        <f>(RIGHT('REPORTS PER EVALUATOR'!#REF!,1))*1</f>
        <v>#REF!</v>
      </c>
      <c r="AQ84" s="66" t="e">
        <f>LEFT('REPORTS PER EVALUATOR'!#REF!,1)</f>
        <v>#REF!</v>
      </c>
      <c r="AR84" s="97" t="e">
        <f>(RIGHT('REPORTS PER EVALUATOR'!#REF!,1))*1</f>
        <v>#REF!</v>
      </c>
    </row>
    <row r="85" spans="2:44" x14ac:dyDescent="0.2">
      <c r="B85" s="19" t="str">
        <f t="shared" si="4"/>
        <v>D</v>
      </c>
      <c r="C85" s="18" t="str">
        <f t="shared" si="5"/>
        <v>F</v>
      </c>
      <c r="D85" s="18" t="s">
        <v>36</v>
      </c>
      <c r="E85" s="26" t="str">
        <f>LEFT('REPORTS PER EVALUATOR'!$AA$8,1)</f>
        <v>1</v>
      </c>
      <c r="F85" s="74">
        <f>(RIGHT('REPORTS PER EVALUATOR'!$AA$8,1))*1</f>
        <v>1</v>
      </c>
      <c r="G85" s="11" t="str">
        <f>LEFT('REPORTS PER EVALUATOR'!$AA$20,1)</f>
        <v>D</v>
      </c>
      <c r="H85" s="82">
        <f>(RIGHT('REPORTS PER EVALUATOR'!$AA$20,1))*1</f>
        <v>2</v>
      </c>
      <c r="I85" s="11" t="str">
        <f>LEFT('REPORTS PER EVALUATOR'!$AA$32,1)</f>
        <v>F</v>
      </c>
      <c r="J85" s="82">
        <f>(RIGHT('REPORTS PER EVALUATOR'!$AA$32,1))*1</f>
        <v>2</v>
      </c>
      <c r="K85" s="11" t="str">
        <f>LEFT('REPORTS PER EVALUATOR'!$AA$44,1)</f>
        <v>1</v>
      </c>
      <c r="L85" s="82">
        <f>(RIGHT('REPORTS PER EVALUATOR'!$AA$44,1))*1</f>
        <v>1</v>
      </c>
      <c r="M85" s="11" t="str">
        <f>LEFT('REPORTS PER EVALUATOR'!$AA$56,1)</f>
        <v>F</v>
      </c>
      <c r="N85" s="82">
        <f>(RIGHT('REPORTS PER EVALUATOR'!$AA$56,1))*1</f>
        <v>3</v>
      </c>
      <c r="O85" s="11" t="str">
        <f>LEFT('REPORTS PER EVALUATOR'!$AA$68,1)</f>
        <v>F</v>
      </c>
      <c r="P85" s="82">
        <f>(RIGHT('REPORTS PER EVALUATOR'!$AA$68,1))*1</f>
        <v>2</v>
      </c>
      <c r="Q85" s="11" t="str">
        <f>LEFT('REPORTS PER EVALUATOR'!$AA$80,1)</f>
        <v>F</v>
      </c>
      <c r="R85" s="82">
        <f>(RIGHT('REPORTS PER EVALUATOR'!$AA$80,1))*1</f>
        <v>2</v>
      </c>
      <c r="S85" s="11" t="str">
        <f>LEFT('REPORTS PER EVALUATOR'!$AA$92,1)</f>
        <v>D</v>
      </c>
      <c r="T85" s="82">
        <f>(RIGHT('REPORTS PER EVALUATOR'!$AA$92,1))*1</f>
        <v>3</v>
      </c>
      <c r="U85" s="11" t="str">
        <f>LEFT('REPORTS PER EVALUATOR'!$AA$104,1)</f>
        <v>D</v>
      </c>
      <c r="V85" s="82">
        <f>(RIGHT('REPORTS PER EVALUATOR'!$AA$104,1))*1</f>
        <v>2</v>
      </c>
      <c r="W85" s="11" t="str">
        <f>LEFT('REPORTS PER EVALUATOR'!$AA$116,1)</f>
        <v>1</v>
      </c>
      <c r="X85" s="82">
        <f>(RIGHT('REPORTS PER EVALUATOR'!$AA$116,1))*1</f>
        <v>1</v>
      </c>
      <c r="Y85" s="11" t="str">
        <f>LEFT('REPORTS PER EVALUATOR'!$AA$128,1)</f>
        <v>1</v>
      </c>
      <c r="Z85" s="93">
        <f>(RIGHT('REPORTS PER EVALUATOR'!$AA$128,1))*1</f>
        <v>1</v>
      </c>
      <c r="AA85" s="11" t="e">
        <f>LEFT('REPORTS PER EVALUATOR'!#REF!,1)</f>
        <v>#REF!</v>
      </c>
      <c r="AB85" s="93" t="e">
        <f>(RIGHT('REPORTS PER EVALUATOR'!#REF!,1))*1</f>
        <v>#REF!</v>
      </c>
      <c r="AC85" s="11" t="e">
        <f>LEFT('REPORTS PER EVALUATOR'!#REF!,1)</f>
        <v>#REF!</v>
      </c>
      <c r="AD85" s="93" t="e">
        <f>(RIGHT('REPORTS PER EVALUATOR'!#REF!,1))*1</f>
        <v>#REF!</v>
      </c>
      <c r="AE85" s="11" t="e">
        <f>LEFT('REPORTS PER EVALUATOR'!#REF!,1)</f>
        <v>#REF!</v>
      </c>
      <c r="AF85" s="93" t="e">
        <f>(RIGHT('REPORTS PER EVALUATOR'!#REF!,1))*1</f>
        <v>#REF!</v>
      </c>
      <c r="AG85" s="11" t="e">
        <f>LEFT('REPORTS PER EVALUATOR'!#REF!,1)</f>
        <v>#REF!</v>
      </c>
      <c r="AH85" s="93" t="e">
        <f>(RIGHT('REPORTS PER EVALUATOR'!#REF!,1))*1</f>
        <v>#REF!</v>
      </c>
      <c r="AI85" s="11" t="e">
        <f>LEFT('REPORTS PER EVALUATOR'!#REF!,1)</f>
        <v>#REF!</v>
      </c>
      <c r="AJ85" s="93" t="e">
        <f>(RIGHT('REPORTS PER EVALUATOR'!#REF!,1))*1</f>
        <v>#REF!</v>
      </c>
      <c r="AK85" s="11" t="e">
        <f>LEFT('REPORTS PER EVALUATOR'!#REF!,1)</f>
        <v>#REF!</v>
      </c>
      <c r="AL85" s="93" t="e">
        <f>(RIGHT('REPORTS PER EVALUATOR'!#REF!,1))*1</f>
        <v>#REF!</v>
      </c>
      <c r="AM85" s="11" t="e">
        <f>LEFT('REPORTS PER EVALUATOR'!#REF!,1)</f>
        <v>#REF!</v>
      </c>
      <c r="AN85" s="93" t="e">
        <f>(RIGHT('REPORTS PER EVALUATOR'!#REF!,1))*1</f>
        <v>#REF!</v>
      </c>
      <c r="AO85" s="11" t="e">
        <f>LEFT('REPORTS PER EVALUATOR'!#REF!,1)</f>
        <v>#REF!</v>
      </c>
      <c r="AP85" s="93" t="e">
        <f>(RIGHT('REPORTS PER EVALUATOR'!#REF!,1))*1</f>
        <v>#REF!</v>
      </c>
      <c r="AQ85" s="11" t="e">
        <f>LEFT('REPORTS PER EVALUATOR'!#REF!,1)</f>
        <v>#REF!</v>
      </c>
      <c r="AR85" s="93" t="e">
        <f>(RIGHT('REPORTS PER EVALUATOR'!#REF!,1))*1</f>
        <v>#REF!</v>
      </c>
    </row>
    <row r="86" spans="2:44" x14ac:dyDescent="0.2">
      <c r="B86" s="19" t="str">
        <f t="shared" si="4"/>
        <v>D</v>
      </c>
      <c r="C86" s="18" t="str">
        <f t="shared" si="5"/>
        <v>G</v>
      </c>
      <c r="D86" s="18" t="s">
        <v>37</v>
      </c>
      <c r="E86" s="26" t="str">
        <f>LEFT('REPORTS PER EVALUATOR'!$AB$8,1)</f>
        <v>D</v>
      </c>
      <c r="F86" s="74">
        <f>(RIGHT('REPORTS PER EVALUATOR'!$AB$8,1))*1</f>
        <v>3</v>
      </c>
      <c r="G86" s="11" t="str">
        <f>LEFT('REPORTS PER EVALUATOR'!$AB$20,1)</f>
        <v>D</v>
      </c>
      <c r="H86" s="82">
        <f>(RIGHT('REPORTS PER EVALUATOR'!$AB$20,1))*1</f>
        <v>2</v>
      </c>
      <c r="I86" s="11" t="str">
        <f>LEFT('REPORTS PER EVALUATOR'!$AB$32,1)</f>
        <v>1</v>
      </c>
      <c r="J86" s="82">
        <f>(RIGHT('REPORTS PER EVALUATOR'!$AB$32,1))*1</f>
        <v>1</v>
      </c>
      <c r="K86" s="11" t="str">
        <f>LEFT('REPORTS PER EVALUATOR'!$AB$44,1)</f>
        <v>1</v>
      </c>
      <c r="L86" s="82">
        <f>(RIGHT('REPORTS PER EVALUATOR'!$AB$44,1))*1</f>
        <v>1</v>
      </c>
      <c r="M86" s="11" t="str">
        <f>LEFT('REPORTS PER EVALUATOR'!$AB$56,1)</f>
        <v>G</v>
      </c>
      <c r="N86" s="82">
        <f>(RIGHT('REPORTS PER EVALUATOR'!$AB$56,1))*1</f>
        <v>3</v>
      </c>
      <c r="O86" s="11" t="str">
        <f>LEFT('REPORTS PER EVALUATOR'!$AB$68,1)</f>
        <v>D</v>
      </c>
      <c r="P86" s="82">
        <f>(RIGHT('REPORTS PER EVALUATOR'!$AB$68,1))*1</f>
        <v>3</v>
      </c>
      <c r="Q86" s="11" t="str">
        <f>LEFT('REPORTS PER EVALUATOR'!$AB$80,1)</f>
        <v>D</v>
      </c>
      <c r="R86" s="82">
        <f>(RIGHT('REPORTS PER EVALUATOR'!$AB$80,1))*1</f>
        <v>2</v>
      </c>
      <c r="S86" s="11" t="str">
        <f>LEFT('REPORTS PER EVALUATOR'!$AB$92,1)</f>
        <v>D</v>
      </c>
      <c r="T86" s="82">
        <f>(RIGHT('REPORTS PER EVALUATOR'!$AB$92,1))*1</f>
        <v>6</v>
      </c>
      <c r="U86" s="11" t="str">
        <f>LEFT('REPORTS PER EVALUATOR'!$AB$104,1)</f>
        <v>D</v>
      </c>
      <c r="V86" s="82">
        <f>(RIGHT('REPORTS PER EVALUATOR'!$AB$104,1))*1</f>
        <v>5</v>
      </c>
      <c r="W86" s="11" t="str">
        <f>LEFT('REPORTS PER EVALUATOR'!$AB$116,1)</f>
        <v>D</v>
      </c>
      <c r="X86" s="82">
        <f>(RIGHT('REPORTS PER EVALUATOR'!$AB$116,1))*1</f>
        <v>2</v>
      </c>
      <c r="Y86" s="11" t="str">
        <f>LEFT('REPORTS PER EVALUATOR'!$AB$128,1)</f>
        <v>D</v>
      </c>
      <c r="Z86" s="93">
        <f>(RIGHT('REPORTS PER EVALUATOR'!$AB$128,1))*1</f>
        <v>2</v>
      </c>
      <c r="AA86" s="11" t="e">
        <f>LEFT('REPORTS PER EVALUATOR'!#REF!,1)</f>
        <v>#REF!</v>
      </c>
      <c r="AB86" s="93" t="e">
        <f>(RIGHT('REPORTS PER EVALUATOR'!#REF!,1))*1</f>
        <v>#REF!</v>
      </c>
      <c r="AC86" s="11" t="e">
        <f>LEFT('REPORTS PER EVALUATOR'!#REF!,1)</f>
        <v>#REF!</v>
      </c>
      <c r="AD86" s="93" t="e">
        <f>(RIGHT('REPORTS PER EVALUATOR'!#REF!,1))*1</f>
        <v>#REF!</v>
      </c>
      <c r="AE86" s="11" t="e">
        <f>LEFT('REPORTS PER EVALUATOR'!#REF!,1)</f>
        <v>#REF!</v>
      </c>
      <c r="AF86" s="93" t="e">
        <f>(RIGHT('REPORTS PER EVALUATOR'!#REF!,1))*1</f>
        <v>#REF!</v>
      </c>
      <c r="AG86" s="11" t="e">
        <f>LEFT('REPORTS PER EVALUATOR'!#REF!,1)</f>
        <v>#REF!</v>
      </c>
      <c r="AH86" s="93" t="e">
        <f>(RIGHT('REPORTS PER EVALUATOR'!#REF!,1))*1</f>
        <v>#REF!</v>
      </c>
      <c r="AI86" s="11" t="e">
        <f>LEFT('REPORTS PER EVALUATOR'!#REF!,1)</f>
        <v>#REF!</v>
      </c>
      <c r="AJ86" s="93" t="e">
        <f>(RIGHT('REPORTS PER EVALUATOR'!#REF!,1))*1</f>
        <v>#REF!</v>
      </c>
      <c r="AK86" s="11" t="e">
        <f>LEFT('REPORTS PER EVALUATOR'!#REF!,1)</f>
        <v>#REF!</v>
      </c>
      <c r="AL86" s="93" t="e">
        <f>(RIGHT('REPORTS PER EVALUATOR'!#REF!,1))*1</f>
        <v>#REF!</v>
      </c>
      <c r="AM86" s="11" t="e">
        <f>LEFT('REPORTS PER EVALUATOR'!#REF!,1)</f>
        <v>#REF!</v>
      </c>
      <c r="AN86" s="93" t="e">
        <f>(RIGHT('REPORTS PER EVALUATOR'!#REF!,1))*1</f>
        <v>#REF!</v>
      </c>
      <c r="AO86" s="11" t="e">
        <f>LEFT('REPORTS PER EVALUATOR'!#REF!,1)</f>
        <v>#REF!</v>
      </c>
      <c r="AP86" s="93" t="e">
        <f>(RIGHT('REPORTS PER EVALUATOR'!#REF!,1))*1</f>
        <v>#REF!</v>
      </c>
      <c r="AQ86" s="11" t="e">
        <f>LEFT('REPORTS PER EVALUATOR'!#REF!,1)</f>
        <v>#REF!</v>
      </c>
      <c r="AR86" s="93" t="e">
        <f>(RIGHT('REPORTS PER EVALUATOR'!#REF!,1))*1</f>
        <v>#REF!</v>
      </c>
    </row>
    <row r="87" spans="2:44" x14ac:dyDescent="0.2">
      <c r="B87" s="19" t="str">
        <f t="shared" si="4"/>
        <v>D</v>
      </c>
      <c r="C87" s="18" t="str">
        <f t="shared" si="5"/>
        <v>H</v>
      </c>
      <c r="D87" s="18" t="s">
        <v>38</v>
      </c>
      <c r="E87" s="26" t="str">
        <f>LEFT('REPORTS PER EVALUATOR'!$AC$8,1)</f>
        <v>D</v>
      </c>
      <c r="F87" s="74">
        <f>(RIGHT('REPORTS PER EVALUATOR'!$AC$8,1))*1</f>
        <v>2</v>
      </c>
      <c r="G87" s="11" t="str">
        <f>LEFT('REPORTS PER EVALUATOR'!$AC$20,1)</f>
        <v>1</v>
      </c>
      <c r="H87" s="82">
        <f>(RIGHT('REPORTS PER EVALUATOR'!$AC$20,1))*1</f>
        <v>1</v>
      </c>
      <c r="I87" s="11" t="str">
        <f>LEFT('REPORTS PER EVALUATOR'!$AC$32,1)</f>
        <v>D</v>
      </c>
      <c r="J87" s="82">
        <f>(RIGHT('REPORTS PER EVALUATOR'!$AC$32,1))*1</f>
        <v>3</v>
      </c>
      <c r="K87" s="11" t="str">
        <f>LEFT('REPORTS PER EVALUATOR'!$AC$44,1)</f>
        <v>D</v>
      </c>
      <c r="L87" s="82">
        <f>(RIGHT('REPORTS PER EVALUATOR'!$AC$44,1))*1</f>
        <v>2</v>
      </c>
      <c r="M87" s="11" t="str">
        <f>LEFT('REPORTS PER EVALUATOR'!$AC$56,1)</f>
        <v>D</v>
      </c>
      <c r="N87" s="82">
        <f>(RIGHT('REPORTS PER EVALUATOR'!$AC$56,1))*1</f>
        <v>3</v>
      </c>
      <c r="O87" s="11" t="str">
        <f>LEFT('REPORTS PER EVALUATOR'!$AC$68,1)</f>
        <v>D</v>
      </c>
      <c r="P87" s="82">
        <f>(RIGHT('REPORTS PER EVALUATOR'!$AC$68,1))*1</f>
        <v>2</v>
      </c>
      <c r="Q87" s="11" t="str">
        <f>LEFT('REPORTS PER EVALUATOR'!$AC$80,1)</f>
        <v>D</v>
      </c>
      <c r="R87" s="82">
        <f>(RIGHT('REPORTS PER EVALUATOR'!$AC$80,1))*1</f>
        <v>2</v>
      </c>
      <c r="S87" s="11" t="str">
        <f>LEFT('REPORTS PER EVALUATOR'!$AC$92,1)</f>
        <v>H</v>
      </c>
      <c r="T87" s="82">
        <f>(RIGHT('REPORTS PER EVALUATOR'!$AC$92,1))*1</f>
        <v>2</v>
      </c>
      <c r="U87" s="11" t="str">
        <f>LEFT('REPORTS PER EVALUATOR'!$AC$104,1)</f>
        <v>D</v>
      </c>
      <c r="V87" s="82">
        <f>(RIGHT('REPORTS PER EVALUATOR'!$AC$104,1))*1</f>
        <v>2</v>
      </c>
      <c r="W87" s="11" t="str">
        <f>LEFT('REPORTS PER EVALUATOR'!$AC$116,1)</f>
        <v>H</v>
      </c>
      <c r="X87" s="82">
        <f>(RIGHT('REPORTS PER EVALUATOR'!$AC$116,1))*1</f>
        <v>2</v>
      </c>
      <c r="Y87" s="11" t="str">
        <f>LEFT('REPORTS PER EVALUATOR'!$AC$128,1)</f>
        <v>1</v>
      </c>
      <c r="Z87" s="93">
        <f>(RIGHT('REPORTS PER EVALUATOR'!$AC$128,1))*1</f>
        <v>1</v>
      </c>
      <c r="AA87" s="11" t="e">
        <f>LEFT('REPORTS PER EVALUATOR'!#REF!,1)</f>
        <v>#REF!</v>
      </c>
      <c r="AB87" s="93" t="e">
        <f>(RIGHT('REPORTS PER EVALUATOR'!#REF!,1))*1</f>
        <v>#REF!</v>
      </c>
      <c r="AC87" s="11" t="e">
        <f>LEFT('REPORTS PER EVALUATOR'!#REF!,1)</f>
        <v>#REF!</v>
      </c>
      <c r="AD87" s="93" t="e">
        <f>(RIGHT('REPORTS PER EVALUATOR'!#REF!,1))*1</f>
        <v>#REF!</v>
      </c>
      <c r="AE87" s="11" t="e">
        <f>LEFT('REPORTS PER EVALUATOR'!#REF!,1)</f>
        <v>#REF!</v>
      </c>
      <c r="AF87" s="93" t="e">
        <f>(RIGHT('REPORTS PER EVALUATOR'!#REF!,1))*1</f>
        <v>#REF!</v>
      </c>
      <c r="AG87" s="11" t="e">
        <f>LEFT('REPORTS PER EVALUATOR'!#REF!,1)</f>
        <v>#REF!</v>
      </c>
      <c r="AH87" s="93" t="e">
        <f>(RIGHT('REPORTS PER EVALUATOR'!#REF!,1))*1</f>
        <v>#REF!</v>
      </c>
      <c r="AI87" s="11" t="e">
        <f>LEFT('REPORTS PER EVALUATOR'!#REF!,1)</f>
        <v>#REF!</v>
      </c>
      <c r="AJ87" s="93" t="e">
        <f>(RIGHT('REPORTS PER EVALUATOR'!#REF!,1))*1</f>
        <v>#REF!</v>
      </c>
      <c r="AK87" s="11" t="e">
        <f>LEFT('REPORTS PER EVALUATOR'!#REF!,1)</f>
        <v>#REF!</v>
      </c>
      <c r="AL87" s="93" t="e">
        <f>(RIGHT('REPORTS PER EVALUATOR'!#REF!,1))*1</f>
        <v>#REF!</v>
      </c>
      <c r="AM87" s="11" t="e">
        <f>LEFT('REPORTS PER EVALUATOR'!#REF!,1)</f>
        <v>#REF!</v>
      </c>
      <c r="AN87" s="93" t="e">
        <f>(RIGHT('REPORTS PER EVALUATOR'!#REF!,1))*1</f>
        <v>#REF!</v>
      </c>
      <c r="AO87" s="11" t="e">
        <f>LEFT('REPORTS PER EVALUATOR'!#REF!,1)</f>
        <v>#REF!</v>
      </c>
      <c r="AP87" s="93" t="e">
        <f>(RIGHT('REPORTS PER EVALUATOR'!#REF!,1))*1</f>
        <v>#REF!</v>
      </c>
      <c r="AQ87" s="11" t="e">
        <f>LEFT('REPORTS PER EVALUATOR'!#REF!,1)</f>
        <v>#REF!</v>
      </c>
      <c r="AR87" s="93" t="e">
        <f>(RIGHT('REPORTS PER EVALUATOR'!#REF!,1))*1</f>
        <v>#REF!</v>
      </c>
    </row>
    <row r="88" spans="2:44" x14ac:dyDescent="0.2">
      <c r="B88" s="19" t="str">
        <f t="shared" si="4"/>
        <v>D</v>
      </c>
      <c r="C88" s="18" t="str">
        <f t="shared" si="5"/>
        <v>I</v>
      </c>
      <c r="D88" s="18" t="s">
        <v>39</v>
      </c>
      <c r="E88" s="26" t="str">
        <f>LEFT('REPORTS PER EVALUATOR'!$AD$8,1)</f>
        <v>1</v>
      </c>
      <c r="F88" s="74">
        <f>(RIGHT('REPORTS PER EVALUATOR'!$AD$8,1))*1</f>
        <v>1</v>
      </c>
      <c r="G88" s="11" t="str">
        <f>LEFT('REPORTS PER EVALUATOR'!$AD$20,1)</f>
        <v>D</v>
      </c>
      <c r="H88" s="82">
        <f>(RIGHT('REPORTS PER EVALUATOR'!$AD$20,1))*1</f>
        <v>2</v>
      </c>
      <c r="I88" s="11" t="str">
        <f>LEFT('REPORTS PER EVALUATOR'!$AD$32,1)</f>
        <v>1</v>
      </c>
      <c r="J88" s="82">
        <f>(RIGHT('REPORTS PER EVALUATOR'!$AD$32,1))*1</f>
        <v>1</v>
      </c>
      <c r="K88" s="11" t="str">
        <f>LEFT('REPORTS PER EVALUATOR'!$AD$44,1)</f>
        <v>1</v>
      </c>
      <c r="L88" s="82">
        <f>(RIGHT('REPORTS PER EVALUATOR'!$AD$44,1))*1</f>
        <v>1</v>
      </c>
      <c r="M88" s="11" t="str">
        <f>LEFT('REPORTS PER EVALUATOR'!$AD$56,1)</f>
        <v>D</v>
      </c>
      <c r="N88" s="82">
        <f>(RIGHT('REPORTS PER EVALUATOR'!$AD$56,1))*1</f>
        <v>3</v>
      </c>
      <c r="O88" s="11" t="str">
        <f>LEFT('REPORTS PER EVALUATOR'!$AD$68,1)</f>
        <v>D</v>
      </c>
      <c r="P88" s="82">
        <f>(RIGHT('REPORTS PER EVALUATOR'!$AD$68,1))*1</f>
        <v>3</v>
      </c>
      <c r="Q88" s="11" t="str">
        <f>LEFT('REPORTS PER EVALUATOR'!$AD$80,1)</f>
        <v>D</v>
      </c>
      <c r="R88" s="82">
        <f>(RIGHT('REPORTS PER EVALUATOR'!$AD$80,1))*1</f>
        <v>3</v>
      </c>
      <c r="S88" s="11" t="str">
        <f>LEFT('REPORTS PER EVALUATOR'!$AD$92,1)</f>
        <v>D</v>
      </c>
      <c r="T88" s="82">
        <f>(RIGHT('REPORTS PER EVALUATOR'!$AD$92,1))*1</f>
        <v>3</v>
      </c>
      <c r="U88" s="11" t="str">
        <f>LEFT('REPORTS PER EVALUATOR'!$AD$104,1)</f>
        <v>D</v>
      </c>
      <c r="V88" s="82">
        <f>(RIGHT('REPORTS PER EVALUATOR'!$AD$104,1))*1</f>
        <v>2</v>
      </c>
      <c r="W88" s="11" t="str">
        <f>LEFT('REPORTS PER EVALUATOR'!$AD$116,1)</f>
        <v>I</v>
      </c>
      <c r="X88" s="82">
        <f>(RIGHT('REPORTS PER EVALUATOR'!$AD$116,1))*1</f>
        <v>2</v>
      </c>
      <c r="Y88" s="11" t="str">
        <f>LEFT('REPORTS PER EVALUATOR'!$AD$128,1)</f>
        <v>1</v>
      </c>
      <c r="Z88" s="93">
        <f>(RIGHT('REPORTS PER EVALUATOR'!$AD$128,1))*1</f>
        <v>1</v>
      </c>
      <c r="AA88" s="11" t="e">
        <f>LEFT('REPORTS PER EVALUATOR'!#REF!,1)</f>
        <v>#REF!</v>
      </c>
      <c r="AB88" s="93" t="e">
        <f>(RIGHT('REPORTS PER EVALUATOR'!#REF!,1))*1</f>
        <v>#REF!</v>
      </c>
      <c r="AC88" s="11" t="e">
        <f>LEFT('REPORTS PER EVALUATOR'!#REF!,1)</f>
        <v>#REF!</v>
      </c>
      <c r="AD88" s="93" t="e">
        <f>(RIGHT('REPORTS PER EVALUATOR'!#REF!,1))*1</f>
        <v>#REF!</v>
      </c>
      <c r="AE88" s="11" t="e">
        <f>LEFT('REPORTS PER EVALUATOR'!#REF!,1)</f>
        <v>#REF!</v>
      </c>
      <c r="AF88" s="93" t="e">
        <f>(RIGHT('REPORTS PER EVALUATOR'!#REF!,1))*1</f>
        <v>#REF!</v>
      </c>
      <c r="AG88" s="11" t="e">
        <f>LEFT('REPORTS PER EVALUATOR'!#REF!,1)</f>
        <v>#REF!</v>
      </c>
      <c r="AH88" s="93" t="e">
        <f>(RIGHT('REPORTS PER EVALUATOR'!#REF!,1))*1</f>
        <v>#REF!</v>
      </c>
      <c r="AI88" s="11" t="e">
        <f>LEFT('REPORTS PER EVALUATOR'!#REF!,1)</f>
        <v>#REF!</v>
      </c>
      <c r="AJ88" s="93" t="e">
        <f>(RIGHT('REPORTS PER EVALUATOR'!#REF!,1))*1</f>
        <v>#REF!</v>
      </c>
      <c r="AK88" s="11" t="e">
        <f>LEFT('REPORTS PER EVALUATOR'!#REF!,1)</f>
        <v>#REF!</v>
      </c>
      <c r="AL88" s="93" t="e">
        <f>(RIGHT('REPORTS PER EVALUATOR'!#REF!,1))*1</f>
        <v>#REF!</v>
      </c>
      <c r="AM88" s="11" t="e">
        <f>LEFT('REPORTS PER EVALUATOR'!#REF!,1)</f>
        <v>#REF!</v>
      </c>
      <c r="AN88" s="93" t="e">
        <f>(RIGHT('REPORTS PER EVALUATOR'!#REF!,1))*1</f>
        <v>#REF!</v>
      </c>
      <c r="AO88" s="11" t="e">
        <f>LEFT('REPORTS PER EVALUATOR'!#REF!,1)</f>
        <v>#REF!</v>
      </c>
      <c r="AP88" s="93" t="e">
        <f>(RIGHT('REPORTS PER EVALUATOR'!#REF!,1))*1</f>
        <v>#REF!</v>
      </c>
      <c r="AQ88" s="11" t="e">
        <f>LEFT('REPORTS PER EVALUATOR'!#REF!,1)</f>
        <v>#REF!</v>
      </c>
      <c r="AR88" s="93" t="e">
        <f>(RIGHT('REPORTS PER EVALUATOR'!#REF!,1))*1</f>
        <v>#REF!</v>
      </c>
    </row>
    <row r="89" spans="2:44" x14ac:dyDescent="0.2">
      <c r="B89" s="19" t="str">
        <f t="shared" si="4"/>
        <v>D</v>
      </c>
      <c r="C89" s="18" t="str">
        <f t="shared" si="5"/>
        <v>L</v>
      </c>
      <c r="D89" s="18" t="s">
        <v>40</v>
      </c>
      <c r="E89" s="26" t="str">
        <f>LEFT('REPORTS PER EVALUATOR'!$AE$8,1)</f>
        <v>D</v>
      </c>
      <c r="F89" s="74">
        <f>(RIGHT('REPORTS PER EVALUATOR'!$AE$8,1))*1</f>
        <v>3</v>
      </c>
      <c r="G89" s="11" t="str">
        <f>LEFT('REPORTS PER EVALUATOR'!$AE$20,1)</f>
        <v>D</v>
      </c>
      <c r="H89" s="82">
        <f>(RIGHT('REPORTS PER EVALUATOR'!$AE$20,1))*1</f>
        <v>3</v>
      </c>
      <c r="I89" s="11" t="str">
        <f>LEFT('REPORTS PER EVALUATOR'!$AE$32,1)</f>
        <v>D</v>
      </c>
      <c r="J89" s="82">
        <f>(RIGHT('REPORTS PER EVALUATOR'!$AE$32,1))*1</f>
        <v>2</v>
      </c>
      <c r="K89" s="11" t="str">
        <f>LEFT('REPORTS PER EVALUATOR'!$AE$44,1)</f>
        <v>D</v>
      </c>
      <c r="L89" s="82">
        <f>(RIGHT('REPORTS PER EVALUATOR'!$AE$44,1))*1</f>
        <v>3</v>
      </c>
      <c r="M89" s="11" t="str">
        <f>LEFT('REPORTS PER EVALUATOR'!$AE$56,1)</f>
        <v>D</v>
      </c>
      <c r="N89" s="82">
        <f>(RIGHT('REPORTS PER EVALUATOR'!$AE$56,1))*1</f>
        <v>2</v>
      </c>
      <c r="O89" s="11" t="str">
        <f>LEFT('REPORTS PER EVALUATOR'!$AE$68,1)</f>
        <v>D</v>
      </c>
      <c r="P89" s="82">
        <f>(RIGHT('REPORTS PER EVALUATOR'!$AE$68,1))*1</f>
        <v>2</v>
      </c>
      <c r="Q89" s="11" t="str">
        <f>LEFT('REPORTS PER EVALUATOR'!$AE$80,1)</f>
        <v>1</v>
      </c>
      <c r="R89" s="82">
        <f>(RIGHT('REPORTS PER EVALUATOR'!$AE$80,1))*1</f>
        <v>1</v>
      </c>
      <c r="S89" s="11" t="str">
        <f>LEFT('REPORTS PER EVALUATOR'!$AE$92,1)</f>
        <v>L</v>
      </c>
      <c r="T89" s="82">
        <f>(RIGHT('REPORTS PER EVALUATOR'!$AE$92,1))*1</f>
        <v>2</v>
      </c>
      <c r="U89" s="11" t="str">
        <f>LEFT('REPORTS PER EVALUATOR'!$AE$104,1)</f>
        <v>D</v>
      </c>
      <c r="V89" s="82">
        <f>(RIGHT('REPORTS PER EVALUATOR'!$AE$104,1))*1</f>
        <v>2</v>
      </c>
      <c r="W89" s="11" t="str">
        <f>LEFT('REPORTS PER EVALUATOR'!$AE$116,1)</f>
        <v>1</v>
      </c>
      <c r="X89" s="82">
        <f>(RIGHT('REPORTS PER EVALUATOR'!$AE$116,1))*1</f>
        <v>1</v>
      </c>
      <c r="Y89" s="11" t="str">
        <f>LEFT('REPORTS PER EVALUATOR'!$AE$128,1)</f>
        <v>1</v>
      </c>
      <c r="Z89" s="93">
        <f>(RIGHT('REPORTS PER EVALUATOR'!$AE$128,1))*1</f>
        <v>1</v>
      </c>
      <c r="AA89" s="11" t="e">
        <f>LEFT('REPORTS PER EVALUATOR'!#REF!,1)</f>
        <v>#REF!</v>
      </c>
      <c r="AB89" s="93" t="e">
        <f>(RIGHT('REPORTS PER EVALUATOR'!#REF!,1))*1</f>
        <v>#REF!</v>
      </c>
      <c r="AC89" s="11" t="e">
        <f>LEFT('REPORTS PER EVALUATOR'!#REF!,1)</f>
        <v>#REF!</v>
      </c>
      <c r="AD89" s="93" t="e">
        <f>(RIGHT('REPORTS PER EVALUATOR'!#REF!,1))*1</f>
        <v>#REF!</v>
      </c>
      <c r="AE89" s="11" t="e">
        <f>LEFT('REPORTS PER EVALUATOR'!#REF!,1)</f>
        <v>#REF!</v>
      </c>
      <c r="AF89" s="93" t="e">
        <f>(RIGHT('REPORTS PER EVALUATOR'!#REF!,1))*1</f>
        <v>#REF!</v>
      </c>
      <c r="AG89" s="11" t="e">
        <f>LEFT('REPORTS PER EVALUATOR'!#REF!,1)</f>
        <v>#REF!</v>
      </c>
      <c r="AH89" s="93" t="e">
        <f>(RIGHT('REPORTS PER EVALUATOR'!#REF!,1))*1</f>
        <v>#REF!</v>
      </c>
      <c r="AI89" s="11" t="e">
        <f>LEFT('REPORTS PER EVALUATOR'!#REF!,1)</f>
        <v>#REF!</v>
      </c>
      <c r="AJ89" s="93" t="e">
        <f>(RIGHT('REPORTS PER EVALUATOR'!#REF!,1))*1</f>
        <v>#REF!</v>
      </c>
      <c r="AK89" s="11" t="e">
        <f>LEFT('REPORTS PER EVALUATOR'!#REF!,1)</f>
        <v>#REF!</v>
      </c>
      <c r="AL89" s="93" t="e">
        <f>(RIGHT('REPORTS PER EVALUATOR'!#REF!,1))*1</f>
        <v>#REF!</v>
      </c>
      <c r="AM89" s="11" t="e">
        <f>LEFT('REPORTS PER EVALUATOR'!#REF!,1)</f>
        <v>#REF!</v>
      </c>
      <c r="AN89" s="93" t="e">
        <f>(RIGHT('REPORTS PER EVALUATOR'!#REF!,1))*1</f>
        <v>#REF!</v>
      </c>
      <c r="AO89" s="11" t="e">
        <f>LEFT('REPORTS PER EVALUATOR'!#REF!,1)</f>
        <v>#REF!</v>
      </c>
      <c r="AP89" s="93" t="e">
        <f>(RIGHT('REPORTS PER EVALUATOR'!#REF!,1))*1</f>
        <v>#REF!</v>
      </c>
      <c r="AQ89" s="11" t="e">
        <f>LEFT('REPORTS PER EVALUATOR'!#REF!,1)</f>
        <v>#REF!</v>
      </c>
      <c r="AR89" s="93" t="e">
        <f>(RIGHT('REPORTS PER EVALUATOR'!#REF!,1))*1</f>
        <v>#REF!</v>
      </c>
    </row>
    <row r="90" spans="2:44" x14ac:dyDescent="0.2">
      <c r="B90" s="19" t="str">
        <f t="shared" si="4"/>
        <v>D</v>
      </c>
      <c r="C90" s="18" t="str">
        <f t="shared" si="5"/>
        <v>M</v>
      </c>
      <c r="D90" s="18" t="s">
        <v>160</v>
      </c>
      <c r="E90" s="26" t="str">
        <f>LEFT('REPORTS PER EVALUATOR'!$AF$8,1)</f>
        <v/>
      </c>
      <c r="F90" s="74" t="e">
        <f>(RIGHT('REPORTS PER EVALUATOR'!$AF$8,1))*1</f>
        <v>#VALUE!</v>
      </c>
      <c r="G90" s="11" t="str">
        <f>LEFT('REPORTS PER EVALUATOR'!$AF$20,1)</f>
        <v/>
      </c>
      <c r="H90" s="82" t="e">
        <f>(RIGHT('REPORTS PER EVALUATOR'!$AF$20,1))*1</f>
        <v>#VALUE!</v>
      </c>
      <c r="I90" s="11" t="str">
        <f>LEFT('REPORTS PER EVALUATOR'!$AF$32,1)</f>
        <v/>
      </c>
      <c r="J90" s="82" t="e">
        <f>(RIGHT('REPORTS PER EVALUATOR'!$AF$32,1))*1</f>
        <v>#VALUE!</v>
      </c>
      <c r="K90" s="11" t="str">
        <f>LEFT('REPORTS PER EVALUATOR'!$AF$44,1)</f>
        <v/>
      </c>
      <c r="L90" s="82" t="e">
        <f>(RIGHT('REPORTS PER EVALUATOR'!$AF$44,1))*1</f>
        <v>#VALUE!</v>
      </c>
      <c r="M90" s="11" t="str">
        <f>LEFT('REPORTS PER EVALUATOR'!$AF$56,1)</f>
        <v/>
      </c>
      <c r="N90" s="82" t="e">
        <f>(RIGHT('REPORTS PER EVALUATOR'!$AF$56,1))*1</f>
        <v>#VALUE!</v>
      </c>
      <c r="O90" s="11" t="str">
        <f>LEFT('REPORTS PER EVALUATOR'!$AF$68,1)</f>
        <v/>
      </c>
      <c r="P90" s="82" t="e">
        <f>(RIGHT('REPORTS PER EVALUATOR'!$AF$68,1))*1</f>
        <v>#VALUE!</v>
      </c>
      <c r="Q90" s="11" t="str">
        <f>LEFT('REPORTS PER EVALUATOR'!$AF$80,1)</f>
        <v/>
      </c>
      <c r="R90" s="82" t="e">
        <f>(RIGHT('REPORTS PER EVALUATOR'!$AF$80,1))*1</f>
        <v>#VALUE!</v>
      </c>
      <c r="S90" s="11" t="str">
        <f>LEFT('REPORTS PER EVALUATOR'!$AF$92,1)</f>
        <v/>
      </c>
      <c r="T90" s="82" t="e">
        <f>(RIGHT('REPORTS PER EVALUATOR'!$AF$92,1))*1</f>
        <v>#VALUE!</v>
      </c>
      <c r="U90" s="11" t="str">
        <f>LEFT('REPORTS PER EVALUATOR'!$AF$104,1)</f>
        <v/>
      </c>
      <c r="V90" s="82" t="e">
        <f>(RIGHT('REPORTS PER EVALUATOR'!$AF$104,1))*1</f>
        <v>#VALUE!</v>
      </c>
      <c r="W90" s="11" t="str">
        <f>LEFT('REPORTS PER EVALUATOR'!$AF$116,1)</f>
        <v/>
      </c>
      <c r="X90" s="82" t="e">
        <f>(RIGHT('REPORTS PER EVALUATOR'!$AF$116,1))*1</f>
        <v>#VALUE!</v>
      </c>
      <c r="Y90" s="11" t="str">
        <f>LEFT('REPORTS PER EVALUATOR'!$AF$128,1)</f>
        <v/>
      </c>
      <c r="Z90" s="93" t="e">
        <f>(RIGHT('REPORTS PER EVALUATOR'!$AF$128,1))*1</f>
        <v>#VALUE!</v>
      </c>
      <c r="AA90" s="11" t="e">
        <f>LEFT('REPORTS PER EVALUATOR'!#REF!,1)</f>
        <v>#REF!</v>
      </c>
      <c r="AB90" s="93" t="e">
        <f>(RIGHT('REPORTS PER EVALUATOR'!#REF!,1))*1</f>
        <v>#REF!</v>
      </c>
      <c r="AC90" s="11" t="e">
        <f>LEFT('REPORTS PER EVALUATOR'!#REF!,1)</f>
        <v>#REF!</v>
      </c>
      <c r="AD90" s="93" t="e">
        <f>(RIGHT('REPORTS PER EVALUATOR'!#REF!,1))*1</f>
        <v>#REF!</v>
      </c>
      <c r="AE90" s="11" t="e">
        <f>LEFT('REPORTS PER EVALUATOR'!#REF!,1)</f>
        <v>#REF!</v>
      </c>
      <c r="AF90" s="93" t="e">
        <f>(RIGHT('REPORTS PER EVALUATOR'!#REF!,1))*1</f>
        <v>#REF!</v>
      </c>
      <c r="AG90" s="11" t="e">
        <f>LEFT('REPORTS PER EVALUATOR'!#REF!,1)</f>
        <v>#REF!</v>
      </c>
      <c r="AH90" s="93" t="e">
        <f>(RIGHT('REPORTS PER EVALUATOR'!#REF!,1))*1</f>
        <v>#REF!</v>
      </c>
      <c r="AI90" s="11" t="e">
        <f>LEFT('REPORTS PER EVALUATOR'!#REF!,1)</f>
        <v>#REF!</v>
      </c>
      <c r="AJ90" s="93" t="e">
        <f>(RIGHT('REPORTS PER EVALUATOR'!#REF!,1))*1</f>
        <v>#REF!</v>
      </c>
      <c r="AK90" s="11" t="e">
        <f>LEFT('REPORTS PER EVALUATOR'!#REF!,1)</f>
        <v>#REF!</v>
      </c>
      <c r="AL90" s="93" t="e">
        <f>(RIGHT('REPORTS PER EVALUATOR'!#REF!,1))*1</f>
        <v>#REF!</v>
      </c>
      <c r="AM90" s="11" t="e">
        <f>LEFT('REPORTS PER EVALUATOR'!#REF!,1)</f>
        <v>#REF!</v>
      </c>
      <c r="AN90" s="93" t="e">
        <f>(RIGHT('REPORTS PER EVALUATOR'!#REF!,1))*1</f>
        <v>#REF!</v>
      </c>
      <c r="AO90" s="11" t="e">
        <f>LEFT('REPORTS PER EVALUATOR'!#REF!,1)</f>
        <v>#REF!</v>
      </c>
      <c r="AP90" s="93" t="e">
        <f>(RIGHT('REPORTS PER EVALUATOR'!#REF!,1))*1</f>
        <v>#REF!</v>
      </c>
      <c r="AQ90" s="11" t="e">
        <f>LEFT('REPORTS PER EVALUATOR'!#REF!,1)</f>
        <v>#REF!</v>
      </c>
      <c r="AR90" s="93" t="e">
        <f>(RIGHT('REPORTS PER EVALUATOR'!#REF!,1))*1</f>
        <v>#REF!</v>
      </c>
    </row>
    <row r="91" spans="2:44" x14ac:dyDescent="0.2">
      <c r="B91" s="19" t="str">
        <f t="shared" si="4"/>
        <v>E</v>
      </c>
      <c r="C91" s="18" t="str">
        <f t="shared" si="5"/>
        <v>F</v>
      </c>
      <c r="D91" s="18" t="s">
        <v>41</v>
      </c>
      <c r="E91" s="65" t="str">
        <f>LEFT('REPORTS PER EVALUATOR'!$AA$9,1)</f>
        <v>1</v>
      </c>
      <c r="F91" s="77">
        <f>(RIGHT('REPORTS PER EVALUATOR'!$AA$9,1))*1</f>
        <v>1</v>
      </c>
      <c r="G91" s="66" t="str">
        <f>LEFT('REPORTS PER EVALUATOR'!$AA$21,1)</f>
        <v>E</v>
      </c>
      <c r="H91" s="85">
        <f>(RIGHT('REPORTS PER EVALUATOR'!$AA$21,1))*1</f>
        <v>2</v>
      </c>
      <c r="I91" s="66" t="str">
        <f>LEFT('REPORTS PER EVALUATOR'!$AA$33,1)</f>
        <v>F</v>
      </c>
      <c r="J91" s="85">
        <f>(RIGHT('REPORTS PER EVALUATOR'!$AA$33,1))*1</f>
        <v>2</v>
      </c>
      <c r="K91" s="66" t="str">
        <f>LEFT('REPORTS PER EVALUATOR'!$AA$45,1)</f>
        <v>F</v>
      </c>
      <c r="L91" s="85">
        <f>(RIGHT('REPORTS PER EVALUATOR'!$AA$45,1))*1</f>
        <v>2</v>
      </c>
      <c r="M91" s="66" t="str">
        <f>LEFT('REPORTS PER EVALUATOR'!$AA$57,1)</f>
        <v>1</v>
      </c>
      <c r="N91" s="85">
        <f>(RIGHT('REPORTS PER EVALUATOR'!$AA$57,1))*1</f>
        <v>1</v>
      </c>
      <c r="O91" s="66" t="str">
        <f>LEFT('REPORTS PER EVALUATOR'!$AA$69,1)</f>
        <v>1</v>
      </c>
      <c r="P91" s="85">
        <f>(RIGHT('REPORTS PER EVALUATOR'!$AA$69,1))*1</f>
        <v>1</v>
      </c>
      <c r="Q91" s="66" t="str">
        <f>LEFT('REPORTS PER EVALUATOR'!$AA$81,1)</f>
        <v>E</v>
      </c>
      <c r="R91" s="85">
        <f>(RIGHT('REPORTS PER EVALUATOR'!$AA$81,1))*1</f>
        <v>2</v>
      </c>
      <c r="S91" s="66" t="str">
        <f>LEFT('REPORTS PER EVALUATOR'!$AA$93,1)</f>
        <v>E</v>
      </c>
      <c r="T91" s="85">
        <f>(RIGHT('REPORTS PER EVALUATOR'!$AA$93,1))*1</f>
        <v>2</v>
      </c>
      <c r="U91" s="66" t="str">
        <f>LEFT('REPORTS PER EVALUATOR'!$AA$105,1)</f>
        <v>E</v>
      </c>
      <c r="V91" s="85">
        <f>(RIGHT('REPORTS PER EVALUATOR'!$AA$105,1))*1</f>
        <v>3</v>
      </c>
      <c r="W91" s="66" t="str">
        <f>LEFT('REPORTS PER EVALUATOR'!$AA$117,1)</f>
        <v>1</v>
      </c>
      <c r="X91" s="85">
        <f>(RIGHT('REPORTS PER EVALUATOR'!$AA$117,1))*1</f>
        <v>1</v>
      </c>
      <c r="Y91" s="66" t="str">
        <f>LEFT('REPORTS PER EVALUATOR'!$AA$129,1)</f>
        <v>1</v>
      </c>
      <c r="Z91" s="97">
        <f>(RIGHT('REPORTS PER EVALUATOR'!$AA$129,1))*1</f>
        <v>1</v>
      </c>
      <c r="AA91" s="66" t="e">
        <f>LEFT('REPORTS PER EVALUATOR'!#REF!,1)</f>
        <v>#REF!</v>
      </c>
      <c r="AB91" s="97" t="e">
        <f>(RIGHT('REPORTS PER EVALUATOR'!#REF!,1))*1</f>
        <v>#REF!</v>
      </c>
      <c r="AC91" s="66" t="e">
        <f>LEFT('REPORTS PER EVALUATOR'!#REF!,1)</f>
        <v>#REF!</v>
      </c>
      <c r="AD91" s="97" t="e">
        <f>(RIGHT('REPORTS PER EVALUATOR'!#REF!,1))*1</f>
        <v>#REF!</v>
      </c>
      <c r="AE91" s="66" t="e">
        <f>LEFT('REPORTS PER EVALUATOR'!#REF!,1)</f>
        <v>#REF!</v>
      </c>
      <c r="AF91" s="97" t="e">
        <f>(RIGHT('REPORTS PER EVALUATOR'!#REF!,1))*1</f>
        <v>#REF!</v>
      </c>
      <c r="AG91" s="66" t="e">
        <f>LEFT('REPORTS PER EVALUATOR'!#REF!,1)</f>
        <v>#REF!</v>
      </c>
      <c r="AH91" s="97" t="e">
        <f>(RIGHT('REPORTS PER EVALUATOR'!#REF!,1))*1</f>
        <v>#REF!</v>
      </c>
      <c r="AI91" s="66" t="e">
        <f>LEFT('REPORTS PER EVALUATOR'!#REF!,1)</f>
        <v>#REF!</v>
      </c>
      <c r="AJ91" s="97" t="e">
        <f>(RIGHT('REPORTS PER EVALUATOR'!#REF!,1))*1</f>
        <v>#REF!</v>
      </c>
      <c r="AK91" s="66" t="e">
        <f>LEFT('REPORTS PER EVALUATOR'!#REF!,1)</f>
        <v>#REF!</v>
      </c>
      <c r="AL91" s="97" t="e">
        <f>(RIGHT('REPORTS PER EVALUATOR'!#REF!,1))*1</f>
        <v>#REF!</v>
      </c>
      <c r="AM91" s="66" t="e">
        <f>LEFT('REPORTS PER EVALUATOR'!#REF!,1)</f>
        <v>#REF!</v>
      </c>
      <c r="AN91" s="97" t="e">
        <f>(RIGHT('REPORTS PER EVALUATOR'!#REF!,1))*1</f>
        <v>#REF!</v>
      </c>
      <c r="AO91" s="66" t="e">
        <f>LEFT('REPORTS PER EVALUATOR'!#REF!,1)</f>
        <v>#REF!</v>
      </c>
      <c r="AP91" s="97" t="e">
        <f>(RIGHT('REPORTS PER EVALUATOR'!#REF!,1))*1</f>
        <v>#REF!</v>
      </c>
      <c r="AQ91" s="66" t="e">
        <f>LEFT('REPORTS PER EVALUATOR'!#REF!,1)</f>
        <v>#REF!</v>
      </c>
      <c r="AR91" s="97" t="e">
        <f>(RIGHT('REPORTS PER EVALUATOR'!#REF!,1))*1</f>
        <v>#REF!</v>
      </c>
    </row>
    <row r="92" spans="2:44" x14ac:dyDescent="0.2">
      <c r="B92" s="19" t="str">
        <f t="shared" si="4"/>
        <v>E</v>
      </c>
      <c r="C92" s="18" t="str">
        <f t="shared" si="5"/>
        <v>G</v>
      </c>
      <c r="D92" s="18" t="s">
        <v>42</v>
      </c>
      <c r="E92" s="26" t="str">
        <f>LEFT('REPORTS PER EVALUATOR'!$AB$9,1)</f>
        <v>E</v>
      </c>
      <c r="F92" s="74">
        <f>(RIGHT('REPORTS PER EVALUATOR'!$AB$9,1))*1</f>
        <v>2</v>
      </c>
      <c r="G92" s="11" t="str">
        <f>LEFT('REPORTS PER EVALUATOR'!$AB$21,1)</f>
        <v>E</v>
      </c>
      <c r="H92" s="82">
        <f>(RIGHT('REPORTS PER EVALUATOR'!$AB$21,1))*1</f>
        <v>2</v>
      </c>
      <c r="I92" s="11" t="str">
        <f>LEFT('REPORTS PER EVALUATOR'!$AB$33,1)</f>
        <v>G</v>
      </c>
      <c r="J92" s="82">
        <f>(RIGHT('REPORTS PER EVALUATOR'!$AB$33,1))*1</f>
        <v>2</v>
      </c>
      <c r="K92" s="11" t="str">
        <f>LEFT('REPORTS PER EVALUATOR'!$AB$45,1)</f>
        <v>G</v>
      </c>
      <c r="L92" s="82">
        <f>(RIGHT('REPORTS PER EVALUATOR'!$AB$45,1))*1</f>
        <v>2</v>
      </c>
      <c r="M92" s="11" t="str">
        <f>LEFT('REPORTS PER EVALUATOR'!$AB$57,1)</f>
        <v>E</v>
      </c>
      <c r="N92" s="82">
        <f>(RIGHT('REPORTS PER EVALUATOR'!$AB$57,1))*1</f>
        <v>3</v>
      </c>
      <c r="O92" s="11" t="str">
        <f>LEFT('REPORTS PER EVALUATOR'!$AB$69,1)</f>
        <v>E</v>
      </c>
      <c r="P92" s="82">
        <f>(RIGHT('REPORTS PER EVALUATOR'!$AB$69,1))*1</f>
        <v>3</v>
      </c>
      <c r="Q92" s="11" t="str">
        <f>LEFT('REPORTS PER EVALUATOR'!$AB$81,1)</f>
        <v>E</v>
      </c>
      <c r="R92" s="82">
        <f>(RIGHT('REPORTS PER EVALUATOR'!$AB$81,1))*1</f>
        <v>4</v>
      </c>
      <c r="S92" s="11" t="str">
        <f>LEFT('REPORTS PER EVALUATOR'!$AB$93,1)</f>
        <v>E</v>
      </c>
      <c r="T92" s="82">
        <f>(RIGHT('REPORTS PER EVALUATOR'!$AB$93,1))*1</f>
        <v>6</v>
      </c>
      <c r="U92" s="11" t="str">
        <f>LEFT('REPORTS PER EVALUATOR'!$AB$105,1)</f>
        <v>E</v>
      </c>
      <c r="V92" s="82">
        <f>(RIGHT('REPORTS PER EVALUATOR'!$AB$105,1))*1</f>
        <v>4</v>
      </c>
      <c r="W92" s="11" t="str">
        <f>LEFT('REPORTS PER EVALUATOR'!$AB$117,1)</f>
        <v>1</v>
      </c>
      <c r="X92" s="82">
        <f>(RIGHT('REPORTS PER EVALUATOR'!$AB$117,1))*1</f>
        <v>1</v>
      </c>
      <c r="Y92" s="11" t="str">
        <f>LEFT('REPORTS PER EVALUATOR'!$AB$129,1)</f>
        <v>E</v>
      </c>
      <c r="Z92" s="93">
        <f>(RIGHT('REPORTS PER EVALUATOR'!$AB$129,1))*1</f>
        <v>2</v>
      </c>
      <c r="AA92" s="11" t="e">
        <f>LEFT('REPORTS PER EVALUATOR'!#REF!,1)</f>
        <v>#REF!</v>
      </c>
      <c r="AB92" s="93" t="e">
        <f>(RIGHT('REPORTS PER EVALUATOR'!#REF!,1))*1</f>
        <v>#REF!</v>
      </c>
      <c r="AC92" s="11" t="e">
        <f>LEFT('REPORTS PER EVALUATOR'!#REF!,1)</f>
        <v>#REF!</v>
      </c>
      <c r="AD92" s="93" t="e">
        <f>(RIGHT('REPORTS PER EVALUATOR'!#REF!,1))*1</f>
        <v>#REF!</v>
      </c>
      <c r="AE92" s="11" t="e">
        <f>LEFT('REPORTS PER EVALUATOR'!#REF!,1)</f>
        <v>#REF!</v>
      </c>
      <c r="AF92" s="93" t="e">
        <f>(RIGHT('REPORTS PER EVALUATOR'!#REF!,1))*1</f>
        <v>#REF!</v>
      </c>
      <c r="AG92" s="11" t="e">
        <f>LEFT('REPORTS PER EVALUATOR'!#REF!,1)</f>
        <v>#REF!</v>
      </c>
      <c r="AH92" s="93" t="e">
        <f>(RIGHT('REPORTS PER EVALUATOR'!#REF!,1))*1</f>
        <v>#REF!</v>
      </c>
      <c r="AI92" s="11" t="e">
        <f>LEFT('REPORTS PER EVALUATOR'!#REF!,1)</f>
        <v>#REF!</v>
      </c>
      <c r="AJ92" s="93" t="e">
        <f>(RIGHT('REPORTS PER EVALUATOR'!#REF!,1))*1</f>
        <v>#REF!</v>
      </c>
      <c r="AK92" s="11" t="e">
        <f>LEFT('REPORTS PER EVALUATOR'!#REF!,1)</f>
        <v>#REF!</v>
      </c>
      <c r="AL92" s="93" t="e">
        <f>(RIGHT('REPORTS PER EVALUATOR'!#REF!,1))*1</f>
        <v>#REF!</v>
      </c>
      <c r="AM92" s="11" t="e">
        <f>LEFT('REPORTS PER EVALUATOR'!#REF!,1)</f>
        <v>#REF!</v>
      </c>
      <c r="AN92" s="93" t="e">
        <f>(RIGHT('REPORTS PER EVALUATOR'!#REF!,1))*1</f>
        <v>#REF!</v>
      </c>
      <c r="AO92" s="11" t="e">
        <f>LEFT('REPORTS PER EVALUATOR'!#REF!,1)</f>
        <v>#REF!</v>
      </c>
      <c r="AP92" s="93" t="e">
        <f>(RIGHT('REPORTS PER EVALUATOR'!#REF!,1))*1</f>
        <v>#REF!</v>
      </c>
      <c r="AQ92" s="11" t="e">
        <f>LEFT('REPORTS PER EVALUATOR'!#REF!,1)</f>
        <v>#REF!</v>
      </c>
      <c r="AR92" s="93" t="e">
        <f>(RIGHT('REPORTS PER EVALUATOR'!#REF!,1))*1</f>
        <v>#REF!</v>
      </c>
    </row>
    <row r="93" spans="2:44" x14ac:dyDescent="0.2">
      <c r="B93" s="19" t="str">
        <f t="shared" si="4"/>
        <v>E</v>
      </c>
      <c r="C93" s="18" t="str">
        <f t="shared" ref="C93:C132" si="6">RIGHT(D93,1)</f>
        <v>H</v>
      </c>
      <c r="D93" s="18" t="s">
        <v>43</v>
      </c>
      <c r="E93" s="26" t="str">
        <f>LEFT('REPORTS PER EVALUATOR'!$AC$9,1)</f>
        <v>1</v>
      </c>
      <c r="F93" s="74">
        <f>(RIGHT('REPORTS PER EVALUATOR'!$AC$9,1))*1</f>
        <v>1</v>
      </c>
      <c r="G93" s="11" t="str">
        <f>LEFT('REPORTS PER EVALUATOR'!$AC$21,1)</f>
        <v>1</v>
      </c>
      <c r="H93" s="82">
        <f>(RIGHT('REPORTS PER EVALUATOR'!$AC$21,1))*1</f>
        <v>1</v>
      </c>
      <c r="I93" s="11" t="str">
        <f>LEFT('REPORTS PER EVALUATOR'!$AC$33,1)</f>
        <v>E</v>
      </c>
      <c r="J93" s="82">
        <f>(RIGHT('REPORTS PER EVALUATOR'!$AC$33,1))*1</f>
        <v>3</v>
      </c>
      <c r="K93" s="11" t="str">
        <f>LEFT('REPORTS PER EVALUATOR'!$AC$45,1)</f>
        <v>E</v>
      </c>
      <c r="L93" s="82">
        <f>(RIGHT('REPORTS PER EVALUATOR'!$AC$45,1))*1</f>
        <v>3</v>
      </c>
      <c r="M93" s="11" t="str">
        <f>LEFT('REPORTS PER EVALUATOR'!$AC$57,1)</f>
        <v>E</v>
      </c>
      <c r="N93" s="82">
        <f>(RIGHT('REPORTS PER EVALUATOR'!$AC$57,1))*1</f>
        <v>2</v>
      </c>
      <c r="O93" s="11" t="str">
        <f>LEFT('REPORTS PER EVALUATOR'!$AC$69,1)</f>
        <v>E</v>
      </c>
      <c r="P93" s="82">
        <f>(RIGHT('REPORTS PER EVALUATOR'!$AC$69,1))*1</f>
        <v>2</v>
      </c>
      <c r="Q93" s="11" t="str">
        <f>LEFT('REPORTS PER EVALUATOR'!$AC$81,1)</f>
        <v>E</v>
      </c>
      <c r="R93" s="82">
        <f>(RIGHT('REPORTS PER EVALUATOR'!$AC$81,1))*1</f>
        <v>3</v>
      </c>
      <c r="S93" s="11" t="str">
        <f>LEFT('REPORTS PER EVALUATOR'!$AC$93,1)</f>
        <v>1</v>
      </c>
      <c r="T93" s="82">
        <f>(RIGHT('REPORTS PER EVALUATOR'!$AC$93,1))*1</f>
        <v>1</v>
      </c>
      <c r="U93" s="11" t="str">
        <f>LEFT('REPORTS PER EVALUATOR'!$AC$105,1)</f>
        <v>1</v>
      </c>
      <c r="V93" s="82">
        <f>(RIGHT('REPORTS PER EVALUATOR'!$AC$105,1))*1</f>
        <v>1</v>
      </c>
      <c r="W93" s="11" t="str">
        <f>LEFT('REPORTS PER EVALUATOR'!$AC$117,1)</f>
        <v>H</v>
      </c>
      <c r="X93" s="82">
        <f>(RIGHT('REPORTS PER EVALUATOR'!$AC$117,1))*1</f>
        <v>2</v>
      </c>
      <c r="Y93" s="11" t="str">
        <f>LEFT('REPORTS PER EVALUATOR'!$AC$129,1)</f>
        <v>1</v>
      </c>
      <c r="Z93" s="93">
        <f>(RIGHT('REPORTS PER EVALUATOR'!$AC$129,1))*1</f>
        <v>1</v>
      </c>
      <c r="AA93" s="11" t="e">
        <f>LEFT('REPORTS PER EVALUATOR'!#REF!,1)</f>
        <v>#REF!</v>
      </c>
      <c r="AB93" s="93" t="e">
        <f>(RIGHT('REPORTS PER EVALUATOR'!#REF!,1))*1</f>
        <v>#REF!</v>
      </c>
      <c r="AC93" s="11" t="e">
        <f>LEFT('REPORTS PER EVALUATOR'!#REF!,1)</f>
        <v>#REF!</v>
      </c>
      <c r="AD93" s="93" t="e">
        <f>(RIGHT('REPORTS PER EVALUATOR'!#REF!,1))*1</f>
        <v>#REF!</v>
      </c>
      <c r="AE93" s="11" t="e">
        <f>LEFT('REPORTS PER EVALUATOR'!#REF!,1)</f>
        <v>#REF!</v>
      </c>
      <c r="AF93" s="93" t="e">
        <f>(RIGHT('REPORTS PER EVALUATOR'!#REF!,1))*1</f>
        <v>#REF!</v>
      </c>
      <c r="AG93" s="11" t="e">
        <f>LEFT('REPORTS PER EVALUATOR'!#REF!,1)</f>
        <v>#REF!</v>
      </c>
      <c r="AH93" s="93" t="e">
        <f>(RIGHT('REPORTS PER EVALUATOR'!#REF!,1))*1</f>
        <v>#REF!</v>
      </c>
      <c r="AI93" s="11" t="e">
        <f>LEFT('REPORTS PER EVALUATOR'!#REF!,1)</f>
        <v>#REF!</v>
      </c>
      <c r="AJ93" s="93" t="e">
        <f>(RIGHT('REPORTS PER EVALUATOR'!#REF!,1))*1</f>
        <v>#REF!</v>
      </c>
      <c r="AK93" s="11" t="e">
        <f>LEFT('REPORTS PER EVALUATOR'!#REF!,1)</f>
        <v>#REF!</v>
      </c>
      <c r="AL93" s="93" t="e">
        <f>(RIGHT('REPORTS PER EVALUATOR'!#REF!,1))*1</f>
        <v>#REF!</v>
      </c>
      <c r="AM93" s="11" t="e">
        <f>LEFT('REPORTS PER EVALUATOR'!#REF!,1)</f>
        <v>#REF!</v>
      </c>
      <c r="AN93" s="93" t="e">
        <f>(RIGHT('REPORTS PER EVALUATOR'!#REF!,1))*1</f>
        <v>#REF!</v>
      </c>
      <c r="AO93" s="11" t="e">
        <f>LEFT('REPORTS PER EVALUATOR'!#REF!,1)</f>
        <v>#REF!</v>
      </c>
      <c r="AP93" s="93" t="e">
        <f>(RIGHT('REPORTS PER EVALUATOR'!#REF!,1))*1</f>
        <v>#REF!</v>
      </c>
      <c r="AQ93" s="11" t="e">
        <f>LEFT('REPORTS PER EVALUATOR'!#REF!,1)</f>
        <v>#REF!</v>
      </c>
      <c r="AR93" s="93" t="e">
        <f>(RIGHT('REPORTS PER EVALUATOR'!#REF!,1))*1</f>
        <v>#REF!</v>
      </c>
    </row>
    <row r="94" spans="2:44" x14ac:dyDescent="0.2">
      <c r="B94" s="19" t="str">
        <f t="shared" si="4"/>
        <v>E</v>
      </c>
      <c r="C94" s="18" t="str">
        <f t="shared" si="6"/>
        <v>I</v>
      </c>
      <c r="D94" s="18" t="s">
        <v>44</v>
      </c>
      <c r="E94" s="26" t="str">
        <f>LEFT('REPORTS PER EVALUATOR'!$AD$9,1)</f>
        <v>I</v>
      </c>
      <c r="F94" s="74">
        <f>(RIGHT('REPORTS PER EVALUATOR'!$AD$9,1))*1</f>
        <v>2</v>
      </c>
      <c r="G94" s="11" t="str">
        <f>LEFT('REPORTS PER EVALUATOR'!$AD$21,1)</f>
        <v>E</v>
      </c>
      <c r="H94" s="82">
        <f>(RIGHT('REPORTS PER EVALUATOR'!$AD$21,1))*1</f>
        <v>2</v>
      </c>
      <c r="I94" s="11" t="str">
        <f>LEFT('REPORTS PER EVALUATOR'!$AD$33,1)</f>
        <v>I</v>
      </c>
      <c r="J94" s="82">
        <f>(RIGHT('REPORTS PER EVALUATOR'!$AD$33,1))*1</f>
        <v>2</v>
      </c>
      <c r="K94" s="11" t="str">
        <f>LEFT('REPORTS PER EVALUATOR'!$AD$45,1)</f>
        <v>I</v>
      </c>
      <c r="L94" s="82">
        <f>(RIGHT('REPORTS PER EVALUATOR'!$AD$45,1))*1</f>
        <v>2</v>
      </c>
      <c r="M94" s="11" t="str">
        <f>LEFT('REPORTS PER EVALUATOR'!$AD$57,1)</f>
        <v>E</v>
      </c>
      <c r="N94" s="82">
        <f>(RIGHT('REPORTS PER EVALUATOR'!$AD$57,1))*1</f>
        <v>2</v>
      </c>
      <c r="O94" s="11" t="str">
        <f>LEFT('REPORTS PER EVALUATOR'!$AD$69,1)</f>
        <v>E</v>
      </c>
      <c r="P94" s="82">
        <f>(RIGHT('REPORTS PER EVALUATOR'!$AD$69,1))*1</f>
        <v>3</v>
      </c>
      <c r="Q94" s="11" t="str">
        <f>LEFT('REPORTS PER EVALUATOR'!$AD$81,1)</f>
        <v>E</v>
      </c>
      <c r="R94" s="82">
        <f>(RIGHT('REPORTS PER EVALUATOR'!$AD$81,1))*1</f>
        <v>3</v>
      </c>
      <c r="S94" s="11" t="str">
        <f>LEFT('REPORTS PER EVALUATOR'!$AD$93,1)</f>
        <v>E</v>
      </c>
      <c r="T94" s="82">
        <f>(RIGHT('REPORTS PER EVALUATOR'!$AD$93,1))*1</f>
        <v>3</v>
      </c>
      <c r="U94" s="11" t="str">
        <f>LEFT('REPORTS PER EVALUATOR'!$AD$105,1)</f>
        <v>E</v>
      </c>
      <c r="V94" s="82">
        <f>(RIGHT('REPORTS PER EVALUATOR'!$AD$105,1))*1</f>
        <v>3</v>
      </c>
      <c r="W94" s="11" t="str">
        <f>LEFT('REPORTS PER EVALUATOR'!$AD$117,1)</f>
        <v>I</v>
      </c>
      <c r="X94" s="82">
        <f>(RIGHT('REPORTS PER EVALUATOR'!$AD$117,1))*1</f>
        <v>2</v>
      </c>
      <c r="Y94" s="11" t="str">
        <f>LEFT('REPORTS PER EVALUATOR'!$AD$129,1)</f>
        <v>1</v>
      </c>
      <c r="Z94" s="93">
        <f>(RIGHT('REPORTS PER EVALUATOR'!$AD$129,1))*1</f>
        <v>1</v>
      </c>
      <c r="AA94" s="11" t="e">
        <f>LEFT('REPORTS PER EVALUATOR'!#REF!,1)</f>
        <v>#REF!</v>
      </c>
      <c r="AB94" s="93" t="e">
        <f>(RIGHT('REPORTS PER EVALUATOR'!#REF!,1))*1</f>
        <v>#REF!</v>
      </c>
      <c r="AC94" s="11" t="e">
        <f>LEFT('REPORTS PER EVALUATOR'!#REF!,1)</f>
        <v>#REF!</v>
      </c>
      <c r="AD94" s="93" t="e">
        <f>(RIGHT('REPORTS PER EVALUATOR'!#REF!,1))*1</f>
        <v>#REF!</v>
      </c>
      <c r="AE94" s="11" t="e">
        <f>LEFT('REPORTS PER EVALUATOR'!#REF!,1)</f>
        <v>#REF!</v>
      </c>
      <c r="AF94" s="93" t="e">
        <f>(RIGHT('REPORTS PER EVALUATOR'!#REF!,1))*1</f>
        <v>#REF!</v>
      </c>
      <c r="AG94" s="11" t="e">
        <f>LEFT('REPORTS PER EVALUATOR'!#REF!,1)</f>
        <v>#REF!</v>
      </c>
      <c r="AH94" s="93" t="e">
        <f>(RIGHT('REPORTS PER EVALUATOR'!#REF!,1))*1</f>
        <v>#REF!</v>
      </c>
      <c r="AI94" s="11" t="e">
        <f>LEFT('REPORTS PER EVALUATOR'!#REF!,1)</f>
        <v>#REF!</v>
      </c>
      <c r="AJ94" s="93" t="e">
        <f>(RIGHT('REPORTS PER EVALUATOR'!#REF!,1))*1</f>
        <v>#REF!</v>
      </c>
      <c r="AK94" s="11" t="e">
        <f>LEFT('REPORTS PER EVALUATOR'!#REF!,1)</f>
        <v>#REF!</v>
      </c>
      <c r="AL94" s="93" t="e">
        <f>(RIGHT('REPORTS PER EVALUATOR'!#REF!,1))*1</f>
        <v>#REF!</v>
      </c>
      <c r="AM94" s="11" t="e">
        <f>LEFT('REPORTS PER EVALUATOR'!#REF!,1)</f>
        <v>#REF!</v>
      </c>
      <c r="AN94" s="93" t="e">
        <f>(RIGHT('REPORTS PER EVALUATOR'!#REF!,1))*1</f>
        <v>#REF!</v>
      </c>
      <c r="AO94" s="11" t="e">
        <f>LEFT('REPORTS PER EVALUATOR'!#REF!,1)</f>
        <v>#REF!</v>
      </c>
      <c r="AP94" s="93" t="e">
        <f>(RIGHT('REPORTS PER EVALUATOR'!#REF!,1))*1</f>
        <v>#REF!</v>
      </c>
      <c r="AQ94" s="11" t="e">
        <f>LEFT('REPORTS PER EVALUATOR'!#REF!,1)</f>
        <v>#REF!</v>
      </c>
      <c r="AR94" s="93" t="e">
        <f>(RIGHT('REPORTS PER EVALUATOR'!#REF!,1))*1</f>
        <v>#REF!</v>
      </c>
    </row>
    <row r="95" spans="2:44" x14ac:dyDescent="0.2">
      <c r="B95" s="19" t="str">
        <f t="shared" si="4"/>
        <v>E</v>
      </c>
      <c r="C95" s="18" t="str">
        <f t="shared" si="6"/>
        <v>L</v>
      </c>
      <c r="D95" s="18" t="s">
        <v>45</v>
      </c>
      <c r="E95" s="26" t="str">
        <f>LEFT('REPORTS PER EVALUATOR'!$AE$9,1)</f>
        <v>E</v>
      </c>
      <c r="F95" s="74">
        <f>(RIGHT('REPORTS PER EVALUATOR'!$AE$9,1))*1</f>
        <v>2</v>
      </c>
      <c r="G95" s="11" t="str">
        <f>LEFT('REPORTS PER EVALUATOR'!$AE$21,1)</f>
        <v>E</v>
      </c>
      <c r="H95" s="82">
        <f>(RIGHT('REPORTS PER EVALUATOR'!$AE$21,1))*1</f>
        <v>3</v>
      </c>
      <c r="I95" s="11" t="str">
        <f>LEFT('REPORTS PER EVALUATOR'!$AE$33,1)</f>
        <v>E</v>
      </c>
      <c r="J95" s="82">
        <f>(RIGHT('REPORTS PER EVALUATOR'!$AE$33,1))*1</f>
        <v>2</v>
      </c>
      <c r="K95" s="11" t="str">
        <f>LEFT('REPORTS PER EVALUATOR'!$AE$45,1)</f>
        <v>E</v>
      </c>
      <c r="L95" s="82">
        <f>(RIGHT('REPORTS PER EVALUATOR'!$AE$45,1))*1</f>
        <v>3</v>
      </c>
      <c r="M95" s="11" t="str">
        <f>LEFT('REPORTS PER EVALUATOR'!$AE$57,1)</f>
        <v>E</v>
      </c>
      <c r="N95" s="82">
        <f>(RIGHT('REPORTS PER EVALUATOR'!$AE$57,1))*1</f>
        <v>2</v>
      </c>
      <c r="O95" s="11" t="str">
        <f>LEFT('REPORTS PER EVALUATOR'!$AE$69,1)</f>
        <v>E</v>
      </c>
      <c r="P95" s="82">
        <f>(RIGHT('REPORTS PER EVALUATOR'!$AE$69,1))*1</f>
        <v>2</v>
      </c>
      <c r="Q95" s="11" t="str">
        <f>LEFT('REPORTS PER EVALUATOR'!$AE$81,1)</f>
        <v>E</v>
      </c>
      <c r="R95" s="82">
        <f>(RIGHT('REPORTS PER EVALUATOR'!$AE$81,1))*1</f>
        <v>2</v>
      </c>
      <c r="S95" s="11" t="str">
        <f>LEFT('REPORTS PER EVALUATOR'!$AE$93,1)</f>
        <v>1</v>
      </c>
      <c r="T95" s="82">
        <f>(RIGHT('REPORTS PER EVALUATOR'!$AE$93,1))*1</f>
        <v>1</v>
      </c>
      <c r="U95" s="11" t="str">
        <f>LEFT('REPORTS PER EVALUATOR'!$AE$105,1)</f>
        <v>E</v>
      </c>
      <c r="V95" s="82">
        <f>(RIGHT('REPORTS PER EVALUATOR'!$AE$105,1))*1</f>
        <v>3</v>
      </c>
      <c r="W95" s="11" t="str">
        <f>LEFT('REPORTS PER EVALUATOR'!$AE$117,1)</f>
        <v>1</v>
      </c>
      <c r="X95" s="82">
        <f>(RIGHT('REPORTS PER EVALUATOR'!$AE$117,1))*1</f>
        <v>1</v>
      </c>
      <c r="Y95" s="11" t="str">
        <f>LEFT('REPORTS PER EVALUATOR'!$AE$129,1)</f>
        <v>E</v>
      </c>
      <c r="Z95" s="93">
        <f>(RIGHT('REPORTS PER EVALUATOR'!$AE$129,1))*1</f>
        <v>2</v>
      </c>
      <c r="AA95" s="11" t="e">
        <f>LEFT('REPORTS PER EVALUATOR'!#REF!,1)</f>
        <v>#REF!</v>
      </c>
      <c r="AB95" s="93" t="e">
        <f>(RIGHT('REPORTS PER EVALUATOR'!#REF!,1))*1</f>
        <v>#REF!</v>
      </c>
      <c r="AC95" s="11" t="e">
        <f>LEFT('REPORTS PER EVALUATOR'!#REF!,1)</f>
        <v>#REF!</v>
      </c>
      <c r="AD95" s="93" t="e">
        <f>(RIGHT('REPORTS PER EVALUATOR'!#REF!,1))*1</f>
        <v>#REF!</v>
      </c>
      <c r="AE95" s="11" t="e">
        <f>LEFT('REPORTS PER EVALUATOR'!#REF!,1)</f>
        <v>#REF!</v>
      </c>
      <c r="AF95" s="93" t="e">
        <f>(RIGHT('REPORTS PER EVALUATOR'!#REF!,1))*1</f>
        <v>#REF!</v>
      </c>
      <c r="AG95" s="11" t="e">
        <f>LEFT('REPORTS PER EVALUATOR'!#REF!,1)</f>
        <v>#REF!</v>
      </c>
      <c r="AH95" s="93" t="e">
        <f>(RIGHT('REPORTS PER EVALUATOR'!#REF!,1))*1</f>
        <v>#REF!</v>
      </c>
      <c r="AI95" s="11" t="e">
        <f>LEFT('REPORTS PER EVALUATOR'!#REF!,1)</f>
        <v>#REF!</v>
      </c>
      <c r="AJ95" s="93" t="e">
        <f>(RIGHT('REPORTS PER EVALUATOR'!#REF!,1))*1</f>
        <v>#REF!</v>
      </c>
      <c r="AK95" s="11" t="e">
        <f>LEFT('REPORTS PER EVALUATOR'!#REF!,1)</f>
        <v>#REF!</v>
      </c>
      <c r="AL95" s="93" t="e">
        <f>(RIGHT('REPORTS PER EVALUATOR'!#REF!,1))*1</f>
        <v>#REF!</v>
      </c>
      <c r="AM95" s="11" t="e">
        <f>LEFT('REPORTS PER EVALUATOR'!#REF!,1)</f>
        <v>#REF!</v>
      </c>
      <c r="AN95" s="93" t="e">
        <f>(RIGHT('REPORTS PER EVALUATOR'!#REF!,1))*1</f>
        <v>#REF!</v>
      </c>
      <c r="AO95" s="11" t="e">
        <f>LEFT('REPORTS PER EVALUATOR'!#REF!,1)</f>
        <v>#REF!</v>
      </c>
      <c r="AP95" s="93" t="e">
        <f>(RIGHT('REPORTS PER EVALUATOR'!#REF!,1))*1</f>
        <v>#REF!</v>
      </c>
      <c r="AQ95" s="11" t="e">
        <f>LEFT('REPORTS PER EVALUATOR'!#REF!,1)</f>
        <v>#REF!</v>
      </c>
      <c r="AR95" s="93" t="e">
        <f>(RIGHT('REPORTS PER EVALUATOR'!#REF!,1))*1</f>
        <v>#REF!</v>
      </c>
    </row>
    <row r="96" spans="2:44" x14ac:dyDescent="0.2">
      <c r="B96" s="19" t="str">
        <f t="shared" si="4"/>
        <v>E</v>
      </c>
      <c r="C96" s="18" t="str">
        <f t="shared" si="6"/>
        <v>M</v>
      </c>
      <c r="D96" s="18" t="s">
        <v>161</v>
      </c>
      <c r="E96" s="26" t="str">
        <f>LEFT('REPORTS PER EVALUATOR'!$AF$9,1)</f>
        <v/>
      </c>
      <c r="F96" s="74" t="e">
        <f>(RIGHT('REPORTS PER EVALUATOR'!$AF$9,1))*1</f>
        <v>#VALUE!</v>
      </c>
      <c r="G96" s="11" t="str">
        <f>LEFT('REPORTS PER EVALUATOR'!$AF$21,1)</f>
        <v/>
      </c>
      <c r="H96" s="82" t="e">
        <f>(RIGHT('REPORTS PER EVALUATOR'!$AF$21,1))*1</f>
        <v>#VALUE!</v>
      </c>
      <c r="I96" s="11" t="str">
        <f>LEFT('REPORTS PER EVALUATOR'!$AF$33,1)</f>
        <v/>
      </c>
      <c r="J96" s="82" t="e">
        <f>(RIGHT('REPORTS PER EVALUATOR'!$AF$33,1))*1</f>
        <v>#VALUE!</v>
      </c>
      <c r="K96" s="11" t="str">
        <f>LEFT('REPORTS PER EVALUATOR'!$AF$45,1)</f>
        <v/>
      </c>
      <c r="L96" s="82" t="e">
        <f>(RIGHT('REPORTS PER EVALUATOR'!$AF$45,1))*1</f>
        <v>#VALUE!</v>
      </c>
      <c r="M96" s="11" t="str">
        <f>LEFT('REPORTS PER EVALUATOR'!$AF$57,1)</f>
        <v/>
      </c>
      <c r="N96" s="82" t="e">
        <f>(RIGHT('REPORTS PER EVALUATOR'!$AF$57,1))*1</f>
        <v>#VALUE!</v>
      </c>
      <c r="O96" s="11" t="str">
        <f>LEFT('REPORTS PER EVALUATOR'!$AF$69,1)</f>
        <v/>
      </c>
      <c r="P96" s="82" t="e">
        <f>(RIGHT('REPORTS PER EVALUATOR'!$AF$69,1))*1</f>
        <v>#VALUE!</v>
      </c>
      <c r="Q96" s="11" t="str">
        <f>LEFT('REPORTS PER EVALUATOR'!$AF$81,1)</f>
        <v/>
      </c>
      <c r="R96" s="82" t="e">
        <f>(RIGHT('REPORTS PER EVALUATOR'!$AF$81,1))*1</f>
        <v>#VALUE!</v>
      </c>
      <c r="S96" s="11" t="str">
        <f>LEFT('REPORTS PER EVALUATOR'!$AF$93,1)</f>
        <v/>
      </c>
      <c r="T96" s="82" t="e">
        <f>(RIGHT('REPORTS PER EVALUATOR'!$AF$93,1))*1</f>
        <v>#VALUE!</v>
      </c>
      <c r="U96" s="11" t="str">
        <f>LEFT('REPORTS PER EVALUATOR'!$AF$105,1)</f>
        <v/>
      </c>
      <c r="V96" s="82" t="e">
        <f>(RIGHT('REPORTS PER EVALUATOR'!$AF$105,1))*1</f>
        <v>#VALUE!</v>
      </c>
      <c r="W96" s="11" t="str">
        <f>LEFT('REPORTS PER EVALUATOR'!$AF$117,1)</f>
        <v/>
      </c>
      <c r="X96" s="82" t="e">
        <f>(RIGHT('REPORTS PER EVALUATOR'!$AF$117,1))*1</f>
        <v>#VALUE!</v>
      </c>
      <c r="Y96" s="11" t="str">
        <f>LEFT('REPORTS PER EVALUATOR'!$AF$129,1)</f>
        <v/>
      </c>
      <c r="Z96" s="93" t="e">
        <f>(RIGHT('REPORTS PER EVALUATOR'!$AF$129,1))*1</f>
        <v>#VALUE!</v>
      </c>
      <c r="AA96" s="11" t="e">
        <f>LEFT('REPORTS PER EVALUATOR'!#REF!,1)</f>
        <v>#REF!</v>
      </c>
      <c r="AB96" s="93" t="e">
        <f>(RIGHT('REPORTS PER EVALUATOR'!#REF!,1))*1</f>
        <v>#REF!</v>
      </c>
      <c r="AC96" s="11" t="e">
        <f>LEFT('REPORTS PER EVALUATOR'!#REF!,1)</f>
        <v>#REF!</v>
      </c>
      <c r="AD96" s="93" t="e">
        <f>(RIGHT('REPORTS PER EVALUATOR'!#REF!,1))*1</f>
        <v>#REF!</v>
      </c>
      <c r="AE96" s="11" t="e">
        <f>LEFT('REPORTS PER EVALUATOR'!#REF!,1)</f>
        <v>#REF!</v>
      </c>
      <c r="AF96" s="93" t="e">
        <f>(RIGHT('REPORTS PER EVALUATOR'!#REF!,1))*1</f>
        <v>#REF!</v>
      </c>
      <c r="AG96" s="11" t="e">
        <f>LEFT('REPORTS PER EVALUATOR'!#REF!,1)</f>
        <v>#REF!</v>
      </c>
      <c r="AH96" s="93" t="e">
        <f>(RIGHT('REPORTS PER EVALUATOR'!#REF!,1))*1</f>
        <v>#REF!</v>
      </c>
      <c r="AI96" s="11" t="e">
        <f>LEFT('REPORTS PER EVALUATOR'!#REF!,1)</f>
        <v>#REF!</v>
      </c>
      <c r="AJ96" s="93" t="e">
        <f>(RIGHT('REPORTS PER EVALUATOR'!#REF!,1))*1</f>
        <v>#REF!</v>
      </c>
      <c r="AK96" s="11" t="e">
        <f>LEFT('REPORTS PER EVALUATOR'!#REF!,1)</f>
        <v>#REF!</v>
      </c>
      <c r="AL96" s="93" t="e">
        <f>(RIGHT('REPORTS PER EVALUATOR'!#REF!,1))*1</f>
        <v>#REF!</v>
      </c>
      <c r="AM96" s="11" t="e">
        <f>LEFT('REPORTS PER EVALUATOR'!#REF!,1)</f>
        <v>#REF!</v>
      </c>
      <c r="AN96" s="93" t="e">
        <f>(RIGHT('REPORTS PER EVALUATOR'!#REF!,1))*1</f>
        <v>#REF!</v>
      </c>
      <c r="AO96" s="11" t="e">
        <f>LEFT('REPORTS PER EVALUATOR'!#REF!,1)</f>
        <v>#REF!</v>
      </c>
      <c r="AP96" s="93" t="e">
        <f>(RIGHT('REPORTS PER EVALUATOR'!#REF!,1))*1</f>
        <v>#REF!</v>
      </c>
      <c r="AQ96" s="11" t="e">
        <f>LEFT('REPORTS PER EVALUATOR'!#REF!,1)</f>
        <v>#REF!</v>
      </c>
      <c r="AR96" s="93" t="e">
        <f>(RIGHT('REPORTS PER EVALUATOR'!#REF!,1))*1</f>
        <v>#REF!</v>
      </c>
    </row>
    <row r="97" spans="1:44" x14ac:dyDescent="0.2">
      <c r="B97" s="19" t="str">
        <f t="shared" si="4"/>
        <v>F</v>
      </c>
      <c r="C97" s="18" t="str">
        <f t="shared" si="6"/>
        <v>G</v>
      </c>
      <c r="D97" s="18" t="s">
        <v>46</v>
      </c>
      <c r="E97" s="65" t="str">
        <f>LEFT('REPORTS PER EVALUATOR'!$AB$10,1)</f>
        <v>F</v>
      </c>
      <c r="F97" s="77">
        <f>(RIGHT('REPORTS PER EVALUATOR'!$AB$10,1))*1</f>
        <v>2</v>
      </c>
      <c r="G97" s="66" t="str">
        <f>LEFT('REPORTS PER EVALUATOR'!$AB$22,1)</f>
        <v>1</v>
      </c>
      <c r="H97" s="85">
        <f>(RIGHT('REPORTS PER EVALUATOR'!$AB$22,1))*1</f>
        <v>1</v>
      </c>
      <c r="I97" s="66" t="str">
        <f>LEFT('REPORTS PER EVALUATOR'!$AB$34,1)</f>
        <v>1</v>
      </c>
      <c r="J97" s="85">
        <f>(RIGHT('REPORTS PER EVALUATOR'!$AB$34,1))*1</f>
        <v>1</v>
      </c>
      <c r="K97" s="66" t="str">
        <f>LEFT('REPORTS PER EVALUATOR'!$AB$46,1)</f>
        <v>1</v>
      </c>
      <c r="L97" s="85">
        <f>(RIGHT('REPORTS PER EVALUATOR'!$AB$46,1))*1</f>
        <v>1</v>
      </c>
      <c r="M97" s="66" t="str">
        <f>LEFT('REPORTS PER EVALUATOR'!$AB$58,1)</f>
        <v>F</v>
      </c>
      <c r="N97" s="85">
        <f>(RIGHT('REPORTS PER EVALUATOR'!$AB$58,1))*1</f>
        <v>3</v>
      </c>
      <c r="O97" s="66" t="str">
        <f>LEFT('REPORTS PER EVALUATOR'!$AB$70,1)</f>
        <v>F</v>
      </c>
      <c r="P97" s="85">
        <f>(RIGHT('REPORTS PER EVALUATOR'!$AB$70,1))*1</f>
        <v>2</v>
      </c>
      <c r="Q97" s="66" t="str">
        <f>LEFT('REPORTS PER EVALUATOR'!$AB$82,1)</f>
        <v>F</v>
      </c>
      <c r="R97" s="85">
        <f>(RIGHT('REPORTS PER EVALUATOR'!$AB$82,1))*1</f>
        <v>3</v>
      </c>
      <c r="S97" s="66" t="str">
        <f>LEFT('REPORTS PER EVALUATOR'!$AB$94,1)</f>
        <v>F</v>
      </c>
      <c r="T97" s="85">
        <f>(RIGHT('REPORTS PER EVALUATOR'!$AB$94,1))*1</f>
        <v>6</v>
      </c>
      <c r="U97" s="66" t="str">
        <f>LEFT('REPORTS PER EVALUATOR'!$AB$106,1)</f>
        <v>F</v>
      </c>
      <c r="V97" s="85">
        <f>(RIGHT('REPORTS PER EVALUATOR'!$AB$106,1))*1</f>
        <v>3</v>
      </c>
      <c r="W97" s="66" t="str">
        <f>LEFT('REPORTS PER EVALUATOR'!$AB$118,1)</f>
        <v>F</v>
      </c>
      <c r="X97" s="85">
        <f>(RIGHT('REPORTS PER EVALUATOR'!$AB$118,1))*1</f>
        <v>2</v>
      </c>
      <c r="Y97" s="66" t="str">
        <f>LEFT('REPORTS PER EVALUATOR'!$AB$130,1)</f>
        <v>F</v>
      </c>
      <c r="Z97" s="97">
        <f>(RIGHT('REPORTS PER EVALUATOR'!$AB$130,1))*1</f>
        <v>2</v>
      </c>
      <c r="AA97" s="66" t="e">
        <f>LEFT('REPORTS PER EVALUATOR'!#REF!,1)</f>
        <v>#REF!</v>
      </c>
      <c r="AB97" s="97" t="e">
        <f>(RIGHT('REPORTS PER EVALUATOR'!#REF!,1))*1</f>
        <v>#REF!</v>
      </c>
      <c r="AC97" s="66" t="e">
        <f>LEFT('REPORTS PER EVALUATOR'!#REF!,1)</f>
        <v>#REF!</v>
      </c>
      <c r="AD97" s="97" t="e">
        <f>(RIGHT('REPORTS PER EVALUATOR'!#REF!,1))*1</f>
        <v>#REF!</v>
      </c>
      <c r="AE97" s="66" t="e">
        <f>LEFT('REPORTS PER EVALUATOR'!#REF!,1)</f>
        <v>#REF!</v>
      </c>
      <c r="AF97" s="97" t="e">
        <f>(RIGHT('REPORTS PER EVALUATOR'!#REF!,1))*1</f>
        <v>#REF!</v>
      </c>
      <c r="AG97" s="66" t="e">
        <f>LEFT('REPORTS PER EVALUATOR'!#REF!,1)</f>
        <v>#REF!</v>
      </c>
      <c r="AH97" s="97" t="e">
        <f>(RIGHT('REPORTS PER EVALUATOR'!#REF!,1))*1</f>
        <v>#REF!</v>
      </c>
      <c r="AI97" s="66" t="e">
        <f>LEFT('REPORTS PER EVALUATOR'!#REF!,1)</f>
        <v>#REF!</v>
      </c>
      <c r="AJ97" s="97" t="e">
        <f>(RIGHT('REPORTS PER EVALUATOR'!#REF!,1))*1</f>
        <v>#REF!</v>
      </c>
      <c r="AK97" s="66" t="e">
        <f>LEFT('REPORTS PER EVALUATOR'!#REF!,1)</f>
        <v>#REF!</v>
      </c>
      <c r="AL97" s="97" t="e">
        <f>(RIGHT('REPORTS PER EVALUATOR'!#REF!,1))*1</f>
        <v>#REF!</v>
      </c>
      <c r="AM97" s="66" t="e">
        <f>LEFT('REPORTS PER EVALUATOR'!#REF!,1)</f>
        <v>#REF!</v>
      </c>
      <c r="AN97" s="97" t="e">
        <f>(RIGHT('REPORTS PER EVALUATOR'!#REF!,1))*1</f>
        <v>#REF!</v>
      </c>
      <c r="AO97" s="66" t="e">
        <f>LEFT('REPORTS PER EVALUATOR'!#REF!,1)</f>
        <v>#REF!</v>
      </c>
      <c r="AP97" s="97" t="e">
        <f>(RIGHT('REPORTS PER EVALUATOR'!#REF!,1))*1</f>
        <v>#REF!</v>
      </c>
      <c r="AQ97" s="66" t="e">
        <f>LEFT('REPORTS PER EVALUATOR'!#REF!,1)</f>
        <v>#REF!</v>
      </c>
      <c r="AR97" s="97" t="e">
        <f>(RIGHT('REPORTS PER EVALUATOR'!#REF!,1))*1</f>
        <v>#REF!</v>
      </c>
    </row>
    <row r="98" spans="1:44" x14ac:dyDescent="0.2">
      <c r="B98" s="19" t="str">
        <f t="shared" si="4"/>
        <v>F</v>
      </c>
      <c r="C98" s="18" t="str">
        <f t="shared" si="6"/>
        <v>H</v>
      </c>
      <c r="D98" s="18" t="s">
        <v>47</v>
      </c>
      <c r="E98" s="26" t="str">
        <f>LEFT('REPORTS PER EVALUATOR'!$AC$10,1)</f>
        <v>1</v>
      </c>
      <c r="F98" s="74">
        <f>(RIGHT('REPORTS PER EVALUATOR'!$AC$10,1))*1</f>
        <v>1</v>
      </c>
      <c r="G98" s="11" t="str">
        <f>LEFT('REPORTS PER EVALUATOR'!$AC$22,1)</f>
        <v>H</v>
      </c>
      <c r="H98" s="82">
        <f>(RIGHT('REPORTS PER EVALUATOR'!$AC$22,1))*1</f>
        <v>2</v>
      </c>
      <c r="I98" s="11" t="str">
        <f>LEFT('REPORTS PER EVALUATOR'!$AC$34,1)</f>
        <v>F</v>
      </c>
      <c r="J98" s="82">
        <f>(RIGHT('REPORTS PER EVALUATOR'!$AC$34,1))*1</f>
        <v>2</v>
      </c>
      <c r="K98" s="11" t="str">
        <f>LEFT('REPORTS PER EVALUATOR'!$AC$46,1)</f>
        <v>F</v>
      </c>
      <c r="L98" s="82">
        <f>(RIGHT('REPORTS PER EVALUATOR'!$AC$46,1))*1</f>
        <v>3</v>
      </c>
      <c r="M98" s="11" t="str">
        <f>LEFT('REPORTS PER EVALUATOR'!$AC$58,1)</f>
        <v>F</v>
      </c>
      <c r="N98" s="82">
        <f>(RIGHT('REPORTS PER EVALUATOR'!$AC$58,1))*1</f>
        <v>2</v>
      </c>
      <c r="O98" s="11" t="str">
        <f>LEFT('REPORTS PER EVALUATOR'!$AC$70,1)</f>
        <v>F</v>
      </c>
      <c r="P98" s="82">
        <f>(RIGHT('REPORTS PER EVALUATOR'!$AC$70,1))*1</f>
        <v>2</v>
      </c>
      <c r="Q98" s="11" t="str">
        <f>LEFT('REPORTS PER EVALUATOR'!$AC$82,1)</f>
        <v>F</v>
      </c>
      <c r="R98" s="82">
        <f>(RIGHT('REPORTS PER EVALUATOR'!$AC$82,1))*1</f>
        <v>2</v>
      </c>
      <c r="S98" s="11" t="str">
        <f>LEFT('REPORTS PER EVALUATOR'!$AC$94,1)</f>
        <v>H</v>
      </c>
      <c r="T98" s="82">
        <f>(RIGHT('REPORTS PER EVALUATOR'!$AC$94,1))*1</f>
        <v>3</v>
      </c>
      <c r="U98" s="11" t="str">
        <f>LEFT('REPORTS PER EVALUATOR'!$AC$106,1)</f>
        <v>H</v>
      </c>
      <c r="V98" s="82">
        <f>(RIGHT('REPORTS PER EVALUATOR'!$AC$106,1))*1</f>
        <v>3</v>
      </c>
      <c r="W98" s="11" t="str">
        <f>LEFT('REPORTS PER EVALUATOR'!$AC$118,1)</f>
        <v>H</v>
      </c>
      <c r="X98" s="82">
        <f>(RIGHT('REPORTS PER EVALUATOR'!$AC$118,1))*1</f>
        <v>2</v>
      </c>
      <c r="Y98" s="11" t="str">
        <f>LEFT('REPORTS PER EVALUATOR'!$AC$130,1)</f>
        <v>1</v>
      </c>
      <c r="Z98" s="93">
        <f>(RIGHT('REPORTS PER EVALUATOR'!$AC$130,1))*1</f>
        <v>1</v>
      </c>
      <c r="AA98" s="11" t="e">
        <f>LEFT('REPORTS PER EVALUATOR'!#REF!,1)</f>
        <v>#REF!</v>
      </c>
      <c r="AB98" s="93" t="e">
        <f>(RIGHT('REPORTS PER EVALUATOR'!#REF!,1))*1</f>
        <v>#REF!</v>
      </c>
      <c r="AC98" s="11" t="e">
        <f>LEFT('REPORTS PER EVALUATOR'!#REF!,1)</f>
        <v>#REF!</v>
      </c>
      <c r="AD98" s="93" t="e">
        <f>(RIGHT('REPORTS PER EVALUATOR'!#REF!,1))*1</f>
        <v>#REF!</v>
      </c>
      <c r="AE98" s="11" t="e">
        <f>LEFT('REPORTS PER EVALUATOR'!#REF!,1)</f>
        <v>#REF!</v>
      </c>
      <c r="AF98" s="93" t="e">
        <f>(RIGHT('REPORTS PER EVALUATOR'!#REF!,1))*1</f>
        <v>#REF!</v>
      </c>
      <c r="AG98" s="11" t="e">
        <f>LEFT('REPORTS PER EVALUATOR'!#REF!,1)</f>
        <v>#REF!</v>
      </c>
      <c r="AH98" s="93" t="e">
        <f>(RIGHT('REPORTS PER EVALUATOR'!#REF!,1))*1</f>
        <v>#REF!</v>
      </c>
      <c r="AI98" s="11" t="e">
        <f>LEFT('REPORTS PER EVALUATOR'!#REF!,1)</f>
        <v>#REF!</v>
      </c>
      <c r="AJ98" s="93" t="e">
        <f>(RIGHT('REPORTS PER EVALUATOR'!#REF!,1))*1</f>
        <v>#REF!</v>
      </c>
      <c r="AK98" s="11" t="e">
        <f>LEFT('REPORTS PER EVALUATOR'!#REF!,1)</f>
        <v>#REF!</v>
      </c>
      <c r="AL98" s="93" t="e">
        <f>(RIGHT('REPORTS PER EVALUATOR'!#REF!,1))*1</f>
        <v>#REF!</v>
      </c>
      <c r="AM98" s="11" t="e">
        <f>LEFT('REPORTS PER EVALUATOR'!#REF!,1)</f>
        <v>#REF!</v>
      </c>
      <c r="AN98" s="93" t="e">
        <f>(RIGHT('REPORTS PER EVALUATOR'!#REF!,1))*1</f>
        <v>#REF!</v>
      </c>
      <c r="AO98" s="11" t="e">
        <f>LEFT('REPORTS PER EVALUATOR'!#REF!,1)</f>
        <v>#REF!</v>
      </c>
      <c r="AP98" s="93" t="e">
        <f>(RIGHT('REPORTS PER EVALUATOR'!#REF!,1))*1</f>
        <v>#REF!</v>
      </c>
      <c r="AQ98" s="11" t="e">
        <f>LEFT('REPORTS PER EVALUATOR'!#REF!,1)</f>
        <v>#REF!</v>
      </c>
      <c r="AR98" s="93" t="e">
        <f>(RIGHT('REPORTS PER EVALUATOR'!#REF!,1))*1</f>
        <v>#REF!</v>
      </c>
    </row>
    <row r="99" spans="1:44" x14ac:dyDescent="0.2">
      <c r="B99" s="19" t="str">
        <f t="shared" si="4"/>
        <v>F</v>
      </c>
      <c r="C99" s="18" t="str">
        <f t="shared" si="6"/>
        <v>I</v>
      </c>
      <c r="D99" s="18" t="s">
        <v>48</v>
      </c>
      <c r="E99" s="26" t="str">
        <f>LEFT('REPORTS PER EVALUATOR'!$AD$10,1)</f>
        <v>I</v>
      </c>
      <c r="F99" s="74">
        <f>(RIGHT('REPORTS PER EVALUATOR'!$AD$10,1))*1</f>
        <v>2</v>
      </c>
      <c r="G99" s="11" t="str">
        <f>LEFT('REPORTS PER EVALUATOR'!$AD$22,1)</f>
        <v>1</v>
      </c>
      <c r="H99" s="82">
        <f>(RIGHT('REPORTS PER EVALUATOR'!$AD$22,1))*1</f>
        <v>1</v>
      </c>
      <c r="I99" s="11" t="str">
        <f>LEFT('REPORTS PER EVALUATOR'!$AD$34,1)</f>
        <v>1</v>
      </c>
      <c r="J99" s="82">
        <f>(RIGHT('REPORTS PER EVALUATOR'!$AD$34,1))*1</f>
        <v>1</v>
      </c>
      <c r="K99" s="11" t="str">
        <f>LEFT('REPORTS PER EVALUATOR'!$AD$46,1)</f>
        <v>1</v>
      </c>
      <c r="L99" s="82">
        <f>(RIGHT('REPORTS PER EVALUATOR'!$AD$46,1))*1</f>
        <v>1</v>
      </c>
      <c r="M99" s="11" t="str">
        <f>LEFT('REPORTS PER EVALUATOR'!$AD$58,1)</f>
        <v>F</v>
      </c>
      <c r="N99" s="82">
        <f>(RIGHT('REPORTS PER EVALUATOR'!$AD$58,1))*1</f>
        <v>3</v>
      </c>
      <c r="O99" s="11" t="str">
        <f>LEFT('REPORTS PER EVALUATOR'!$AD$70,1)</f>
        <v>F</v>
      </c>
      <c r="P99" s="82">
        <f>(RIGHT('REPORTS PER EVALUATOR'!$AD$70,1))*1</f>
        <v>3</v>
      </c>
      <c r="Q99" s="11" t="str">
        <f>LEFT('REPORTS PER EVALUATOR'!$AD$82,1)</f>
        <v>F</v>
      </c>
      <c r="R99" s="82">
        <f>(RIGHT('REPORTS PER EVALUATOR'!$AD$82,1))*1</f>
        <v>3</v>
      </c>
      <c r="S99" s="11" t="str">
        <f>LEFT('REPORTS PER EVALUATOR'!$AD$94,1)</f>
        <v>F</v>
      </c>
      <c r="T99" s="82">
        <f>(RIGHT('REPORTS PER EVALUATOR'!$AD$94,1))*1</f>
        <v>2</v>
      </c>
      <c r="U99" s="11" t="str">
        <f>LEFT('REPORTS PER EVALUATOR'!$AD$106,1)</f>
        <v>F</v>
      </c>
      <c r="V99" s="82">
        <f>(RIGHT('REPORTS PER EVALUATOR'!$AD$106,1))*1</f>
        <v>2</v>
      </c>
      <c r="W99" s="11" t="str">
        <f>LEFT('REPORTS PER EVALUATOR'!$AD$118,1)</f>
        <v>I</v>
      </c>
      <c r="X99" s="82">
        <f>(RIGHT('REPORTS PER EVALUATOR'!$AD$118,1))*1</f>
        <v>2</v>
      </c>
      <c r="Y99" s="11" t="str">
        <f>LEFT('REPORTS PER EVALUATOR'!$AD$130,1)</f>
        <v>1</v>
      </c>
      <c r="Z99" s="93">
        <f>(RIGHT('REPORTS PER EVALUATOR'!$AD$130,1))*1</f>
        <v>1</v>
      </c>
      <c r="AA99" s="11" t="e">
        <f>LEFT('REPORTS PER EVALUATOR'!#REF!,1)</f>
        <v>#REF!</v>
      </c>
      <c r="AB99" s="93" t="e">
        <f>(RIGHT('REPORTS PER EVALUATOR'!#REF!,1))*1</f>
        <v>#REF!</v>
      </c>
      <c r="AC99" s="11" t="e">
        <f>LEFT('REPORTS PER EVALUATOR'!#REF!,1)</f>
        <v>#REF!</v>
      </c>
      <c r="AD99" s="93" t="e">
        <f>(RIGHT('REPORTS PER EVALUATOR'!#REF!,1))*1</f>
        <v>#REF!</v>
      </c>
      <c r="AE99" s="11" t="e">
        <f>LEFT('REPORTS PER EVALUATOR'!#REF!,1)</f>
        <v>#REF!</v>
      </c>
      <c r="AF99" s="93" t="e">
        <f>(RIGHT('REPORTS PER EVALUATOR'!#REF!,1))*1</f>
        <v>#REF!</v>
      </c>
      <c r="AG99" s="11" t="e">
        <f>LEFT('REPORTS PER EVALUATOR'!#REF!,1)</f>
        <v>#REF!</v>
      </c>
      <c r="AH99" s="93" t="e">
        <f>(RIGHT('REPORTS PER EVALUATOR'!#REF!,1))*1</f>
        <v>#REF!</v>
      </c>
      <c r="AI99" s="11" t="e">
        <f>LEFT('REPORTS PER EVALUATOR'!#REF!,1)</f>
        <v>#REF!</v>
      </c>
      <c r="AJ99" s="93" t="e">
        <f>(RIGHT('REPORTS PER EVALUATOR'!#REF!,1))*1</f>
        <v>#REF!</v>
      </c>
      <c r="AK99" s="11" t="e">
        <f>LEFT('REPORTS PER EVALUATOR'!#REF!,1)</f>
        <v>#REF!</v>
      </c>
      <c r="AL99" s="93" t="e">
        <f>(RIGHT('REPORTS PER EVALUATOR'!#REF!,1))*1</f>
        <v>#REF!</v>
      </c>
      <c r="AM99" s="11" t="e">
        <f>LEFT('REPORTS PER EVALUATOR'!#REF!,1)</f>
        <v>#REF!</v>
      </c>
      <c r="AN99" s="93" t="e">
        <f>(RIGHT('REPORTS PER EVALUATOR'!#REF!,1))*1</f>
        <v>#REF!</v>
      </c>
      <c r="AO99" s="11" t="e">
        <f>LEFT('REPORTS PER EVALUATOR'!#REF!,1)</f>
        <v>#REF!</v>
      </c>
      <c r="AP99" s="93" t="e">
        <f>(RIGHT('REPORTS PER EVALUATOR'!#REF!,1))*1</f>
        <v>#REF!</v>
      </c>
      <c r="AQ99" s="11" t="e">
        <f>LEFT('REPORTS PER EVALUATOR'!#REF!,1)</f>
        <v>#REF!</v>
      </c>
      <c r="AR99" s="93" t="e">
        <f>(RIGHT('REPORTS PER EVALUATOR'!#REF!,1))*1</f>
        <v>#REF!</v>
      </c>
    </row>
    <row r="100" spans="1:44" x14ac:dyDescent="0.2">
      <c r="B100" s="19" t="str">
        <f t="shared" si="4"/>
        <v>F</v>
      </c>
      <c r="C100" s="18" t="str">
        <f t="shared" si="6"/>
        <v>L</v>
      </c>
      <c r="D100" s="18" t="s">
        <v>49</v>
      </c>
      <c r="E100" s="26" t="str">
        <f>LEFT('REPORTS PER EVALUATOR'!$AE$10,1)</f>
        <v>F</v>
      </c>
      <c r="F100" s="74">
        <f>(RIGHT('REPORTS PER EVALUATOR'!$AE$10,1))*1</f>
        <v>2</v>
      </c>
      <c r="G100" s="11" t="str">
        <f>LEFT('REPORTS PER EVALUATOR'!$AE$22,1)</f>
        <v>F</v>
      </c>
      <c r="H100" s="82">
        <f>(RIGHT('REPORTS PER EVALUATOR'!$AE$22,1))*1</f>
        <v>2</v>
      </c>
      <c r="I100" s="11" t="str">
        <f>LEFT('REPORTS PER EVALUATOR'!$AE$34,1)</f>
        <v>F</v>
      </c>
      <c r="J100" s="82">
        <f>(RIGHT('REPORTS PER EVALUATOR'!$AE$34,1))*1</f>
        <v>3</v>
      </c>
      <c r="K100" s="11" t="str">
        <f>LEFT('REPORTS PER EVALUATOR'!$AE$46,1)</f>
        <v>F</v>
      </c>
      <c r="L100" s="82">
        <f>(RIGHT('REPORTS PER EVALUATOR'!$AE$46,1))*1</f>
        <v>3</v>
      </c>
      <c r="M100" s="11" t="str">
        <f>LEFT('REPORTS PER EVALUATOR'!$AE$58,1)</f>
        <v>F</v>
      </c>
      <c r="N100" s="82">
        <f>(RIGHT('REPORTS PER EVALUATOR'!$AE$58,1))*1</f>
        <v>2</v>
      </c>
      <c r="O100" s="11" t="str">
        <f>LEFT('REPORTS PER EVALUATOR'!$AE$70,1)</f>
        <v>F</v>
      </c>
      <c r="P100" s="82">
        <f>(RIGHT('REPORTS PER EVALUATOR'!$AE$70,1))*1</f>
        <v>2</v>
      </c>
      <c r="Q100" s="11" t="str">
        <f>LEFT('REPORTS PER EVALUATOR'!$AE$82,1)</f>
        <v>F</v>
      </c>
      <c r="R100" s="82">
        <f>(RIGHT('REPORTS PER EVALUATOR'!$AE$82,1))*1</f>
        <v>2</v>
      </c>
      <c r="S100" s="11" t="str">
        <f>LEFT('REPORTS PER EVALUATOR'!$AE$94,1)</f>
        <v>L</v>
      </c>
      <c r="T100" s="82">
        <f>(RIGHT('REPORTS PER EVALUATOR'!$AE$94,1))*1</f>
        <v>2</v>
      </c>
      <c r="U100" s="11" t="str">
        <f>LEFT('REPORTS PER EVALUATOR'!$AE$106,1)</f>
        <v>F</v>
      </c>
      <c r="V100" s="82">
        <f>(RIGHT('REPORTS PER EVALUATOR'!$AE$106,1))*1</f>
        <v>2</v>
      </c>
      <c r="W100" s="11" t="str">
        <f>LEFT('REPORTS PER EVALUATOR'!$AE$118,1)</f>
        <v>1</v>
      </c>
      <c r="X100" s="82">
        <f>(RIGHT('REPORTS PER EVALUATOR'!$AE$118,1))*1</f>
        <v>1</v>
      </c>
      <c r="Y100" s="11" t="str">
        <f>LEFT('REPORTS PER EVALUATOR'!$AE$130,1)</f>
        <v>1</v>
      </c>
      <c r="Z100" s="93">
        <f>(RIGHT('REPORTS PER EVALUATOR'!$AE$130,1))*1</f>
        <v>1</v>
      </c>
      <c r="AA100" s="11" t="e">
        <f>LEFT('REPORTS PER EVALUATOR'!#REF!,1)</f>
        <v>#REF!</v>
      </c>
      <c r="AB100" s="93" t="e">
        <f>(RIGHT('REPORTS PER EVALUATOR'!#REF!,1))*1</f>
        <v>#REF!</v>
      </c>
      <c r="AC100" s="11" t="e">
        <f>LEFT('REPORTS PER EVALUATOR'!#REF!,1)</f>
        <v>#REF!</v>
      </c>
      <c r="AD100" s="93" t="e">
        <f>(RIGHT('REPORTS PER EVALUATOR'!#REF!,1))*1</f>
        <v>#REF!</v>
      </c>
      <c r="AE100" s="11" t="e">
        <f>LEFT('REPORTS PER EVALUATOR'!#REF!,1)</f>
        <v>#REF!</v>
      </c>
      <c r="AF100" s="93" t="e">
        <f>(RIGHT('REPORTS PER EVALUATOR'!#REF!,1))*1</f>
        <v>#REF!</v>
      </c>
      <c r="AG100" s="11" t="e">
        <f>LEFT('REPORTS PER EVALUATOR'!#REF!,1)</f>
        <v>#REF!</v>
      </c>
      <c r="AH100" s="93" t="e">
        <f>(RIGHT('REPORTS PER EVALUATOR'!#REF!,1))*1</f>
        <v>#REF!</v>
      </c>
      <c r="AI100" s="11" t="e">
        <f>LEFT('REPORTS PER EVALUATOR'!#REF!,1)</f>
        <v>#REF!</v>
      </c>
      <c r="AJ100" s="93" t="e">
        <f>(RIGHT('REPORTS PER EVALUATOR'!#REF!,1))*1</f>
        <v>#REF!</v>
      </c>
      <c r="AK100" s="11" t="e">
        <f>LEFT('REPORTS PER EVALUATOR'!#REF!,1)</f>
        <v>#REF!</v>
      </c>
      <c r="AL100" s="93" t="e">
        <f>(RIGHT('REPORTS PER EVALUATOR'!#REF!,1))*1</f>
        <v>#REF!</v>
      </c>
      <c r="AM100" s="11" t="e">
        <f>LEFT('REPORTS PER EVALUATOR'!#REF!,1)</f>
        <v>#REF!</v>
      </c>
      <c r="AN100" s="93" t="e">
        <f>(RIGHT('REPORTS PER EVALUATOR'!#REF!,1))*1</f>
        <v>#REF!</v>
      </c>
      <c r="AO100" s="11" t="e">
        <f>LEFT('REPORTS PER EVALUATOR'!#REF!,1)</f>
        <v>#REF!</v>
      </c>
      <c r="AP100" s="93" t="e">
        <f>(RIGHT('REPORTS PER EVALUATOR'!#REF!,1))*1</f>
        <v>#REF!</v>
      </c>
      <c r="AQ100" s="11" t="e">
        <f>LEFT('REPORTS PER EVALUATOR'!#REF!,1)</f>
        <v>#REF!</v>
      </c>
      <c r="AR100" s="93" t="e">
        <f>(RIGHT('REPORTS PER EVALUATOR'!#REF!,1))*1</f>
        <v>#REF!</v>
      </c>
    </row>
    <row r="101" spans="1:44" x14ac:dyDescent="0.2">
      <c r="B101" s="19" t="str">
        <f t="shared" si="4"/>
        <v>F</v>
      </c>
      <c r="C101" s="18" t="str">
        <f t="shared" si="6"/>
        <v>M</v>
      </c>
      <c r="D101" s="18" t="s">
        <v>162</v>
      </c>
      <c r="E101" s="26" t="str">
        <f>LEFT('REPORTS PER EVALUATOR'!$AF$10,1)</f>
        <v/>
      </c>
      <c r="F101" s="74" t="e">
        <f>(RIGHT('REPORTS PER EVALUATOR'!$AF$10,1))*1</f>
        <v>#VALUE!</v>
      </c>
      <c r="G101" s="11" t="str">
        <f>LEFT('REPORTS PER EVALUATOR'!$AF$22,1)</f>
        <v/>
      </c>
      <c r="H101" s="82" t="e">
        <f>(RIGHT('REPORTS PER EVALUATOR'!$AF$22,1))*1</f>
        <v>#VALUE!</v>
      </c>
      <c r="I101" s="11" t="str">
        <f>LEFT('REPORTS PER EVALUATOR'!$AF$34,1)</f>
        <v/>
      </c>
      <c r="J101" s="82" t="e">
        <f>(RIGHT('REPORTS PER EVALUATOR'!$AF$34,1))*1</f>
        <v>#VALUE!</v>
      </c>
      <c r="K101" s="11" t="str">
        <f>LEFT('REPORTS PER EVALUATOR'!$AF$46,1)</f>
        <v/>
      </c>
      <c r="L101" s="82" t="e">
        <f>(RIGHT('REPORTS PER EVALUATOR'!$AF$46,1))*1</f>
        <v>#VALUE!</v>
      </c>
      <c r="M101" s="11" t="str">
        <f>LEFT('REPORTS PER EVALUATOR'!$AF$58,1)</f>
        <v/>
      </c>
      <c r="N101" s="82" t="e">
        <f>(RIGHT('REPORTS PER EVALUATOR'!$AF$58,1))*1</f>
        <v>#VALUE!</v>
      </c>
      <c r="O101" s="11" t="str">
        <f>LEFT('REPORTS PER EVALUATOR'!$AF$70,1)</f>
        <v/>
      </c>
      <c r="P101" s="82" t="e">
        <f>(RIGHT('REPORTS PER EVALUATOR'!$AF$70,1))*1</f>
        <v>#VALUE!</v>
      </c>
      <c r="Q101" s="11" t="str">
        <f>LEFT('REPORTS PER EVALUATOR'!$AF$82,1)</f>
        <v/>
      </c>
      <c r="R101" s="82" t="e">
        <f>(RIGHT('REPORTS PER EVALUATOR'!$AF$82,1))*1</f>
        <v>#VALUE!</v>
      </c>
      <c r="S101" s="11" t="str">
        <f>LEFT('REPORTS PER EVALUATOR'!$AF$94,1)</f>
        <v/>
      </c>
      <c r="T101" s="82" t="e">
        <f>(RIGHT('REPORTS PER EVALUATOR'!$AF$94,1))*1</f>
        <v>#VALUE!</v>
      </c>
      <c r="U101" s="11" t="str">
        <f>LEFT('REPORTS PER EVALUATOR'!$AF$106,1)</f>
        <v/>
      </c>
      <c r="V101" s="82" t="e">
        <f>(RIGHT('REPORTS PER EVALUATOR'!$AF$106,1))*1</f>
        <v>#VALUE!</v>
      </c>
      <c r="W101" s="11" t="str">
        <f>LEFT('REPORTS PER EVALUATOR'!$AF$118,1)</f>
        <v/>
      </c>
      <c r="X101" s="82" t="e">
        <f>(RIGHT('REPORTS PER EVALUATOR'!$AF$118,1))*1</f>
        <v>#VALUE!</v>
      </c>
      <c r="Y101" s="11" t="str">
        <f>LEFT('REPORTS PER EVALUATOR'!$AF$130,1)</f>
        <v/>
      </c>
      <c r="Z101" s="93" t="e">
        <f>(RIGHT('REPORTS PER EVALUATOR'!$AF$130,1))*1</f>
        <v>#VALUE!</v>
      </c>
      <c r="AA101" s="11" t="e">
        <f>LEFT('REPORTS PER EVALUATOR'!#REF!,1)</f>
        <v>#REF!</v>
      </c>
      <c r="AB101" s="93" t="e">
        <f>(RIGHT('REPORTS PER EVALUATOR'!#REF!,1))*1</f>
        <v>#REF!</v>
      </c>
      <c r="AC101" s="11" t="e">
        <f>LEFT('REPORTS PER EVALUATOR'!#REF!,1)</f>
        <v>#REF!</v>
      </c>
      <c r="AD101" s="93" t="e">
        <f>(RIGHT('REPORTS PER EVALUATOR'!#REF!,1))*1</f>
        <v>#REF!</v>
      </c>
      <c r="AE101" s="11" t="e">
        <f>LEFT('REPORTS PER EVALUATOR'!#REF!,1)</f>
        <v>#REF!</v>
      </c>
      <c r="AF101" s="93" t="e">
        <f>(RIGHT('REPORTS PER EVALUATOR'!#REF!,1))*1</f>
        <v>#REF!</v>
      </c>
      <c r="AG101" s="11" t="e">
        <f>LEFT('REPORTS PER EVALUATOR'!#REF!,1)</f>
        <v>#REF!</v>
      </c>
      <c r="AH101" s="93" t="e">
        <f>(RIGHT('REPORTS PER EVALUATOR'!#REF!,1))*1</f>
        <v>#REF!</v>
      </c>
      <c r="AI101" s="11" t="e">
        <f>LEFT('REPORTS PER EVALUATOR'!#REF!,1)</f>
        <v>#REF!</v>
      </c>
      <c r="AJ101" s="93" t="e">
        <f>(RIGHT('REPORTS PER EVALUATOR'!#REF!,1))*1</f>
        <v>#REF!</v>
      </c>
      <c r="AK101" s="11" t="e">
        <f>LEFT('REPORTS PER EVALUATOR'!#REF!,1)</f>
        <v>#REF!</v>
      </c>
      <c r="AL101" s="93" t="e">
        <f>(RIGHT('REPORTS PER EVALUATOR'!#REF!,1))*1</f>
        <v>#REF!</v>
      </c>
      <c r="AM101" s="11" t="e">
        <f>LEFT('REPORTS PER EVALUATOR'!#REF!,1)</f>
        <v>#REF!</v>
      </c>
      <c r="AN101" s="93" t="e">
        <f>(RIGHT('REPORTS PER EVALUATOR'!#REF!,1))*1</f>
        <v>#REF!</v>
      </c>
      <c r="AO101" s="11" t="e">
        <f>LEFT('REPORTS PER EVALUATOR'!#REF!,1)</f>
        <v>#REF!</v>
      </c>
      <c r="AP101" s="93" t="e">
        <f>(RIGHT('REPORTS PER EVALUATOR'!#REF!,1))*1</f>
        <v>#REF!</v>
      </c>
      <c r="AQ101" s="11" t="e">
        <f>LEFT('REPORTS PER EVALUATOR'!#REF!,1)</f>
        <v>#REF!</v>
      </c>
      <c r="AR101" s="93" t="e">
        <f>(RIGHT('REPORTS PER EVALUATOR'!#REF!,1))*1</f>
        <v>#REF!</v>
      </c>
    </row>
    <row r="102" spans="1:44" x14ac:dyDescent="0.2">
      <c r="B102" s="19" t="str">
        <f t="shared" si="4"/>
        <v>G</v>
      </c>
      <c r="C102" s="18" t="str">
        <f t="shared" si="6"/>
        <v>H</v>
      </c>
      <c r="D102" s="18" t="s">
        <v>50</v>
      </c>
      <c r="E102" s="65" t="str">
        <f>LEFT('REPORTS PER EVALUATOR'!$AC$11,1)</f>
        <v>H</v>
      </c>
      <c r="F102" s="77">
        <f>(RIGHT('REPORTS PER EVALUATOR'!$AC$11,1))*1</f>
        <v>2</v>
      </c>
      <c r="G102" s="66" t="str">
        <f>LEFT('REPORTS PER EVALUATOR'!$AC$23,1)</f>
        <v>H</v>
      </c>
      <c r="H102" s="85">
        <f>(RIGHT('REPORTS PER EVALUATOR'!$AC$23,1))*1</f>
        <v>2</v>
      </c>
      <c r="I102" s="66" t="str">
        <f>LEFT('REPORTS PER EVALUATOR'!$AC$35,1)</f>
        <v>G</v>
      </c>
      <c r="J102" s="85">
        <f>(RIGHT('REPORTS PER EVALUATOR'!$AC$35,1))*1</f>
        <v>2</v>
      </c>
      <c r="K102" s="66" t="str">
        <f>LEFT('REPORTS PER EVALUATOR'!$AC$47,1)</f>
        <v>G</v>
      </c>
      <c r="L102" s="85">
        <f>(RIGHT('REPORTS PER EVALUATOR'!$AC$47,1))*1</f>
        <v>3</v>
      </c>
      <c r="M102" s="66" t="str">
        <f>LEFT('REPORTS PER EVALUATOR'!$AC$59,1)</f>
        <v>H</v>
      </c>
      <c r="N102" s="85">
        <f>(RIGHT('REPORTS PER EVALUATOR'!$AC$59,1))*1</f>
        <v>3</v>
      </c>
      <c r="O102" s="66" t="str">
        <f>LEFT('REPORTS PER EVALUATOR'!$AC$71,1)</f>
        <v>H</v>
      </c>
      <c r="P102" s="85">
        <f>(RIGHT('REPORTS PER EVALUATOR'!$AC$71,1))*1</f>
        <v>3</v>
      </c>
      <c r="Q102" s="66" t="str">
        <f>LEFT('REPORTS PER EVALUATOR'!$AC$83,1)</f>
        <v>H</v>
      </c>
      <c r="R102" s="85">
        <f>(RIGHT('REPORTS PER EVALUATOR'!$AC$83,1))*1</f>
        <v>3</v>
      </c>
      <c r="S102" s="66" t="str">
        <f>LEFT('REPORTS PER EVALUATOR'!$AC$95,1)</f>
        <v>H</v>
      </c>
      <c r="T102" s="85">
        <f>(RIGHT('REPORTS PER EVALUATOR'!$AC$95,1))*1</f>
        <v>6</v>
      </c>
      <c r="U102" s="66" t="str">
        <f>LEFT('REPORTS PER EVALUATOR'!$AC$107,1)</f>
        <v>H</v>
      </c>
      <c r="V102" s="85">
        <f>(RIGHT('REPORTS PER EVALUATOR'!$AC$107,1))*1</f>
        <v>4</v>
      </c>
      <c r="W102" s="66" t="str">
        <f>LEFT('REPORTS PER EVALUATOR'!$AC$119,1)</f>
        <v>H</v>
      </c>
      <c r="X102" s="85">
        <f>(RIGHT('REPORTS PER EVALUATOR'!$AC$119,1))*1</f>
        <v>3</v>
      </c>
      <c r="Y102" s="66" t="str">
        <f>LEFT('REPORTS PER EVALUATOR'!$AC$131,1)</f>
        <v>H</v>
      </c>
      <c r="Z102" s="97">
        <f>(RIGHT('REPORTS PER EVALUATOR'!$AC$131,1))*1</f>
        <v>2</v>
      </c>
      <c r="AA102" s="66" t="e">
        <f>LEFT('REPORTS PER EVALUATOR'!#REF!,1)</f>
        <v>#REF!</v>
      </c>
      <c r="AB102" s="97" t="e">
        <f>(RIGHT('REPORTS PER EVALUATOR'!#REF!,1))*1</f>
        <v>#REF!</v>
      </c>
      <c r="AC102" s="66" t="e">
        <f>LEFT('REPORTS PER EVALUATOR'!#REF!,1)</f>
        <v>#REF!</v>
      </c>
      <c r="AD102" s="97" t="e">
        <f>(RIGHT('REPORTS PER EVALUATOR'!#REF!,1))*1</f>
        <v>#REF!</v>
      </c>
      <c r="AE102" s="66" t="e">
        <f>LEFT('REPORTS PER EVALUATOR'!#REF!,1)</f>
        <v>#REF!</v>
      </c>
      <c r="AF102" s="97" t="e">
        <f>(RIGHT('REPORTS PER EVALUATOR'!#REF!,1))*1</f>
        <v>#REF!</v>
      </c>
      <c r="AG102" s="66" t="e">
        <f>LEFT('REPORTS PER EVALUATOR'!#REF!,1)</f>
        <v>#REF!</v>
      </c>
      <c r="AH102" s="97" t="e">
        <f>(RIGHT('REPORTS PER EVALUATOR'!#REF!,1))*1</f>
        <v>#REF!</v>
      </c>
      <c r="AI102" s="66" t="e">
        <f>LEFT('REPORTS PER EVALUATOR'!#REF!,1)</f>
        <v>#REF!</v>
      </c>
      <c r="AJ102" s="97" t="e">
        <f>(RIGHT('REPORTS PER EVALUATOR'!#REF!,1))*1</f>
        <v>#REF!</v>
      </c>
      <c r="AK102" s="66" t="e">
        <f>LEFT('REPORTS PER EVALUATOR'!#REF!,1)</f>
        <v>#REF!</v>
      </c>
      <c r="AL102" s="97" t="e">
        <f>(RIGHT('REPORTS PER EVALUATOR'!#REF!,1))*1</f>
        <v>#REF!</v>
      </c>
      <c r="AM102" s="66" t="e">
        <f>LEFT('REPORTS PER EVALUATOR'!#REF!,1)</f>
        <v>#REF!</v>
      </c>
      <c r="AN102" s="97" t="e">
        <f>(RIGHT('REPORTS PER EVALUATOR'!#REF!,1))*1</f>
        <v>#REF!</v>
      </c>
      <c r="AO102" s="66" t="e">
        <f>LEFT('REPORTS PER EVALUATOR'!#REF!,1)</f>
        <v>#REF!</v>
      </c>
      <c r="AP102" s="97" t="e">
        <f>(RIGHT('REPORTS PER EVALUATOR'!#REF!,1))*1</f>
        <v>#REF!</v>
      </c>
      <c r="AQ102" s="66" t="e">
        <f>LEFT('REPORTS PER EVALUATOR'!#REF!,1)</f>
        <v>#REF!</v>
      </c>
      <c r="AR102" s="97" t="e">
        <f>(RIGHT('REPORTS PER EVALUATOR'!#REF!,1))*1</f>
        <v>#REF!</v>
      </c>
    </row>
    <row r="103" spans="1:44" x14ac:dyDescent="0.2">
      <c r="B103" s="19" t="str">
        <f t="shared" si="4"/>
        <v>G</v>
      </c>
      <c r="C103" s="18" t="str">
        <f t="shared" si="6"/>
        <v>I</v>
      </c>
      <c r="D103" s="18" t="s">
        <v>51</v>
      </c>
      <c r="E103" s="26" t="str">
        <f>LEFT('REPORTS PER EVALUATOR'!$AD$11,1)</f>
        <v>I</v>
      </c>
      <c r="F103" s="74">
        <f>(RIGHT('REPORTS PER EVALUATOR'!$AD$11,1))*1</f>
        <v>3</v>
      </c>
      <c r="G103" s="11" t="str">
        <f>LEFT('REPORTS PER EVALUATOR'!$AD$23,1)</f>
        <v>1</v>
      </c>
      <c r="H103" s="82">
        <f>(RIGHT('REPORTS PER EVALUATOR'!$AD$23,1))*1</f>
        <v>1</v>
      </c>
      <c r="I103" s="11" t="str">
        <f>LEFT('REPORTS PER EVALUATOR'!$AD$35,1)</f>
        <v>1</v>
      </c>
      <c r="J103" s="82">
        <f>(RIGHT('REPORTS PER EVALUATOR'!$AD$35,1))*1</f>
        <v>1</v>
      </c>
      <c r="K103" s="11" t="str">
        <f>LEFT('REPORTS PER EVALUATOR'!$AD$47,1)</f>
        <v>1</v>
      </c>
      <c r="L103" s="82">
        <f>(RIGHT('REPORTS PER EVALUATOR'!$AD$47,1))*1</f>
        <v>1</v>
      </c>
      <c r="M103" s="11" t="str">
        <f>LEFT('REPORTS PER EVALUATOR'!$AD$59,1)</f>
        <v>I</v>
      </c>
      <c r="N103" s="82">
        <f>(RIGHT('REPORTS PER EVALUATOR'!$AD$59,1))*1</f>
        <v>2</v>
      </c>
      <c r="O103" s="11" t="str">
        <f>LEFT('REPORTS PER EVALUATOR'!$AD$71,1)</f>
        <v>I</v>
      </c>
      <c r="P103" s="82">
        <f>(RIGHT('REPORTS PER EVALUATOR'!$AD$71,1))*1</f>
        <v>2</v>
      </c>
      <c r="Q103" s="11" t="str">
        <f>LEFT('REPORTS PER EVALUATOR'!$AD$83,1)</f>
        <v>I</v>
      </c>
      <c r="R103" s="82">
        <f>(RIGHT('REPORTS PER EVALUATOR'!$AD$83,1))*1</f>
        <v>3</v>
      </c>
      <c r="S103" s="11" t="str">
        <f>LEFT('REPORTS PER EVALUATOR'!$AD$95,1)</f>
        <v>I</v>
      </c>
      <c r="T103" s="82">
        <f>(RIGHT('REPORTS PER EVALUATOR'!$AD$95,1))*1</f>
        <v>6</v>
      </c>
      <c r="U103" s="11" t="str">
        <f>LEFT('REPORTS PER EVALUATOR'!$AD$107,1)</f>
        <v>I</v>
      </c>
      <c r="V103" s="82">
        <f>(RIGHT('REPORTS PER EVALUATOR'!$AD$107,1))*1</f>
        <v>4</v>
      </c>
      <c r="W103" s="11" t="str">
        <f>LEFT('REPORTS PER EVALUATOR'!$AD$119,1)</f>
        <v>I</v>
      </c>
      <c r="X103" s="82">
        <f>(RIGHT('REPORTS PER EVALUATOR'!$AD$119,1))*1</f>
        <v>3</v>
      </c>
      <c r="Y103" s="11" t="str">
        <f>LEFT('REPORTS PER EVALUATOR'!$AD$131,1)</f>
        <v>I</v>
      </c>
      <c r="Z103" s="93">
        <f>(RIGHT('REPORTS PER EVALUATOR'!$AD$131,1))*1</f>
        <v>2</v>
      </c>
      <c r="AA103" s="11" t="e">
        <f>LEFT('REPORTS PER EVALUATOR'!#REF!,1)</f>
        <v>#REF!</v>
      </c>
      <c r="AB103" s="93" t="e">
        <f>(RIGHT('REPORTS PER EVALUATOR'!#REF!,1))*1</f>
        <v>#REF!</v>
      </c>
      <c r="AC103" s="11" t="e">
        <f>LEFT('REPORTS PER EVALUATOR'!#REF!,1)</f>
        <v>#REF!</v>
      </c>
      <c r="AD103" s="93" t="e">
        <f>(RIGHT('REPORTS PER EVALUATOR'!#REF!,1))*1</f>
        <v>#REF!</v>
      </c>
      <c r="AE103" s="11" t="e">
        <f>LEFT('REPORTS PER EVALUATOR'!#REF!,1)</f>
        <v>#REF!</v>
      </c>
      <c r="AF103" s="93" t="e">
        <f>(RIGHT('REPORTS PER EVALUATOR'!#REF!,1))*1</f>
        <v>#REF!</v>
      </c>
      <c r="AG103" s="11" t="e">
        <f>LEFT('REPORTS PER EVALUATOR'!#REF!,1)</f>
        <v>#REF!</v>
      </c>
      <c r="AH103" s="93" t="e">
        <f>(RIGHT('REPORTS PER EVALUATOR'!#REF!,1))*1</f>
        <v>#REF!</v>
      </c>
      <c r="AI103" s="11" t="e">
        <f>LEFT('REPORTS PER EVALUATOR'!#REF!,1)</f>
        <v>#REF!</v>
      </c>
      <c r="AJ103" s="93" t="e">
        <f>(RIGHT('REPORTS PER EVALUATOR'!#REF!,1))*1</f>
        <v>#REF!</v>
      </c>
      <c r="AK103" s="11" t="e">
        <f>LEFT('REPORTS PER EVALUATOR'!#REF!,1)</f>
        <v>#REF!</v>
      </c>
      <c r="AL103" s="93" t="e">
        <f>(RIGHT('REPORTS PER EVALUATOR'!#REF!,1))*1</f>
        <v>#REF!</v>
      </c>
      <c r="AM103" s="11" t="e">
        <f>LEFT('REPORTS PER EVALUATOR'!#REF!,1)</f>
        <v>#REF!</v>
      </c>
      <c r="AN103" s="93" t="e">
        <f>(RIGHT('REPORTS PER EVALUATOR'!#REF!,1))*1</f>
        <v>#REF!</v>
      </c>
      <c r="AO103" s="11" t="e">
        <f>LEFT('REPORTS PER EVALUATOR'!#REF!,1)</f>
        <v>#REF!</v>
      </c>
      <c r="AP103" s="93" t="e">
        <f>(RIGHT('REPORTS PER EVALUATOR'!#REF!,1))*1</f>
        <v>#REF!</v>
      </c>
      <c r="AQ103" s="11" t="e">
        <f>LEFT('REPORTS PER EVALUATOR'!#REF!,1)</f>
        <v>#REF!</v>
      </c>
      <c r="AR103" s="93" t="e">
        <f>(RIGHT('REPORTS PER EVALUATOR'!#REF!,1))*1</f>
        <v>#REF!</v>
      </c>
    </row>
    <row r="104" spans="1:44" x14ac:dyDescent="0.2">
      <c r="B104" s="19" t="str">
        <f t="shared" si="4"/>
        <v>G</v>
      </c>
      <c r="C104" s="18" t="str">
        <f t="shared" si="6"/>
        <v>L</v>
      </c>
      <c r="D104" s="18" t="s">
        <v>52</v>
      </c>
      <c r="E104" s="26" t="str">
        <f>LEFT('REPORTS PER EVALUATOR'!$AE$11,1)</f>
        <v>G</v>
      </c>
      <c r="F104" s="74">
        <f>(RIGHT('REPORTS PER EVALUATOR'!$AE$11,1))*1</f>
        <v>2</v>
      </c>
      <c r="G104" s="11" t="str">
        <f>LEFT('REPORTS PER EVALUATOR'!$AE$23,1)</f>
        <v>G</v>
      </c>
      <c r="H104" s="82">
        <f>(RIGHT('REPORTS PER EVALUATOR'!$AE$23,1))*1</f>
        <v>2</v>
      </c>
      <c r="I104" s="11" t="str">
        <f>LEFT('REPORTS PER EVALUATOR'!$AE$35,1)</f>
        <v>G</v>
      </c>
      <c r="J104" s="82">
        <f>(RIGHT('REPORTS PER EVALUATOR'!$AE$35,1))*1</f>
        <v>3</v>
      </c>
      <c r="K104" s="11" t="str">
        <f>LEFT('REPORTS PER EVALUATOR'!$AE$47,1)</f>
        <v>G</v>
      </c>
      <c r="L104" s="82">
        <f>(RIGHT('REPORTS PER EVALUATOR'!$AE$47,1))*1</f>
        <v>3</v>
      </c>
      <c r="M104" s="11" t="str">
        <f>LEFT('REPORTS PER EVALUATOR'!$AE$59,1)</f>
        <v>L</v>
      </c>
      <c r="N104" s="82">
        <f>(RIGHT('REPORTS PER EVALUATOR'!$AE$59,1))*1</f>
        <v>2</v>
      </c>
      <c r="O104" s="11" t="str">
        <f>LEFT('REPORTS PER EVALUATOR'!$AE$71,1)</f>
        <v>L</v>
      </c>
      <c r="P104" s="82">
        <f>(RIGHT('REPORTS PER EVALUATOR'!$AE$71,1))*1</f>
        <v>3</v>
      </c>
      <c r="Q104" s="11" t="str">
        <f>LEFT('REPORTS PER EVALUATOR'!$AE$83,1)</f>
        <v>L</v>
      </c>
      <c r="R104" s="82">
        <f>(RIGHT('REPORTS PER EVALUATOR'!$AE$83,1))*1</f>
        <v>3</v>
      </c>
      <c r="S104" s="11" t="str">
        <f>LEFT('REPORTS PER EVALUATOR'!$AE$95,1)</f>
        <v>L</v>
      </c>
      <c r="T104" s="82">
        <f>(RIGHT('REPORTS PER EVALUATOR'!$AE$95,1))*1</f>
        <v>6</v>
      </c>
      <c r="U104" s="11" t="str">
        <f>LEFT('REPORTS PER EVALUATOR'!$AE$107,1)</f>
        <v>L</v>
      </c>
      <c r="V104" s="82">
        <f>(RIGHT('REPORTS PER EVALUATOR'!$AE$107,1))*1</f>
        <v>4</v>
      </c>
      <c r="W104" s="11" t="str">
        <f>LEFT('REPORTS PER EVALUATOR'!$AE$119,1)</f>
        <v>L</v>
      </c>
      <c r="X104" s="82">
        <f>(RIGHT('REPORTS PER EVALUATOR'!$AE$119,1))*1</f>
        <v>2</v>
      </c>
      <c r="Y104" s="11" t="str">
        <f>LEFT('REPORTS PER EVALUATOR'!$AE$131,1)</f>
        <v>L</v>
      </c>
      <c r="Z104" s="93">
        <f>(RIGHT('REPORTS PER EVALUATOR'!$AE$131,1))*1</f>
        <v>2</v>
      </c>
      <c r="AA104" s="11" t="e">
        <f>LEFT('REPORTS PER EVALUATOR'!#REF!,1)</f>
        <v>#REF!</v>
      </c>
      <c r="AB104" s="93" t="e">
        <f>(RIGHT('REPORTS PER EVALUATOR'!#REF!,1))*1</f>
        <v>#REF!</v>
      </c>
      <c r="AC104" s="11" t="e">
        <f>LEFT('REPORTS PER EVALUATOR'!#REF!,1)</f>
        <v>#REF!</v>
      </c>
      <c r="AD104" s="93" t="e">
        <f>(RIGHT('REPORTS PER EVALUATOR'!#REF!,1))*1</f>
        <v>#REF!</v>
      </c>
      <c r="AE104" s="11" t="e">
        <f>LEFT('REPORTS PER EVALUATOR'!#REF!,1)</f>
        <v>#REF!</v>
      </c>
      <c r="AF104" s="93" t="e">
        <f>(RIGHT('REPORTS PER EVALUATOR'!#REF!,1))*1</f>
        <v>#REF!</v>
      </c>
      <c r="AG104" s="11" t="e">
        <f>LEFT('REPORTS PER EVALUATOR'!#REF!,1)</f>
        <v>#REF!</v>
      </c>
      <c r="AH104" s="93" t="e">
        <f>(RIGHT('REPORTS PER EVALUATOR'!#REF!,1))*1</f>
        <v>#REF!</v>
      </c>
      <c r="AI104" s="11" t="e">
        <f>LEFT('REPORTS PER EVALUATOR'!#REF!,1)</f>
        <v>#REF!</v>
      </c>
      <c r="AJ104" s="93" t="e">
        <f>(RIGHT('REPORTS PER EVALUATOR'!#REF!,1))*1</f>
        <v>#REF!</v>
      </c>
      <c r="AK104" s="11" t="e">
        <f>LEFT('REPORTS PER EVALUATOR'!#REF!,1)</f>
        <v>#REF!</v>
      </c>
      <c r="AL104" s="93" t="e">
        <f>(RIGHT('REPORTS PER EVALUATOR'!#REF!,1))*1</f>
        <v>#REF!</v>
      </c>
      <c r="AM104" s="11" t="e">
        <f>LEFT('REPORTS PER EVALUATOR'!#REF!,1)</f>
        <v>#REF!</v>
      </c>
      <c r="AN104" s="93" t="e">
        <f>(RIGHT('REPORTS PER EVALUATOR'!#REF!,1))*1</f>
        <v>#REF!</v>
      </c>
      <c r="AO104" s="11" t="e">
        <f>LEFT('REPORTS PER EVALUATOR'!#REF!,1)</f>
        <v>#REF!</v>
      </c>
      <c r="AP104" s="93" t="e">
        <f>(RIGHT('REPORTS PER EVALUATOR'!#REF!,1))*1</f>
        <v>#REF!</v>
      </c>
      <c r="AQ104" s="11" t="e">
        <f>LEFT('REPORTS PER EVALUATOR'!#REF!,1)</f>
        <v>#REF!</v>
      </c>
      <c r="AR104" s="93" t="e">
        <f>(RIGHT('REPORTS PER EVALUATOR'!#REF!,1))*1</f>
        <v>#REF!</v>
      </c>
    </row>
    <row r="105" spans="1:44" x14ac:dyDescent="0.2">
      <c r="B105" s="19" t="str">
        <f t="shared" si="4"/>
        <v>G</v>
      </c>
      <c r="C105" s="18" t="str">
        <f t="shared" si="6"/>
        <v>M</v>
      </c>
      <c r="D105" s="18" t="s">
        <v>163</v>
      </c>
      <c r="E105" s="26" t="str">
        <f>LEFT('REPORTS PER EVALUATOR'!$AF$11,1)</f>
        <v/>
      </c>
      <c r="F105" s="74" t="e">
        <f>(RIGHT('REPORTS PER EVALUATOR'!$AF$11,1))*1</f>
        <v>#VALUE!</v>
      </c>
      <c r="G105" s="11" t="str">
        <f>LEFT('REPORTS PER EVALUATOR'!$AF$23,1)</f>
        <v/>
      </c>
      <c r="H105" s="82" t="e">
        <f>(RIGHT('REPORTS PER EVALUATOR'!$AF$23,1))*1</f>
        <v>#VALUE!</v>
      </c>
      <c r="I105" s="11" t="str">
        <f>LEFT('REPORTS PER EVALUATOR'!$AF$35,1)</f>
        <v/>
      </c>
      <c r="J105" s="82" t="e">
        <f>(RIGHT('REPORTS PER EVALUATOR'!$AF$35,1))*1</f>
        <v>#VALUE!</v>
      </c>
      <c r="K105" s="11" t="str">
        <f>LEFT('REPORTS PER EVALUATOR'!$AF$47,1)</f>
        <v/>
      </c>
      <c r="L105" s="82" t="e">
        <f>(RIGHT('REPORTS PER EVALUATOR'!$AF$47,1))*1</f>
        <v>#VALUE!</v>
      </c>
      <c r="M105" s="11" t="str">
        <f>LEFT('REPORTS PER EVALUATOR'!$AF$59,1)</f>
        <v/>
      </c>
      <c r="N105" s="82" t="e">
        <f>(RIGHT('REPORTS PER EVALUATOR'!$AF$59,1))*1</f>
        <v>#VALUE!</v>
      </c>
      <c r="O105" s="11" t="str">
        <f>LEFT('REPORTS PER EVALUATOR'!$AF$71,1)</f>
        <v/>
      </c>
      <c r="P105" s="82" t="e">
        <f>(RIGHT('REPORTS PER EVALUATOR'!$AF$71,1))*1</f>
        <v>#VALUE!</v>
      </c>
      <c r="Q105" s="11" t="str">
        <f>LEFT('REPORTS PER EVALUATOR'!$AF$83,1)</f>
        <v/>
      </c>
      <c r="R105" s="82" t="e">
        <f>(RIGHT('REPORTS PER EVALUATOR'!$AF$83,1))*1</f>
        <v>#VALUE!</v>
      </c>
      <c r="S105" s="11" t="str">
        <f>LEFT('REPORTS PER EVALUATOR'!$AF$95,1)</f>
        <v/>
      </c>
      <c r="T105" s="82" t="e">
        <f>(RIGHT('REPORTS PER EVALUATOR'!$AF$95,1))*1</f>
        <v>#VALUE!</v>
      </c>
      <c r="U105" s="11" t="str">
        <f>LEFT('REPORTS PER EVALUATOR'!$AF$107,1)</f>
        <v/>
      </c>
      <c r="V105" s="82" t="e">
        <f>(RIGHT('REPORTS PER EVALUATOR'!$AF$107,1))*1</f>
        <v>#VALUE!</v>
      </c>
      <c r="W105" s="11" t="str">
        <f>LEFT('REPORTS PER EVALUATOR'!$AF$119,1)</f>
        <v/>
      </c>
      <c r="X105" s="82" t="e">
        <f>(RIGHT('REPORTS PER EVALUATOR'!$AF$119,1))*1</f>
        <v>#VALUE!</v>
      </c>
      <c r="Y105" s="11" t="str">
        <f>LEFT('REPORTS PER EVALUATOR'!$AF$131,1)</f>
        <v/>
      </c>
      <c r="Z105" s="93" t="e">
        <f>(RIGHT('REPORTS PER EVALUATOR'!$AF$131,1))*1</f>
        <v>#VALUE!</v>
      </c>
      <c r="AA105" s="11" t="e">
        <f>LEFT('REPORTS PER EVALUATOR'!#REF!,1)</f>
        <v>#REF!</v>
      </c>
      <c r="AB105" s="93" t="e">
        <f>(RIGHT('REPORTS PER EVALUATOR'!#REF!,1))*1</f>
        <v>#REF!</v>
      </c>
      <c r="AC105" s="11" t="e">
        <f>LEFT('REPORTS PER EVALUATOR'!#REF!,1)</f>
        <v>#REF!</v>
      </c>
      <c r="AD105" s="93" t="e">
        <f>(RIGHT('REPORTS PER EVALUATOR'!#REF!,1))*1</f>
        <v>#REF!</v>
      </c>
      <c r="AE105" s="11" t="e">
        <f>LEFT('REPORTS PER EVALUATOR'!#REF!,1)</f>
        <v>#REF!</v>
      </c>
      <c r="AF105" s="93" t="e">
        <f>(RIGHT('REPORTS PER EVALUATOR'!#REF!,1))*1</f>
        <v>#REF!</v>
      </c>
      <c r="AG105" s="11" t="e">
        <f>LEFT('REPORTS PER EVALUATOR'!#REF!,1)</f>
        <v>#REF!</v>
      </c>
      <c r="AH105" s="93" t="e">
        <f>(RIGHT('REPORTS PER EVALUATOR'!#REF!,1))*1</f>
        <v>#REF!</v>
      </c>
      <c r="AI105" s="11" t="e">
        <f>LEFT('REPORTS PER EVALUATOR'!#REF!,1)</f>
        <v>#REF!</v>
      </c>
      <c r="AJ105" s="93" t="e">
        <f>(RIGHT('REPORTS PER EVALUATOR'!#REF!,1))*1</f>
        <v>#REF!</v>
      </c>
      <c r="AK105" s="11" t="e">
        <f>LEFT('REPORTS PER EVALUATOR'!#REF!,1)</f>
        <v>#REF!</v>
      </c>
      <c r="AL105" s="93" t="e">
        <f>(RIGHT('REPORTS PER EVALUATOR'!#REF!,1))*1</f>
        <v>#REF!</v>
      </c>
      <c r="AM105" s="11" t="e">
        <f>LEFT('REPORTS PER EVALUATOR'!#REF!,1)</f>
        <v>#REF!</v>
      </c>
      <c r="AN105" s="93" t="e">
        <f>(RIGHT('REPORTS PER EVALUATOR'!#REF!,1))*1</f>
        <v>#REF!</v>
      </c>
      <c r="AO105" s="11" t="e">
        <f>LEFT('REPORTS PER EVALUATOR'!#REF!,1)</f>
        <v>#REF!</v>
      </c>
      <c r="AP105" s="93" t="e">
        <f>(RIGHT('REPORTS PER EVALUATOR'!#REF!,1))*1</f>
        <v>#REF!</v>
      </c>
      <c r="AQ105" s="11" t="e">
        <f>LEFT('REPORTS PER EVALUATOR'!#REF!,1)</f>
        <v>#REF!</v>
      </c>
      <c r="AR105" s="93" t="e">
        <f>(RIGHT('REPORTS PER EVALUATOR'!#REF!,1))*1</f>
        <v>#REF!</v>
      </c>
    </row>
    <row r="106" spans="1:44" x14ac:dyDescent="0.2">
      <c r="B106" s="19" t="str">
        <f t="shared" si="4"/>
        <v>H</v>
      </c>
      <c r="C106" s="18" t="str">
        <f t="shared" si="6"/>
        <v>I</v>
      </c>
      <c r="D106" s="18" t="s">
        <v>53</v>
      </c>
      <c r="E106" s="65" t="str">
        <f>LEFT('REPORTS PER EVALUATOR'!$AD$12,1)</f>
        <v>I</v>
      </c>
      <c r="F106" s="77">
        <f>(RIGHT('REPORTS PER EVALUATOR'!$AD$12,1))*1</f>
        <v>2</v>
      </c>
      <c r="G106" s="66" t="str">
        <f>LEFT('REPORTS PER EVALUATOR'!$AD$24,1)</f>
        <v>H</v>
      </c>
      <c r="H106" s="85">
        <f>(RIGHT('REPORTS PER EVALUATOR'!$AD$24,1))*1</f>
        <v>2</v>
      </c>
      <c r="I106" s="66" t="str">
        <f>LEFT('REPORTS PER EVALUATOR'!$AD$36,1)</f>
        <v>1</v>
      </c>
      <c r="J106" s="85">
        <f>(RIGHT('REPORTS PER EVALUATOR'!$AD$36,1))*1</f>
        <v>1</v>
      </c>
      <c r="K106" s="66" t="str">
        <f>LEFT('REPORTS PER EVALUATOR'!$AD$48,1)</f>
        <v>1</v>
      </c>
      <c r="L106" s="85">
        <f>(RIGHT('REPORTS PER EVALUATOR'!$AD$48,1))*1</f>
        <v>1</v>
      </c>
      <c r="M106" s="66" t="str">
        <f>LEFT('REPORTS PER EVALUATOR'!$AD$60,1)</f>
        <v>H</v>
      </c>
      <c r="N106" s="85">
        <f>(RIGHT('REPORTS PER EVALUATOR'!$AD$60,1))*1</f>
        <v>2</v>
      </c>
      <c r="O106" s="66" t="str">
        <f>LEFT('REPORTS PER EVALUATOR'!$AD$72,1)</f>
        <v>H</v>
      </c>
      <c r="P106" s="85">
        <f>(RIGHT('REPORTS PER EVALUATOR'!$AD$72,1))*1</f>
        <v>2</v>
      </c>
      <c r="Q106" s="66" t="str">
        <f>LEFT('REPORTS PER EVALUATOR'!$AD$84,1)</f>
        <v>H</v>
      </c>
      <c r="R106" s="85">
        <f>(RIGHT('REPORTS PER EVALUATOR'!$AD$84,1))*1</f>
        <v>2</v>
      </c>
      <c r="S106" s="66" t="str">
        <f>LEFT('REPORTS PER EVALUATOR'!$AD$96,1)</f>
        <v>H</v>
      </c>
      <c r="T106" s="85">
        <f>(RIGHT('REPORTS PER EVALUATOR'!$AD$96,1))*1</f>
        <v>4</v>
      </c>
      <c r="U106" s="66" t="str">
        <f>LEFT('REPORTS PER EVALUATOR'!$AD$108,1)</f>
        <v>H</v>
      </c>
      <c r="V106" s="85">
        <f>(RIGHT('REPORTS PER EVALUATOR'!$AD$108,1))*1</f>
        <v>2</v>
      </c>
      <c r="W106" s="66" t="str">
        <f>LEFT('REPORTS PER EVALUATOR'!$AD$120,1)</f>
        <v>1</v>
      </c>
      <c r="X106" s="85">
        <f>(RIGHT('REPORTS PER EVALUATOR'!$AD$120,1))*1</f>
        <v>1</v>
      </c>
      <c r="Y106" s="66" t="str">
        <f>LEFT('REPORTS PER EVALUATOR'!$AD$132,1)</f>
        <v>1</v>
      </c>
      <c r="Z106" s="97">
        <f>(RIGHT('REPORTS PER EVALUATOR'!$AD$132,1))*1</f>
        <v>1</v>
      </c>
      <c r="AA106" s="66" t="e">
        <f>LEFT('REPORTS PER EVALUATOR'!#REF!,1)</f>
        <v>#REF!</v>
      </c>
      <c r="AB106" s="97" t="e">
        <f>(RIGHT('REPORTS PER EVALUATOR'!#REF!,1))*1</f>
        <v>#REF!</v>
      </c>
      <c r="AC106" s="66" t="e">
        <f>LEFT('REPORTS PER EVALUATOR'!#REF!,1)</f>
        <v>#REF!</v>
      </c>
      <c r="AD106" s="97" t="e">
        <f>(RIGHT('REPORTS PER EVALUATOR'!#REF!,1))*1</f>
        <v>#REF!</v>
      </c>
      <c r="AE106" s="66" t="e">
        <f>LEFT('REPORTS PER EVALUATOR'!#REF!,1)</f>
        <v>#REF!</v>
      </c>
      <c r="AF106" s="97" t="e">
        <f>(RIGHT('REPORTS PER EVALUATOR'!#REF!,1))*1</f>
        <v>#REF!</v>
      </c>
      <c r="AG106" s="66" t="e">
        <f>LEFT('REPORTS PER EVALUATOR'!#REF!,1)</f>
        <v>#REF!</v>
      </c>
      <c r="AH106" s="97" t="e">
        <f>(RIGHT('REPORTS PER EVALUATOR'!#REF!,1))*1</f>
        <v>#REF!</v>
      </c>
      <c r="AI106" s="66" t="e">
        <f>LEFT('REPORTS PER EVALUATOR'!#REF!,1)</f>
        <v>#REF!</v>
      </c>
      <c r="AJ106" s="97" t="e">
        <f>(RIGHT('REPORTS PER EVALUATOR'!#REF!,1))*1</f>
        <v>#REF!</v>
      </c>
      <c r="AK106" s="66" t="e">
        <f>LEFT('REPORTS PER EVALUATOR'!#REF!,1)</f>
        <v>#REF!</v>
      </c>
      <c r="AL106" s="97" t="e">
        <f>(RIGHT('REPORTS PER EVALUATOR'!#REF!,1))*1</f>
        <v>#REF!</v>
      </c>
      <c r="AM106" s="66" t="e">
        <f>LEFT('REPORTS PER EVALUATOR'!#REF!,1)</f>
        <v>#REF!</v>
      </c>
      <c r="AN106" s="97" t="e">
        <f>(RIGHT('REPORTS PER EVALUATOR'!#REF!,1))*1</f>
        <v>#REF!</v>
      </c>
      <c r="AO106" s="66" t="e">
        <f>LEFT('REPORTS PER EVALUATOR'!#REF!,1)</f>
        <v>#REF!</v>
      </c>
      <c r="AP106" s="97" t="e">
        <f>(RIGHT('REPORTS PER EVALUATOR'!#REF!,1))*1</f>
        <v>#REF!</v>
      </c>
      <c r="AQ106" s="66" t="e">
        <f>LEFT('REPORTS PER EVALUATOR'!#REF!,1)</f>
        <v>#REF!</v>
      </c>
      <c r="AR106" s="97" t="e">
        <f>(RIGHT('REPORTS PER EVALUATOR'!#REF!,1))*1</f>
        <v>#REF!</v>
      </c>
    </row>
    <row r="107" spans="1:44" x14ac:dyDescent="0.2">
      <c r="B107" s="19" t="str">
        <f t="shared" si="4"/>
        <v>H</v>
      </c>
      <c r="C107" s="18" t="str">
        <f t="shared" si="6"/>
        <v>L</v>
      </c>
      <c r="D107" s="18" t="s">
        <v>19</v>
      </c>
      <c r="E107" s="26" t="str">
        <f>LEFT('REPORTS PER EVALUATOR'!$AE$12,1)</f>
        <v>H</v>
      </c>
      <c r="F107" s="74">
        <f>(RIGHT('REPORTS PER EVALUATOR'!$AE$12,1))*1</f>
        <v>3</v>
      </c>
      <c r="G107" s="11" t="str">
        <f>LEFT('REPORTS PER EVALUATOR'!$AE$24,1)</f>
        <v>H</v>
      </c>
      <c r="H107" s="82">
        <f>(RIGHT('REPORTS PER EVALUATOR'!$AE$24,1))*1</f>
        <v>3</v>
      </c>
      <c r="I107" s="11" t="str">
        <f>LEFT('REPORTS PER EVALUATOR'!$AE$36,1)</f>
        <v>H</v>
      </c>
      <c r="J107" s="82">
        <f>(RIGHT('REPORTS PER EVALUATOR'!$AE$36,1))*1</f>
        <v>2</v>
      </c>
      <c r="K107" s="11" t="str">
        <f>LEFT('REPORTS PER EVALUATOR'!$AE$48,1)</f>
        <v>H</v>
      </c>
      <c r="L107" s="82">
        <f>(RIGHT('REPORTS PER EVALUATOR'!$AE$48,1))*1</f>
        <v>2</v>
      </c>
      <c r="M107" s="11" t="str">
        <f>LEFT('REPORTS PER EVALUATOR'!$AE$60,1)</f>
        <v>L</v>
      </c>
      <c r="N107" s="82">
        <f>(RIGHT('REPORTS PER EVALUATOR'!$AE$60,1))*1</f>
        <v>2</v>
      </c>
      <c r="O107" s="11" t="str">
        <f>LEFT('REPORTS PER EVALUATOR'!$AE$72,1)</f>
        <v>L</v>
      </c>
      <c r="P107" s="82">
        <f>(RIGHT('REPORTS PER EVALUATOR'!$AE$72,1))*1</f>
        <v>2</v>
      </c>
      <c r="Q107" s="11" t="str">
        <f>LEFT('REPORTS PER EVALUATOR'!$AE$84,1)</f>
        <v>L</v>
      </c>
      <c r="R107" s="82">
        <f>(RIGHT('REPORTS PER EVALUATOR'!$AE$84,1))*1</f>
        <v>2</v>
      </c>
      <c r="S107" s="11" t="str">
        <f>LEFT('REPORTS PER EVALUATOR'!$AE$96,1)</f>
        <v>1</v>
      </c>
      <c r="T107" s="82">
        <f>(RIGHT('REPORTS PER EVALUATOR'!$AE$96,1))*1</f>
        <v>1</v>
      </c>
      <c r="U107" s="11" t="str">
        <f>LEFT('REPORTS PER EVALUATOR'!$AE$108,1)</f>
        <v>H</v>
      </c>
      <c r="V107" s="82">
        <f>(RIGHT('REPORTS PER EVALUATOR'!$AE$108,1))*1</f>
        <v>2</v>
      </c>
      <c r="W107" s="11" t="str">
        <f>LEFT('REPORTS PER EVALUATOR'!$AE$120,1)</f>
        <v>H</v>
      </c>
      <c r="X107" s="82">
        <f>(RIGHT('REPORTS PER EVALUATOR'!$AE$120,1))*1</f>
        <v>2</v>
      </c>
      <c r="Y107" s="11" t="str">
        <f>LEFT('REPORTS PER EVALUATOR'!$AE$132,1)</f>
        <v>H</v>
      </c>
      <c r="Z107" s="93">
        <f>(RIGHT('REPORTS PER EVALUATOR'!$AE$132,1))*1</f>
        <v>2</v>
      </c>
      <c r="AA107" s="11" t="e">
        <f>LEFT('REPORTS PER EVALUATOR'!#REF!,1)</f>
        <v>#REF!</v>
      </c>
      <c r="AB107" s="93" t="e">
        <f>(RIGHT('REPORTS PER EVALUATOR'!#REF!,1))*1</f>
        <v>#REF!</v>
      </c>
      <c r="AC107" s="11" t="e">
        <f>LEFT('REPORTS PER EVALUATOR'!#REF!,1)</f>
        <v>#REF!</v>
      </c>
      <c r="AD107" s="93" t="e">
        <f>(RIGHT('REPORTS PER EVALUATOR'!#REF!,1))*1</f>
        <v>#REF!</v>
      </c>
      <c r="AE107" s="11" t="e">
        <f>LEFT('REPORTS PER EVALUATOR'!#REF!,1)</f>
        <v>#REF!</v>
      </c>
      <c r="AF107" s="93" t="e">
        <f>(RIGHT('REPORTS PER EVALUATOR'!#REF!,1))*1</f>
        <v>#REF!</v>
      </c>
      <c r="AG107" s="11" t="e">
        <f>LEFT('REPORTS PER EVALUATOR'!#REF!,1)</f>
        <v>#REF!</v>
      </c>
      <c r="AH107" s="93" t="e">
        <f>(RIGHT('REPORTS PER EVALUATOR'!#REF!,1))*1</f>
        <v>#REF!</v>
      </c>
      <c r="AI107" s="11" t="e">
        <f>LEFT('REPORTS PER EVALUATOR'!#REF!,1)</f>
        <v>#REF!</v>
      </c>
      <c r="AJ107" s="93" t="e">
        <f>(RIGHT('REPORTS PER EVALUATOR'!#REF!,1))*1</f>
        <v>#REF!</v>
      </c>
      <c r="AK107" s="11" t="e">
        <f>LEFT('REPORTS PER EVALUATOR'!#REF!,1)</f>
        <v>#REF!</v>
      </c>
      <c r="AL107" s="93" t="e">
        <f>(RIGHT('REPORTS PER EVALUATOR'!#REF!,1))*1</f>
        <v>#REF!</v>
      </c>
      <c r="AM107" s="11" t="e">
        <f>LEFT('REPORTS PER EVALUATOR'!#REF!,1)</f>
        <v>#REF!</v>
      </c>
      <c r="AN107" s="93" t="e">
        <f>(RIGHT('REPORTS PER EVALUATOR'!#REF!,1))*1</f>
        <v>#REF!</v>
      </c>
      <c r="AO107" s="11" t="e">
        <f>LEFT('REPORTS PER EVALUATOR'!#REF!,1)</f>
        <v>#REF!</v>
      </c>
      <c r="AP107" s="93" t="e">
        <f>(RIGHT('REPORTS PER EVALUATOR'!#REF!,1))*1</f>
        <v>#REF!</v>
      </c>
      <c r="AQ107" s="11" t="e">
        <f>LEFT('REPORTS PER EVALUATOR'!#REF!,1)</f>
        <v>#REF!</v>
      </c>
      <c r="AR107" s="93" t="e">
        <f>(RIGHT('REPORTS PER EVALUATOR'!#REF!,1))*1</f>
        <v>#REF!</v>
      </c>
    </row>
    <row r="108" spans="1:44" x14ac:dyDescent="0.2">
      <c r="B108" s="19" t="str">
        <f t="shared" si="4"/>
        <v>H</v>
      </c>
      <c r="C108" s="18" t="str">
        <f t="shared" si="6"/>
        <v>M</v>
      </c>
      <c r="D108" s="18" t="s">
        <v>164</v>
      </c>
      <c r="E108" s="26" t="str">
        <f>LEFT('REPORTS PER EVALUATOR'!$AF$12,1)</f>
        <v/>
      </c>
      <c r="F108" s="74" t="e">
        <f>(RIGHT('REPORTS PER EVALUATOR'!$AF$12,1))*1</f>
        <v>#VALUE!</v>
      </c>
      <c r="G108" s="11" t="str">
        <f>LEFT('REPORTS PER EVALUATOR'!$AF$24,1)</f>
        <v/>
      </c>
      <c r="H108" s="82" t="e">
        <f>(RIGHT('REPORTS PER EVALUATOR'!$AF$24,1))*1</f>
        <v>#VALUE!</v>
      </c>
      <c r="I108" s="11" t="str">
        <f>LEFT('REPORTS PER EVALUATOR'!$AF$36,1)</f>
        <v/>
      </c>
      <c r="J108" s="82" t="e">
        <f>(RIGHT('REPORTS PER EVALUATOR'!$AF$36,1))*1</f>
        <v>#VALUE!</v>
      </c>
      <c r="K108" s="11" t="str">
        <f>LEFT('REPORTS PER EVALUATOR'!$AF$48,1)</f>
        <v/>
      </c>
      <c r="L108" s="82" t="e">
        <f>(RIGHT('REPORTS PER EVALUATOR'!$AF$48,1))*1</f>
        <v>#VALUE!</v>
      </c>
      <c r="M108" s="11" t="str">
        <f>LEFT('REPORTS PER EVALUATOR'!$AF$60,1)</f>
        <v/>
      </c>
      <c r="N108" s="82" t="e">
        <f>(RIGHT('REPORTS PER EVALUATOR'!$AF$60,1))*1</f>
        <v>#VALUE!</v>
      </c>
      <c r="O108" s="11" t="str">
        <f>LEFT('REPORTS PER EVALUATOR'!$AF$72,1)</f>
        <v/>
      </c>
      <c r="P108" s="82" t="e">
        <f>(RIGHT('REPORTS PER EVALUATOR'!$AF$72,1))*1</f>
        <v>#VALUE!</v>
      </c>
      <c r="Q108" s="11" t="str">
        <f>LEFT('REPORTS PER EVALUATOR'!$AF$84,1)</f>
        <v/>
      </c>
      <c r="R108" s="82" t="e">
        <f>(RIGHT('REPORTS PER EVALUATOR'!$AF$84,1))*1</f>
        <v>#VALUE!</v>
      </c>
      <c r="S108" s="11" t="str">
        <f>LEFT('REPORTS PER EVALUATOR'!$AF$96,1)</f>
        <v/>
      </c>
      <c r="T108" s="82" t="e">
        <f>(RIGHT('REPORTS PER EVALUATOR'!$AF$96,1))*1</f>
        <v>#VALUE!</v>
      </c>
      <c r="U108" s="11" t="str">
        <f>LEFT('REPORTS PER EVALUATOR'!$AF$108,1)</f>
        <v/>
      </c>
      <c r="V108" s="82" t="e">
        <f>(RIGHT('REPORTS PER EVALUATOR'!$AF$108,1))*1</f>
        <v>#VALUE!</v>
      </c>
      <c r="W108" s="11" t="str">
        <f>LEFT('REPORTS PER EVALUATOR'!$AF$120,1)</f>
        <v/>
      </c>
      <c r="X108" s="82" t="e">
        <f>(RIGHT('REPORTS PER EVALUATOR'!$AF$120,1))*1</f>
        <v>#VALUE!</v>
      </c>
      <c r="Y108" s="11" t="str">
        <f>LEFT('REPORTS PER EVALUATOR'!$AF$132,1)</f>
        <v/>
      </c>
      <c r="Z108" s="93" t="e">
        <f>(RIGHT('REPORTS PER EVALUATOR'!$AF$132,1))*1</f>
        <v>#VALUE!</v>
      </c>
      <c r="AA108" s="11" t="e">
        <f>LEFT('REPORTS PER EVALUATOR'!#REF!,1)</f>
        <v>#REF!</v>
      </c>
      <c r="AB108" s="93" t="e">
        <f>(RIGHT('REPORTS PER EVALUATOR'!#REF!,1))*1</f>
        <v>#REF!</v>
      </c>
      <c r="AC108" s="11" t="e">
        <f>LEFT('REPORTS PER EVALUATOR'!#REF!,1)</f>
        <v>#REF!</v>
      </c>
      <c r="AD108" s="93" t="e">
        <f>(RIGHT('REPORTS PER EVALUATOR'!#REF!,1))*1</f>
        <v>#REF!</v>
      </c>
      <c r="AE108" s="11" t="e">
        <f>LEFT('REPORTS PER EVALUATOR'!#REF!,1)</f>
        <v>#REF!</v>
      </c>
      <c r="AF108" s="93" t="e">
        <f>(RIGHT('REPORTS PER EVALUATOR'!#REF!,1))*1</f>
        <v>#REF!</v>
      </c>
      <c r="AG108" s="11" t="e">
        <f>LEFT('REPORTS PER EVALUATOR'!#REF!,1)</f>
        <v>#REF!</v>
      </c>
      <c r="AH108" s="93" t="e">
        <f>(RIGHT('REPORTS PER EVALUATOR'!#REF!,1))*1</f>
        <v>#REF!</v>
      </c>
      <c r="AI108" s="11" t="e">
        <f>LEFT('REPORTS PER EVALUATOR'!#REF!,1)</f>
        <v>#REF!</v>
      </c>
      <c r="AJ108" s="93" t="e">
        <f>(RIGHT('REPORTS PER EVALUATOR'!#REF!,1))*1</f>
        <v>#REF!</v>
      </c>
      <c r="AK108" s="11" t="e">
        <f>LEFT('REPORTS PER EVALUATOR'!#REF!,1)</f>
        <v>#REF!</v>
      </c>
      <c r="AL108" s="93" t="e">
        <f>(RIGHT('REPORTS PER EVALUATOR'!#REF!,1))*1</f>
        <v>#REF!</v>
      </c>
      <c r="AM108" s="11" t="e">
        <f>LEFT('REPORTS PER EVALUATOR'!#REF!,1)</f>
        <v>#REF!</v>
      </c>
      <c r="AN108" s="93" t="e">
        <f>(RIGHT('REPORTS PER EVALUATOR'!#REF!,1))*1</f>
        <v>#REF!</v>
      </c>
      <c r="AO108" s="11" t="e">
        <f>LEFT('REPORTS PER EVALUATOR'!#REF!,1)</f>
        <v>#REF!</v>
      </c>
      <c r="AP108" s="93" t="e">
        <f>(RIGHT('REPORTS PER EVALUATOR'!#REF!,1))*1</f>
        <v>#REF!</v>
      </c>
      <c r="AQ108" s="11" t="e">
        <f>LEFT('REPORTS PER EVALUATOR'!#REF!,1)</f>
        <v>#REF!</v>
      </c>
      <c r="AR108" s="93" t="e">
        <f>(RIGHT('REPORTS PER EVALUATOR'!#REF!,1))*1</f>
        <v>#REF!</v>
      </c>
    </row>
    <row r="109" spans="1:44" x14ac:dyDescent="0.2">
      <c r="B109" s="19" t="str">
        <f t="shared" si="4"/>
        <v>I</v>
      </c>
      <c r="C109" s="18" t="str">
        <f t="shared" si="6"/>
        <v>L</v>
      </c>
      <c r="D109" s="18" t="s">
        <v>54</v>
      </c>
      <c r="E109" s="67" t="str">
        <f>LEFT('REPORTS PER EVALUATOR'!$AE$13,1)</f>
        <v>I</v>
      </c>
      <c r="F109" s="78">
        <f>(RIGHT('REPORTS PER EVALUATOR'!$AE$13,1))*1</f>
        <v>3</v>
      </c>
      <c r="G109" s="68" t="str">
        <f>LEFT('REPORTS PER EVALUATOR'!$AE$25,1)</f>
        <v>I</v>
      </c>
      <c r="H109" s="86">
        <f>(RIGHT('REPORTS PER EVALUATOR'!$AE$25,1))*1</f>
        <v>2</v>
      </c>
      <c r="I109" s="68" t="str">
        <f>LEFT('REPORTS PER EVALUATOR'!$AE$37,1)</f>
        <v>I</v>
      </c>
      <c r="J109" s="86">
        <f>(RIGHT('REPORTS PER EVALUATOR'!$AE$37,1))*1</f>
        <v>2</v>
      </c>
      <c r="K109" s="68" t="str">
        <f>LEFT('REPORTS PER EVALUATOR'!$AE$49,1)</f>
        <v>I</v>
      </c>
      <c r="L109" s="86">
        <f>(RIGHT('REPORTS PER EVALUATOR'!$AE$49,1))*1</f>
        <v>3</v>
      </c>
      <c r="M109" s="68" t="str">
        <f>LEFT('REPORTS PER EVALUATOR'!$AE$61,1)</f>
        <v>L</v>
      </c>
      <c r="N109" s="86">
        <f>(RIGHT('REPORTS PER EVALUATOR'!$AE$61,1))*1</f>
        <v>2</v>
      </c>
      <c r="O109" s="68" t="str">
        <f>LEFT('REPORTS PER EVALUATOR'!$AE$73,1)</f>
        <v>L</v>
      </c>
      <c r="P109" s="86">
        <f>(RIGHT('REPORTS PER EVALUATOR'!$AE$73,1))*1</f>
        <v>2</v>
      </c>
      <c r="Q109" s="68" t="str">
        <f>LEFT('REPORTS PER EVALUATOR'!$AE$85,1)</f>
        <v>1</v>
      </c>
      <c r="R109" s="86">
        <f>(RIGHT('REPORTS PER EVALUATOR'!$AE$85,1))*1</f>
        <v>1</v>
      </c>
      <c r="S109" s="68" t="str">
        <f>LEFT('REPORTS PER EVALUATOR'!$AE$97,1)</f>
        <v>L</v>
      </c>
      <c r="T109" s="86">
        <f>(RIGHT('REPORTS PER EVALUATOR'!$AE$97,1))*1</f>
        <v>3</v>
      </c>
      <c r="U109" s="68" t="str">
        <f>LEFT('REPORTS PER EVALUATOR'!$AE$109,1)</f>
        <v>1</v>
      </c>
      <c r="V109" s="86">
        <f>(RIGHT('REPORTS PER EVALUATOR'!$AE$109,1))*1</f>
        <v>1</v>
      </c>
      <c r="W109" s="68" t="str">
        <f>LEFT('REPORTS PER EVALUATOR'!$AE$121,1)</f>
        <v>I</v>
      </c>
      <c r="X109" s="86">
        <f>(RIGHT('REPORTS PER EVALUATOR'!$AE$121,1))*1</f>
        <v>2</v>
      </c>
      <c r="Y109" s="68" t="str">
        <f>LEFT('REPORTS PER EVALUATOR'!$AE$133,1)</f>
        <v>1</v>
      </c>
      <c r="Z109" s="98">
        <f>(RIGHT('REPORTS PER EVALUATOR'!$AE$133,1))*1</f>
        <v>1</v>
      </c>
      <c r="AA109" s="68" t="e">
        <f>LEFT('REPORTS PER EVALUATOR'!#REF!,1)</f>
        <v>#REF!</v>
      </c>
      <c r="AB109" s="98" t="e">
        <f>(RIGHT('REPORTS PER EVALUATOR'!#REF!,1))*1</f>
        <v>#REF!</v>
      </c>
      <c r="AC109" s="68" t="e">
        <f>LEFT('REPORTS PER EVALUATOR'!#REF!,1)</f>
        <v>#REF!</v>
      </c>
      <c r="AD109" s="98" t="e">
        <f>(RIGHT('REPORTS PER EVALUATOR'!#REF!,1))*1</f>
        <v>#REF!</v>
      </c>
      <c r="AE109" s="68" t="e">
        <f>LEFT('REPORTS PER EVALUATOR'!#REF!,1)</f>
        <v>#REF!</v>
      </c>
      <c r="AF109" s="98" t="e">
        <f>(RIGHT('REPORTS PER EVALUATOR'!#REF!,1))*1</f>
        <v>#REF!</v>
      </c>
      <c r="AG109" s="68" t="e">
        <f>LEFT('REPORTS PER EVALUATOR'!#REF!,1)</f>
        <v>#REF!</v>
      </c>
      <c r="AH109" s="98" t="e">
        <f>(RIGHT('REPORTS PER EVALUATOR'!#REF!,1))*1</f>
        <v>#REF!</v>
      </c>
      <c r="AI109" s="68" t="e">
        <f>LEFT('REPORTS PER EVALUATOR'!#REF!,1)</f>
        <v>#REF!</v>
      </c>
      <c r="AJ109" s="98" t="e">
        <f>(RIGHT('REPORTS PER EVALUATOR'!#REF!,1))*1</f>
        <v>#REF!</v>
      </c>
      <c r="AK109" s="68" t="e">
        <f>LEFT('REPORTS PER EVALUATOR'!#REF!,1)</f>
        <v>#REF!</v>
      </c>
      <c r="AL109" s="98" t="e">
        <f>(RIGHT('REPORTS PER EVALUATOR'!#REF!,1))*1</f>
        <v>#REF!</v>
      </c>
      <c r="AM109" s="68" t="e">
        <f>LEFT('REPORTS PER EVALUATOR'!#REF!,1)</f>
        <v>#REF!</v>
      </c>
      <c r="AN109" s="98" t="e">
        <f>(RIGHT('REPORTS PER EVALUATOR'!#REF!,1))*1</f>
        <v>#REF!</v>
      </c>
      <c r="AO109" s="68" t="e">
        <f>LEFT('REPORTS PER EVALUATOR'!#REF!,1)</f>
        <v>#REF!</v>
      </c>
      <c r="AP109" s="98" t="e">
        <f>(RIGHT('REPORTS PER EVALUATOR'!#REF!,1))*1</f>
        <v>#REF!</v>
      </c>
      <c r="AQ109" s="68" t="e">
        <f>LEFT('REPORTS PER EVALUATOR'!#REF!,1)</f>
        <v>#REF!</v>
      </c>
      <c r="AR109" s="98" t="e">
        <f>(RIGHT('REPORTS PER EVALUATOR'!#REF!,1))*1</f>
        <v>#REF!</v>
      </c>
    </row>
    <row r="110" spans="1:44" x14ac:dyDescent="0.2">
      <c r="B110" s="19" t="str">
        <f t="shared" si="4"/>
        <v>I</v>
      </c>
      <c r="C110" s="18" t="str">
        <f t="shared" si="6"/>
        <v>M</v>
      </c>
      <c r="D110" s="18" t="s">
        <v>165</v>
      </c>
      <c r="E110" s="111" t="str">
        <f>LEFT('REPORTS PER EVALUATOR'!$AF$13,1)</f>
        <v/>
      </c>
      <c r="F110" s="112" t="e">
        <f>(RIGHT('REPORTS PER EVALUATOR'!$AF$13,1))*1</f>
        <v>#VALUE!</v>
      </c>
      <c r="G110" s="113" t="str">
        <f>LEFT('REPORTS PER EVALUATOR'!$AF$25,1)</f>
        <v/>
      </c>
      <c r="H110" s="114" t="e">
        <f>(RIGHT('REPORTS PER EVALUATOR'!$AF$25,1))*1</f>
        <v>#VALUE!</v>
      </c>
      <c r="I110" s="113" t="str">
        <f>LEFT('REPORTS PER EVALUATOR'!$AF$37,1)</f>
        <v/>
      </c>
      <c r="J110" s="114" t="e">
        <f>(RIGHT('REPORTS PER EVALUATOR'!$AF$37,1))*1</f>
        <v>#VALUE!</v>
      </c>
      <c r="K110" s="113" t="str">
        <f>LEFT('REPORTS PER EVALUATOR'!$AF$49,1)</f>
        <v/>
      </c>
      <c r="L110" s="114" t="e">
        <f>(RIGHT('REPORTS PER EVALUATOR'!$AF$49,1))*1</f>
        <v>#VALUE!</v>
      </c>
      <c r="M110" s="113" t="str">
        <f>LEFT('REPORTS PER EVALUATOR'!$AF$61,1)</f>
        <v/>
      </c>
      <c r="N110" s="114" t="e">
        <f>(RIGHT('REPORTS PER EVALUATOR'!$AF$61,1))*1</f>
        <v>#VALUE!</v>
      </c>
      <c r="O110" s="113" t="str">
        <f>LEFT('REPORTS PER EVALUATOR'!$AF$73,1)</f>
        <v/>
      </c>
      <c r="P110" s="114" t="e">
        <f>(RIGHT('REPORTS PER EVALUATOR'!$AF$73,1))*1</f>
        <v>#VALUE!</v>
      </c>
      <c r="Q110" s="113" t="str">
        <f>LEFT('REPORTS PER EVALUATOR'!$AF$85,1)</f>
        <v/>
      </c>
      <c r="R110" s="114" t="e">
        <f>(RIGHT('REPORTS PER EVALUATOR'!$AF$85,1))*1</f>
        <v>#VALUE!</v>
      </c>
      <c r="S110" s="113" t="str">
        <f>LEFT('REPORTS PER EVALUATOR'!$AF$97,1)</f>
        <v/>
      </c>
      <c r="T110" s="114" t="e">
        <f>(RIGHT('REPORTS PER EVALUATOR'!$AF$97,1))*1</f>
        <v>#VALUE!</v>
      </c>
      <c r="U110" s="113" t="str">
        <f>LEFT('REPORTS PER EVALUATOR'!$AF$109,1)</f>
        <v/>
      </c>
      <c r="V110" s="114" t="e">
        <f>(RIGHT('REPORTS PER EVALUATOR'!$AF$109,1))*1</f>
        <v>#VALUE!</v>
      </c>
      <c r="W110" s="113" t="str">
        <f>LEFT('REPORTS PER EVALUATOR'!$AF$121,1)</f>
        <v/>
      </c>
      <c r="X110" s="114" t="e">
        <f>(RIGHT('REPORTS PER EVALUATOR'!$AF$121,1))*1</f>
        <v>#VALUE!</v>
      </c>
      <c r="Y110" s="113" t="str">
        <f>LEFT('REPORTS PER EVALUATOR'!$AF$133,1)</f>
        <v/>
      </c>
      <c r="Z110" s="115" t="e">
        <f>(RIGHT('REPORTS PER EVALUATOR'!$AF$133,1))*1</f>
        <v>#VALUE!</v>
      </c>
      <c r="AA110" s="113" t="e">
        <f>LEFT('REPORTS PER EVALUATOR'!#REF!,1)</f>
        <v>#REF!</v>
      </c>
      <c r="AB110" s="115" t="e">
        <f>(RIGHT('REPORTS PER EVALUATOR'!#REF!,1))*1</f>
        <v>#REF!</v>
      </c>
      <c r="AC110" s="113" t="e">
        <f>LEFT('REPORTS PER EVALUATOR'!#REF!,1)</f>
        <v>#REF!</v>
      </c>
      <c r="AD110" s="115" t="e">
        <f>(RIGHT('REPORTS PER EVALUATOR'!#REF!,1))*1</f>
        <v>#REF!</v>
      </c>
      <c r="AE110" s="113" t="e">
        <f>LEFT('REPORTS PER EVALUATOR'!#REF!,1)</f>
        <v>#REF!</v>
      </c>
      <c r="AF110" s="115" t="e">
        <f>(RIGHT('REPORTS PER EVALUATOR'!#REF!,1))*1</f>
        <v>#REF!</v>
      </c>
      <c r="AG110" s="113" t="e">
        <f>LEFT('REPORTS PER EVALUATOR'!#REF!,1)</f>
        <v>#REF!</v>
      </c>
      <c r="AH110" s="115" t="e">
        <f>(RIGHT('REPORTS PER EVALUATOR'!#REF!,1))*1</f>
        <v>#REF!</v>
      </c>
      <c r="AI110" s="113" t="e">
        <f>LEFT('REPORTS PER EVALUATOR'!#REF!,1)</f>
        <v>#REF!</v>
      </c>
      <c r="AJ110" s="115" t="e">
        <f>(RIGHT('REPORTS PER EVALUATOR'!#REF!,1))*1</f>
        <v>#REF!</v>
      </c>
      <c r="AK110" s="113" t="e">
        <f>LEFT('REPORTS PER EVALUATOR'!#REF!,1)</f>
        <v>#REF!</v>
      </c>
      <c r="AL110" s="115" t="e">
        <f>(RIGHT('REPORTS PER EVALUATOR'!#REF!,1))*1</f>
        <v>#REF!</v>
      </c>
      <c r="AM110" s="113" t="e">
        <f>LEFT('REPORTS PER EVALUATOR'!#REF!,1)</f>
        <v>#REF!</v>
      </c>
      <c r="AN110" s="115" t="e">
        <f>(RIGHT('REPORTS PER EVALUATOR'!#REF!,1))*1</f>
        <v>#REF!</v>
      </c>
      <c r="AO110" s="113" t="e">
        <f>LEFT('REPORTS PER EVALUATOR'!#REF!,1)</f>
        <v>#REF!</v>
      </c>
      <c r="AP110" s="115" t="e">
        <f>(RIGHT('REPORTS PER EVALUATOR'!#REF!,1))*1</f>
        <v>#REF!</v>
      </c>
      <c r="AQ110" s="113" t="e">
        <f>LEFT('REPORTS PER EVALUATOR'!#REF!,1)</f>
        <v>#REF!</v>
      </c>
      <c r="AR110" s="115" t="e">
        <f>(RIGHT('REPORTS PER EVALUATOR'!#REF!,1))*1</f>
        <v>#REF!</v>
      </c>
    </row>
    <row r="111" spans="1:44" ht="16" thickBot="1" x14ac:dyDescent="0.25">
      <c r="B111" s="19" t="str">
        <f t="shared" si="4"/>
        <v>L</v>
      </c>
      <c r="C111" s="18" t="str">
        <f t="shared" si="6"/>
        <v>M</v>
      </c>
      <c r="D111" s="18" t="s">
        <v>166</v>
      </c>
      <c r="E111" s="121" t="str">
        <f>LEFT('REPORTS PER EVALUATOR'!$AF$14,1)</f>
        <v/>
      </c>
      <c r="F111" s="122" t="e">
        <f>(RIGHT('REPORTS PER EVALUATOR'!$AF$14,1))*1</f>
        <v>#VALUE!</v>
      </c>
      <c r="G111" s="123" t="str">
        <f>LEFT('REPORTS PER EVALUATOR'!$AF$26,1)</f>
        <v/>
      </c>
      <c r="H111" s="124" t="e">
        <f>(RIGHT('REPORTS PER EVALUATOR'!$AF$26,1))*1</f>
        <v>#VALUE!</v>
      </c>
      <c r="I111" s="123" t="str">
        <f>LEFT('REPORTS PER EVALUATOR'!$AF$38,1)</f>
        <v/>
      </c>
      <c r="J111" s="124" t="e">
        <f>(RIGHT('REPORTS PER EVALUATOR'!$AF$38,1))*1</f>
        <v>#VALUE!</v>
      </c>
      <c r="K111" s="123" t="str">
        <f>LEFT('REPORTS PER EVALUATOR'!$AF$50,1)</f>
        <v/>
      </c>
      <c r="L111" s="124" t="e">
        <f>(RIGHT('REPORTS PER EVALUATOR'!$AF$50,1))*1</f>
        <v>#VALUE!</v>
      </c>
      <c r="M111" s="123" t="str">
        <f>LEFT('REPORTS PER EVALUATOR'!$AF$62,1)</f>
        <v/>
      </c>
      <c r="N111" s="124" t="e">
        <f>(RIGHT('REPORTS PER EVALUATOR'!$AF$62,1))*1</f>
        <v>#VALUE!</v>
      </c>
      <c r="O111" s="123" t="str">
        <f>LEFT('REPORTS PER EVALUATOR'!$AF$74,1)</f>
        <v/>
      </c>
      <c r="P111" s="124" t="e">
        <f>(RIGHT('REPORTS PER EVALUATOR'!$AF$74,1))*1</f>
        <v>#VALUE!</v>
      </c>
      <c r="Q111" s="123" t="str">
        <f>LEFT('REPORTS PER EVALUATOR'!$AF$86,1)</f>
        <v/>
      </c>
      <c r="R111" s="124" t="e">
        <f>(RIGHT('REPORTS PER EVALUATOR'!$AF$86,1))*1</f>
        <v>#VALUE!</v>
      </c>
      <c r="S111" s="123" t="str">
        <f>LEFT('REPORTS PER EVALUATOR'!$AF$98,1)</f>
        <v/>
      </c>
      <c r="T111" s="124" t="e">
        <f>(RIGHT('REPORTS PER EVALUATOR'!$AF$98,1))*1</f>
        <v>#VALUE!</v>
      </c>
      <c r="U111" s="123" t="str">
        <f>LEFT('REPORTS PER EVALUATOR'!$AF$110,1)</f>
        <v/>
      </c>
      <c r="V111" s="124" t="e">
        <f>(RIGHT('REPORTS PER EVALUATOR'!$AF$110,1))*1</f>
        <v>#VALUE!</v>
      </c>
      <c r="W111" s="123" t="str">
        <f>LEFT('REPORTS PER EVALUATOR'!$AF$122,1)</f>
        <v/>
      </c>
      <c r="X111" s="124" t="e">
        <f>(RIGHT('REPORTS PER EVALUATOR'!$AF$122,1))*1</f>
        <v>#VALUE!</v>
      </c>
      <c r="Y111" s="123" t="str">
        <f>LEFT('REPORTS PER EVALUATOR'!$AF$134,1)</f>
        <v/>
      </c>
      <c r="Z111" s="125" t="e">
        <f>(RIGHT('REPORTS PER EVALUATOR'!$AF$134,1))*1</f>
        <v>#VALUE!</v>
      </c>
      <c r="AA111" s="123" t="e">
        <f>LEFT('REPORTS PER EVALUATOR'!#REF!,1)</f>
        <v>#REF!</v>
      </c>
      <c r="AB111" s="125" t="e">
        <f>(RIGHT('REPORTS PER EVALUATOR'!#REF!,1))*1</f>
        <v>#REF!</v>
      </c>
      <c r="AC111" s="123" t="e">
        <f>LEFT('REPORTS PER EVALUATOR'!#REF!,1)</f>
        <v>#REF!</v>
      </c>
      <c r="AD111" s="125" t="e">
        <f>(RIGHT('REPORTS PER EVALUATOR'!#REF!,1))*1</f>
        <v>#REF!</v>
      </c>
      <c r="AE111" s="123" t="e">
        <f>LEFT('REPORTS PER EVALUATOR'!#REF!,1)</f>
        <v>#REF!</v>
      </c>
      <c r="AF111" s="125" t="e">
        <f>(RIGHT('REPORTS PER EVALUATOR'!#REF!,1))*1</f>
        <v>#REF!</v>
      </c>
      <c r="AG111" s="123" t="e">
        <f>LEFT('REPORTS PER EVALUATOR'!#REF!,1)</f>
        <v>#REF!</v>
      </c>
      <c r="AH111" s="125" t="e">
        <f>(RIGHT('REPORTS PER EVALUATOR'!#REF!,1))*1</f>
        <v>#REF!</v>
      </c>
      <c r="AI111" s="123" t="e">
        <f>LEFT('REPORTS PER EVALUATOR'!#REF!,1)</f>
        <v>#REF!</v>
      </c>
      <c r="AJ111" s="125" t="e">
        <f>(RIGHT('REPORTS PER EVALUATOR'!#REF!,1))*1</f>
        <v>#REF!</v>
      </c>
      <c r="AK111" s="123" t="e">
        <f>LEFT('REPORTS PER EVALUATOR'!#REF!,1)</f>
        <v>#REF!</v>
      </c>
      <c r="AL111" s="125" t="e">
        <f>(RIGHT('REPORTS PER EVALUATOR'!#REF!,1))*1</f>
        <v>#REF!</v>
      </c>
      <c r="AM111" s="123" t="e">
        <f>LEFT('REPORTS PER EVALUATOR'!#REF!,1)</f>
        <v>#REF!</v>
      </c>
      <c r="AN111" s="125" t="e">
        <f>(RIGHT('REPORTS PER EVALUATOR'!#REF!,1))*1</f>
        <v>#REF!</v>
      </c>
      <c r="AO111" s="123" t="e">
        <f>LEFT('REPORTS PER EVALUATOR'!#REF!,1)</f>
        <v>#REF!</v>
      </c>
      <c r="AP111" s="125" t="e">
        <f>(RIGHT('REPORTS PER EVALUATOR'!#REF!,1))*1</f>
        <v>#REF!</v>
      </c>
      <c r="AQ111" s="123" t="e">
        <f>LEFT('REPORTS PER EVALUATOR'!#REF!,1)</f>
        <v>#REF!</v>
      </c>
      <c r="AR111" s="125" t="e">
        <f>(RIGHT('REPORTS PER EVALUATOR'!#REF!,1))*1</f>
        <v>#REF!</v>
      </c>
    </row>
    <row r="112" spans="1:44" ht="16" thickTop="1" x14ac:dyDescent="0.2">
      <c r="A112" s="215" t="s">
        <v>174</v>
      </c>
      <c r="B112" s="61" t="str">
        <f t="shared" ref="B112:B132" si="7">LEFT(D112,1)</f>
        <v>A</v>
      </c>
      <c r="C112" s="69" t="str">
        <f t="shared" si="6"/>
        <v>B</v>
      </c>
      <c r="D112" s="69" t="s">
        <v>10</v>
      </c>
      <c r="E112" s="70" t="str">
        <f>LEFT('REPORTS PER EVALUATOR'!$AI$5,1)</f>
        <v>B</v>
      </c>
      <c r="F112" s="79">
        <f>(RIGHT('REPORTS PER EVALUATOR'!$AI$5,1))*1</f>
        <v>3</v>
      </c>
      <c r="G112" s="71" t="str">
        <f>LEFT('REPORTS PER EVALUATOR'!$AI$17,1)</f>
        <v>A</v>
      </c>
      <c r="H112" s="87">
        <f>(RIGHT('REPORTS PER EVALUATOR'!$AI$17,1))*1</f>
        <v>2</v>
      </c>
      <c r="I112" s="71" t="str">
        <f>LEFT('REPORTS PER EVALUATOR'!$AI$29,1)</f>
        <v>B</v>
      </c>
      <c r="J112" s="87">
        <f>(RIGHT('REPORTS PER EVALUATOR'!$AI$29,1))*1</f>
        <v>3</v>
      </c>
      <c r="K112" s="71" t="str">
        <f>LEFT('REPORTS PER EVALUATOR'!$AI$41,1)</f>
        <v>A</v>
      </c>
      <c r="L112" s="87">
        <f>(RIGHT('REPORTS PER EVALUATOR'!$AI$41,1))*1</f>
        <v>3</v>
      </c>
      <c r="M112" s="71" t="str">
        <f>LEFT('REPORTS PER EVALUATOR'!$AI$53,1)</f>
        <v>A</v>
      </c>
      <c r="N112" s="87">
        <f>(RIGHT('REPORTS PER EVALUATOR'!$AI$53,1))*1</f>
        <v>4</v>
      </c>
      <c r="O112" s="71" t="str">
        <f>LEFT('REPORTS PER EVALUATOR'!$AI$65,1)</f>
        <v>A</v>
      </c>
      <c r="P112" s="87">
        <f>(RIGHT('REPORTS PER EVALUATOR'!$AI$65,1))*1</f>
        <v>3</v>
      </c>
      <c r="Q112" s="71" t="str">
        <f>LEFT('REPORTS PER EVALUATOR'!$AI$77,1)</f>
        <v>A</v>
      </c>
      <c r="R112" s="87">
        <f>(RIGHT('REPORTS PER EVALUATOR'!$AI$77,1))*1</f>
        <v>6</v>
      </c>
      <c r="S112" s="71" t="str">
        <f>LEFT('REPORTS PER EVALUATOR'!$AI$89,1)</f>
        <v>A</v>
      </c>
      <c r="T112" s="87">
        <f>(RIGHT('REPORTS PER EVALUATOR'!$AI$89,1))*1</f>
        <v>3</v>
      </c>
      <c r="U112" s="71" t="str">
        <f>LEFT('REPORTS PER EVALUATOR'!$AI$101,1)</f>
        <v>A</v>
      </c>
      <c r="V112" s="87">
        <f>(RIGHT('REPORTS PER EVALUATOR'!$AI$101,1))*1</f>
        <v>2</v>
      </c>
      <c r="W112" s="71" t="str">
        <f>LEFT('REPORTS PER EVALUATOR'!$AI$113,1)</f>
        <v>1</v>
      </c>
      <c r="X112" s="87">
        <f>(RIGHT('REPORTS PER EVALUATOR'!$AI$113,1))*1</f>
        <v>1</v>
      </c>
      <c r="Y112" s="71" t="str">
        <f>LEFT('REPORTS PER EVALUATOR'!$AI$125,1)</f>
        <v>1</v>
      </c>
      <c r="Z112" s="99">
        <f>(RIGHT('REPORTS PER EVALUATOR'!$AI$125,1))*1</f>
        <v>1</v>
      </c>
      <c r="AA112" s="71" t="e">
        <f>LEFT('REPORTS PER EVALUATOR'!#REF!,1)</f>
        <v>#REF!</v>
      </c>
      <c r="AB112" s="99" t="e">
        <f>(RIGHT('REPORTS PER EVALUATOR'!#REF!,1))*1</f>
        <v>#REF!</v>
      </c>
      <c r="AC112" s="71" t="e">
        <f>LEFT('REPORTS PER EVALUATOR'!#REF!,1)</f>
        <v>#REF!</v>
      </c>
      <c r="AD112" s="99" t="e">
        <f>(RIGHT('REPORTS PER EVALUATOR'!#REF!,1))*1</f>
        <v>#REF!</v>
      </c>
      <c r="AE112" s="71" t="e">
        <f>LEFT('REPORTS PER EVALUATOR'!#REF!,1)</f>
        <v>#REF!</v>
      </c>
      <c r="AF112" s="99" t="e">
        <f>(RIGHT('REPORTS PER EVALUATOR'!#REF!,1))*1</f>
        <v>#REF!</v>
      </c>
      <c r="AG112" s="71" t="e">
        <f>LEFT('REPORTS PER EVALUATOR'!#REF!,1)</f>
        <v>#REF!</v>
      </c>
      <c r="AH112" s="99" t="e">
        <f>(RIGHT('REPORTS PER EVALUATOR'!#REF!,1))*1</f>
        <v>#REF!</v>
      </c>
      <c r="AI112" s="71" t="e">
        <f>LEFT('REPORTS PER EVALUATOR'!#REF!,1)</f>
        <v>#REF!</v>
      </c>
      <c r="AJ112" s="99" t="e">
        <f>(RIGHT('REPORTS PER EVALUATOR'!#REF!,1))*1</f>
        <v>#REF!</v>
      </c>
      <c r="AK112" s="71" t="e">
        <f>LEFT('REPORTS PER EVALUATOR'!#REF!,1)</f>
        <v>#REF!</v>
      </c>
      <c r="AL112" s="99" t="e">
        <f>(RIGHT('REPORTS PER EVALUATOR'!#REF!,1))*1</f>
        <v>#REF!</v>
      </c>
      <c r="AM112" s="71" t="e">
        <f>LEFT('REPORTS PER EVALUATOR'!#REF!,1)</f>
        <v>#REF!</v>
      </c>
      <c r="AN112" s="99" t="e">
        <f>(RIGHT('REPORTS PER EVALUATOR'!#REF!,1))*1</f>
        <v>#REF!</v>
      </c>
      <c r="AO112" s="71" t="e">
        <f>LEFT('REPORTS PER EVALUATOR'!#REF!,1)</f>
        <v>#REF!</v>
      </c>
      <c r="AP112" s="99" t="e">
        <f>(RIGHT('REPORTS PER EVALUATOR'!#REF!,1))*1</f>
        <v>#REF!</v>
      </c>
      <c r="AQ112" s="71" t="e">
        <f>LEFT('REPORTS PER EVALUATOR'!#REF!,1)</f>
        <v>#REF!</v>
      </c>
      <c r="AR112" s="99" t="e">
        <f>(RIGHT('REPORTS PER EVALUATOR'!#REF!,1))*1</f>
        <v>#REF!</v>
      </c>
    </row>
    <row r="113" spans="1:44" x14ac:dyDescent="0.2">
      <c r="A113" s="215"/>
      <c r="B113" s="19" t="str">
        <f t="shared" si="7"/>
        <v>A</v>
      </c>
      <c r="C113" s="18" t="str">
        <f t="shared" si="6"/>
        <v>C</v>
      </c>
      <c r="D113" s="18" t="s">
        <v>11</v>
      </c>
      <c r="E113" s="26" t="str">
        <f>LEFT('REPORTS PER EVALUATOR'!$AJ$5,1)</f>
        <v>A</v>
      </c>
      <c r="F113" s="74">
        <f>(RIGHT('REPORTS PER EVALUATOR'!$AJ$5,1))*1</f>
        <v>3</v>
      </c>
      <c r="G113" s="11" t="str">
        <f>LEFT('REPORTS PER EVALUATOR'!$AJ$17,1)</f>
        <v>A</v>
      </c>
      <c r="H113" s="82">
        <f>(RIGHT('REPORTS PER EVALUATOR'!$AJ$17,1))*1</f>
        <v>5</v>
      </c>
      <c r="I113" s="11" t="str">
        <f>LEFT('REPORTS PER EVALUATOR'!$AJ$29,1)</f>
        <v>C</v>
      </c>
      <c r="J113" s="82">
        <f>(RIGHT('REPORTS PER EVALUATOR'!$AJ$29,1))*1</f>
        <v>2</v>
      </c>
      <c r="K113" s="11" t="str">
        <f>LEFT('REPORTS PER EVALUATOR'!$AJ$41,1)</f>
        <v>A</v>
      </c>
      <c r="L113" s="82">
        <f>(RIGHT('REPORTS PER EVALUATOR'!$AJ$41,1))*1</f>
        <v>2</v>
      </c>
      <c r="M113" s="11" t="str">
        <f>LEFT('REPORTS PER EVALUATOR'!$AJ$53,1)</f>
        <v>A</v>
      </c>
      <c r="N113" s="82">
        <f>(RIGHT('REPORTS PER EVALUATOR'!$AJ$53,1))*1</f>
        <v>6</v>
      </c>
      <c r="O113" s="11" t="str">
        <f>LEFT('REPORTS PER EVALUATOR'!$AJ$65,1)</f>
        <v>A</v>
      </c>
      <c r="P113" s="82">
        <f>(RIGHT('REPORTS PER EVALUATOR'!$AJ$65,1))*1</f>
        <v>6</v>
      </c>
      <c r="Q113" s="11" t="str">
        <f>LEFT('REPORTS PER EVALUATOR'!$AJ$77,1)</f>
        <v>A</v>
      </c>
      <c r="R113" s="82">
        <f>(RIGHT('REPORTS PER EVALUATOR'!$AJ$77,1))*1</f>
        <v>6</v>
      </c>
      <c r="S113" s="11" t="str">
        <f>LEFT('REPORTS PER EVALUATOR'!$AJ$89,1)</f>
        <v>A</v>
      </c>
      <c r="T113" s="82">
        <f>(RIGHT('REPORTS PER EVALUATOR'!$AJ$89,1))*1</f>
        <v>3</v>
      </c>
      <c r="U113" s="11" t="str">
        <f>LEFT('REPORTS PER EVALUATOR'!$AJ$101,1)</f>
        <v>1</v>
      </c>
      <c r="V113" s="82">
        <f>(RIGHT('REPORTS PER EVALUATOR'!$AJ$101,1))*1</f>
        <v>1</v>
      </c>
      <c r="W113" s="11" t="str">
        <f>LEFT('REPORTS PER EVALUATOR'!$AJ$113,1)</f>
        <v>A</v>
      </c>
      <c r="X113" s="82">
        <f>(RIGHT('REPORTS PER EVALUATOR'!$AJ$113,1))*1</f>
        <v>2</v>
      </c>
      <c r="Y113" s="11" t="str">
        <f>LEFT('REPORTS PER EVALUATOR'!$AJ$125,1)</f>
        <v>A</v>
      </c>
      <c r="Z113" s="93">
        <f>(RIGHT('REPORTS PER EVALUATOR'!$AJ$125,1))*1</f>
        <v>2</v>
      </c>
      <c r="AA113" s="11" t="e">
        <f>LEFT('REPORTS PER EVALUATOR'!#REF!,1)</f>
        <v>#REF!</v>
      </c>
      <c r="AB113" s="93" t="e">
        <f>(RIGHT('REPORTS PER EVALUATOR'!#REF!,1))*1</f>
        <v>#REF!</v>
      </c>
      <c r="AC113" s="11" t="e">
        <f>LEFT('REPORTS PER EVALUATOR'!#REF!,1)</f>
        <v>#REF!</v>
      </c>
      <c r="AD113" s="93" t="e">
        <f>(RIGHT('REPORTS PER EVALUATOR'!#REF!,1))*1</f>
        <v>#REF!</v>
      </c>
      <c r="AE113" s="11" t="e">
        <f>LEFT('REPORTS PER EVALUATOR'!#REF!,1)</f>
        <v>#REF!</v>
      </c>
      <c r="AF113" s="93" t="e">
        <f>(RIGHT('REPORTS PER EVALUATOR'!#REF!,1))*1</f>
        <v>#REF!</v>
      </c>
      <c r="AG113" s="11" t="e">
        <f>LEFT('REPORTS PER EVALUATOR'!#REF!,1)</f>
        <v>#REF!</v>
      </c>
      <c r="AH113" s="93" t="e">
        <f>(RIGHT('REPORTS PER EVALUATOR'!#REF!,1))*1</f>
        <v>#REF!</v>
      </c>
      <c r="AI113" s="11" t="e">
        <f>LEFT('REPORTS PER EVALUATOR'!#REF!,1)</f>
        <v>#REF!</v>
      </c>
      <c r="AJ113" s="93" t="e">
        <f>(RIGHT('REPORTS PER EVALUATOR'!#REF!,1))*1</f>
        <v>#REF!</v>
      </c>
      <c r="AK113" s="11" t="e">
        <f>LEFT('REPORTS PER EVALUATOR'!#REF!,1)</f>
        <v>#REF!</v>
      </c>
      <c r="AL113" s="93" t="e">
        <f>(RIGHT('REPORTS PER EVALUATOR'!#REF!,1))*1</f>
        <v>#REF!</v>
      </c>
      <c r="AM113" s="11" t="e">
        <f>LEFT('REPORTS PER EVALUATOR'!#REF!,1)</f>
        <v>#REF!</v>
      </c>
      <c r="AN113" s="93" t="e">
        <f>(RIGHT('REPORTS PER EVALUATOR'!#REF!,1))*1</f>
        <v>#REF!</v>
      </c>
      <c r="AO113" s="11" t="e">
        <f>LEFT('REPORTS PER EVALUATOR'!#REF!,1)</f>
        <v>#REF!</v>
      </c>
      <c r="AP113" s="93" t="e">
        <f>(RIGHT('REPORTS PER EVALUATOR'!#REF!,1))*1</f>
        <v>#REF!</v>
      </c>
      <c r="AQ113" s="11" t="e">
        <f>LEFT('REPORTS PER EVALUATOR'!#REF!,1)</f>
        <v>#REF!</v>
      </c>
      <c r="AR113" s="93" t="e">
        <f>(RIGHT('REPORTS PER EVALUATOR'!#REF!,1))*1</f>
        <v>#REF!</v>
      </c>
    </row>
    <row r="114" spans="1:44" x14ac:dyDescent="0.2">
      <c r="A114" s="215"/>
      <c r="B114" s="19" t="str">
        <f t="shared" si="7"/>
        <v>A</v>
      </c>
      <c r="C114" s="18" t="str">
        <f t="shared" si="6"/>
        <v>D</v>
      </c>
      <c r="D114" s="18" t="s">
        <v>12</v>
      </c>
      <c r="E114" s="26" t="str">
        <f>LEFT('REPORTS PER EVALUATOR'!$AK$5,1)</f>
        <v>D</v>
      </c>
      <c r="F114" s="74">
        <f>(RIGHT('REPORTS PER EVALUATOR'!$AK$5,1))*1</f>
        <v>3</v>
      </c>
      <c r="G114" s="11" t="str">
        <f>LEFT('REPORTS PER EVALUATOR'!$AK$17,1)</f>
        <v>1</v>
      </c>
      <c r="H114" s="82">
        <f>(RIGHT('REPORTS PER EVALUATOR'!$AK$17,1))*1</f>
        <v>1</v>
      </c>
      <c r="I114" s="11" t="str">
        <f>LEFT('REPORTS PER EVALUATOR'!$AK$29,1)</f>
        <v>D</v>
      </c>
      <c r="J114" s="82">
        <f>(RIGHT('REPORTS PER EVALUATOR'!$AK$29,1))*1</f>
        <v>4</v>
      </c>
      <c r="K114" s="11" t="str">
        <f>LEFT('REPORTS PER EVALUATOR'!$AK$41,1)</f>
        <v>1</v>
      </c>
      <c r="L114" s="82">
        <f>(RIGHT('REPORTS PER EVALUATOR'!$AK$41,1))*1</f>
        <v>1</v>
      </c>
      <c r="M114" s="11" t="str">
        <f>LEFT('REPORTS PER EVALUATOR'!$AK$53,1)</f>
        <v>1</v>
      </c>
      <c r="N114" s="82">
        <f>(RIGHT('REPORTS PER EVALUATOR'!$AK$53,1))*1</f>
        <v>1</v>
      </c>
      <c r="O114" s="11" t="str">
        <f>LEFT('REPORTS PER EVALUATOR'!$AK$65,1)</f>
        <v>A</v>
      </c>
      <c r="P114" s="82">
        <f>(RIGHT('REPORTS PER EVALUATOR'!$AK$65,1))*1</f>
        <v>2</v>
      </c>
      <c r="Q114" s="11" t="str">
        <f>LEFT('REPORTS PER EVALUATOR'!$AK$77,1)</f>
        <v>A</v>
      </c>
      <c r="R114" s="82">
        <f>(RIGHT('REPORTS PER EVALUATOR'!$AK$77,1))*1</f>
        <v>3</v>
      </c>
      <c r="S114" s="11" t="str">
        <f>LEFT('REPORTS PER EVALUATOR'!$AK$89,1)</f>
        <v>1</v>
      </c>
      <c r="T114" s="82">
        <f>(RIGHT('REPORTS PER EVALUATOR'!$AK$89,1))*1</f>
        <v>1</v>
      </c>
      <c r="U114" s="11" t="str">
        <f>LEFT('REPORTS PER EVALUATOR'!$AK$101,1)</f>
        <v>D</v>
      </c>
      <c r="V114" s="82">
        <f>(RIGHT('REPORTS PER EVALUATOR'!$AK$101,1))*1</f>
        <v>2</v>
      </c>
      <c r="W114" s="11" t="str">
        <f>LEFT('REPORTS PER EVALUATOR'!$AK$113,1)</f>
        <v>D</v>
      </c>
      <c r="X114" s="82">
        <f>(RIGHT('REPORTS PER EVALUATOR'!$AK$113,1))*1</f>
        <v>2</v>
      </c>
      <c r="Y114" s="11" t="str">
        <f>LEFT('REPORTS PER EVALUATOR'!$AK$125,1)</f>
        <v>1</v>
      </c>
      <c r="Z114" s="93">
        <f>(RIGHT('REPORTS PER EVALUATOR'!$AK$125,1))*1</f>
        <v>1</v>
      </c>
      <c r="AA114" s="11" t="e">
        <f>LEFT('REPORTS PER EVALUATOR'!#REF!,1)</f>
        <v>#REF!</v>
      </c>
      <c r="AB114" s="93" t="e">
        <f>(RIGHT('REPORTS PER EVALUATOR'!#REF!,1))*1</f>
        <v>#REF!</v>
      </c>
      <c r="AC114" s="11" t="e">
        <f>LEFT('REPORTS PER EVALUATOR'!#REF!,1)</f>
        <v>#REF!</v>
      </c>
      <c r="AD114" s="93" t="e">
        <f>(RIGHT('REPORTS PER EVALUATOR'!#REF!,1))*1</f>
        <v>#REF!</v>
      </c>
      <c r="AE114" s="11" t="e">
        <f>LEFT('REPORTS PER EVALUATOR'!#REF!,1)</f>
        <v>#REF!</v>
      </c>
      <c r="AF114" s="93" t="e">
        <f>(RIGHT('REPORTS PER EVALUATOR'!#REF!,1))*1</f>
        <v>#REF!</v>
      </c>
      <c r="AG114" s="11" t="e">
        <f>LEFT('REPORTS PER EVALUATOR'!#REF!,1)</f>
        <v>#REF!</v>
      </c>
      <c r="AH114" s="93" t="e">
        <f>(RIGHT('REPORTS PER EVALUATOR'!#REF!,1))*1</f>
        <v>#REF!</v>
      </c>
      <c r="AI114" s="11" t="e">
        <f>LEFT('REPORTS PER EVALUATOR'!#REF!,1)</f>
        <v>#REF!</v>
      </c>
      <c r="AJ114" s="93" t="e">
        <f>(RIGHT('REPORTS PER EVALUATOR'!#REF!,1))*1</f>
        <v>#REF!</v>
      </c>
      <c r="AK114" s="11" t="e">
        <f>LEFT('REPORTS PER EVALUATOR'!#REF!,1)</f>
        <v>#REF!</v>
      </c>
      <c r="AL114" s="93" t="e">
        <f>(RIGHT('REPORTS PER EVALUATOR'!#REF!,1))*1</f>
        <v>#REF!</v>
      </c>
      <c r="AM114" s="11" t="e">
        <f>LEFT('REPORTS PER EVALUATOR'!#REF!,1)</f>
        <v>#REF!</v>
      </c>
      <c r="AN114" s="93" t="e">
        <f>(RIGHT('REPORTS PER EVALUATOR'!#REF!,1))*1</f>
        <v>#REF!</v>
      </c>
      <c r="AO114" s="11" t="e">
        <f>LEFT('REPORTS PER EVALUATOR'!#REF!,1)</f>
        <v>#REF!</v>
      </c>
      <c r="AP114" s="93" t="e">
        <f>(RIGHT('REPORTS PER EVALUATOR'!#REF!,1))*1</f>
        <v>#REF!</v>
      </c>
      <c r="AQ114" s="11" t="e">
        <f>LEFT('REPORTS PER EVALUATOR'!#REF!,1)</f>
        <v>#REF!</v>
      </c>
      <c r="AR114" s="93" t="e">
        <f>(RIGHT('REPORTS PER EVALUATOR'!#REF!,1))*1</f>
        <v>#REF!</v>
      </c>
    </row>
    <row r="115" spans="1:44" x14ac:dyDescent="0.2">
      <c r="A115" s="215"/>
      <c r="B115" s="19" t="str">
        <f t="shared" si="7"/>
        <v>A</v>
      </c>
      <c r="C115" s="18" t="str">
        <f t="shared" si="6"/>
        <v>E</v>
      </c>
      <c r="D115" s="18" t="s">
        <v>13</v>
      </c>
      <c r="E115" s="26" t="str">
        <f>LEFT('REPORTS PER EVALUATOR'!$AL$5,1)</f>
        <v>E</v>
      </c>
      <c r="F115" s="74">
        <f>(RIGHT('REPORTS PER EVALUATOR'!$AL$5,1))*1</f>
        <v>2</v>
      </c>
      <c r="G115" s="11" t="str">
        <f>LEFT('REPORTS PER EVALUATOR'!$AL$17,1)</f>
        <v>1</v>
      </c>
      <c r="H115" s="82">
        <f>(RIGHT('REPORTS PER EVALUATOR'!$AL$17,1))*1</f>
        <v>1</v>
      </c>
      <c r="I115" s="11" t="str">
        <f>LEFT('REPORTS PER EVALUATOR'!$AL$29,1)</f>
        <v>A</v>
      </c>
      <c r="J115" s="82">
        <f>(RIGHT('REPORTS PER EVALUATOR'!$AL$29,1))*1</f>
        <v>2</v>
      </c>
      <c r="K115" s="11" t="str">
        <f>LEFT('REPORTS PER EVALUATOR'!$AL$41,1)</f>
        <v>A</v>
      </c>
      <c r="L115" s="82">
        <f>(RIGHT('REPORTS PER EVALUATOR'!$AL$41,1))*1</f>
        <v>2</v>
      </c>
      <c r="M115" s="11" t="str">
        <f>LEFT('REPORTS PER EVALUATOR'!$AL$53,1)</f>
        <v>A</v>
      </c>
      <c r="N115" s="82">
        <f>(RIGHT('REPORTS PER EVALUATOR'!$AL$53,1))*1</f>
        <v>2</v>
      </c>
      <c r="O115" s="11" t="str">
        <f>LEFT('REPORTS PER EVALUATOR'!$AL$65,1)</f>
        <v>1</v>
      </c>
      <c r="P115" s="82">
        <f>(RIGHT('REPORTS PER EVALUATOR'!$AL$65,1))*1</f>
        <v>1</v>
      </c>
      <c r="Q115" s="11" t="str">
        <f>LEFT('REPORTS PER EVALUATOR'!$AL$77,1)</f>
        <v>A</v>
      </c>
      <c r="R115" s="82">
        <f>(RIGHT('REPORTS PER EVALUATOR'!$AL$77,1))*1</f>
        <v>2</v>
      </c>
      <c r="S115" s="11" t="str">
        <f>LEFT('REPORTS PER EVALUATOR'!$AL$89,1)</f>
        <v>A</v>
      </c>
      <c r="T115" s="82">
        <f>(RIGHT('REPORTS PER EVALUATOR'!$AL$89,1))*1</f>
        <v>2</v>
      </c>
      <c r="U115" s="11" t="str">
        <f>LEFT('REPORTS PER EVALUATOR'!$AL$101,1)</f>
        <v>1</v>
      </c>
      <c r="V115" s="82">
        <f>(RIGHT('REPORTS PER EVALUATOR'!$AL$101,1))*1</f>
        <v>1</v>
      </c>
      <c r="W115" s="11" t="str">
        <f>LEFT('REPORTS PER EVALUATOR'!$AL$113,1)</f>
        <v>A</v>
      </c>
      <c r="X115" s="82">
        <f>(RIGHT('REPORTS PER EVALUATOR'!$AL$113,1))*1</f>
        <v>2</v>
      </c>
      <c r="Y115" s="11" t="str">
        <f>LEFT('REPORTS PER EVALUATOR'!$AL$125,1)</f>
        <v>1</v>
      </c>
      <c r="Z115" s="93">
        <f>(RIGHT('REPORTS PER EVALUATOR'!$AL$125,1))*1</f>
        <v>1</v>
      </c>
      <c r="AA115" s="11" t="e">
        <f>LEFT('REPORTS PER EVALUATOR'!#REF!,1)</f>
        <v>#REF!</v>
      </c>
      <c r="AB115" s="93" t="e">
        <f>(RIGHT('REPORTS PER EVALUATOR'!#REF!,1))*1</f>
        <v>#REF!</v>
      </c>
      <c r="AC115" s="11" t="e">
        <f>LEFT('REPORTS PER EVALUATOR'!#REF!,1)</f>
        <v>#REF!</v>
      </c>
      <c r="AD115" s="93" t="e">
        <f>(RIGHT('REPORTS PER EVALUATOR'!#REF!,1))*1</f>
        <v>#REF!</v>
      </c>
      <c r="AE115" s="11" t="e">
        <f>LEFT('REPORTS PER EVALUATOR'!#REF!,1)</f>
        <v>#REF!</v>
      </c>
      <c r="AF115" s="93" t="e">
        <f>(RIGHT('REPORTS PER EVALUATOR'!#REF!,1))*1</f>
        <v>#REF!</v>
      </c>
      <c r="AG115" s="11" t="e">
        <f>LEFT('REPORTS PER EVALUATOR'!#REF!,1)</f>
        <v>#REF!</v>
      </c>
      <c r="AH115" s="93" t="e">
        <f>(RIGHT('REPORTS PER EVALUATOR'!#REF!,1))*1</f>
        <v>#REF!</v>
      </c>
      <c r="AI115" s="11" t="e">
        <f>LEFT('REPORTS PER EVALUATOR'!#REF!,1)</f>
        <v>#REF!</v>
      </c>
      <c r="AJ115" s="93" t="e">
        <f>(RIGHT('REPORTS PER EVALUATOR'!#REF!,1))*1</f>
        <v>#REF!</v>
      </c>
      <c r="AK115" s="11" t="e">
        <f>LEFT('REPORTS PER EVALUATOR'!#REF!,1)</f>
        <v>#REF!</v>
      </c>
      <c r="AL115" s="93" t="e">
        <f>(RIGHT('REPORTS PER EVALUATOR'!#REF!,1))*1</f>
        <v>#REF!</v>
      </c>
      <c r="AM115" s="11" t="e">
        <f>LEFT('REPORTS PER EVALUATOR'!#REF!,1)</f>
        <v>#REF!</v>
      </c>
      <c r="AN115" s="93" t="e">
        <f>(RIGHT('REPORTS PER EVALUATOR'!#REF!,1))*1</f>
        <v>#REF!</v>
      </c>
      <c r="AO115" s="11" t="e">
        <f>LEFT('REPORTS PER EVALUATOR'!#REF!,1)</f>
        <v>#REF!</v>
      </c>
      <c r="AP115" s="93" t="e">
        <f>(RIGHT('REPORTS PER EVALUATOR'!#REF!,1))*1</f>
        <v>#REF!</v>
      </c>
      <c r="AQ115" s="11" t="e">
        <f>LEFT('REPORTS PER EVALUATOR'!#REF!,1)</f>
        <v>#REF!</v>
      </c>
      <c r="AR115" s="93" t="e">
        <f>(RIGHT('REPORTS PER EVALUATOR'!#REF!,1))*1</f>
        <v>#REF!</v>
      </c>
    </row>
    <row r="116" spans="1:44" x14ac:dyDescent="0.2">
      <c r="A116" s="215"/>
      <c r="B116" s="19" t="str">
        <f t="shared" si="7"/>
        <v>A</v>
      </c>
      <c r="C116" s="18" t="str">
        <f t="shared" si="6"/>
        <v>F</v>
      </c>
      <c r="D116" s="18" t="s">
        <v>14</v>
      </c>
      <c r="E116" s="26" t="str">
        <f>LEFT('REPORTS PER EVALUATOR'!$AM$5,1)</f>
        <v>F</v>
      </c>
      <c r="F116" s="74">
        <f>(RIGHT('REPORTS PER EVALUATOR'!$AM$5,1))*1</f>
        <v>3</v>
      </c>
      <c r="G116" s="11" t="str">
        <f>LEFT('REPORTS PER EVALUATOR'!$AM$17,1)</f>
        <v>A</v>
      </c>
      <c r="H116" s="82">
        <f>(RIGHT('REPORTS PER EVALUATOR'!$AM$17,1))*1</f>
        <v>2</v>
      </c>
      <c r="I116" s="11" t="str">
        <f>LEFT('REPORTS PER EVALUATOR'!$AM$29,1)</f>
        <v>F</v>
      </c>
      <c r="J116" s="82">
        <f>(RIGHT('REPORTS PER EVALUATOR'!$AM$29,1))*1</f>
        <v>4</v>
      </c>
      <c r="K116" s="11" t="str">
        <f>LEFT('REPORTS PER EVALUATOR'!$AM$41,1)</f>
        <v>1</v>
      </c>
      <c r="L116" s="82">
        <f>(RIGHT('REPORTS PER EVALUATOR'!$AM$41,1))*1</f>
        <v>1</v>
      </c>
      <c r="M116" s="11" t="str">
        <f>LEFT('REPORTS PER EVALUATOR'!$AM$53,1)</f>
        <v>1</v>
      </c>
      <c r="N116" s="82">
        <f>(RIGHT('REPORTS PER EVALUATOR'!$AM$53,1))*1</f>
        <v>1</v>
      </c>
      <c r="O116" s="11" t="str">
        <f>LEFT('REPORTS PER EVALUATOR'!$AM$65,1)</f>
        <v>1</v>
      </c>
      <c r="P116" s="82">
        <f>(RIGHT('REPORTS PER EVALUATOR'!$AM$65,1))*1</f>
        <v>1</v>
      </c>
      <c r="Q116" s="11" t="str">
        <f>LEFT('REPORTS PER EVALUATOR'!$AM$77,1)</f>
        <v>A</v>
      </c>
      <c r="R116" s="82">
        <f>(RIGHT('REPORTS PER EVALUATOR'!$AM$77,1))*1</f>
        <v>2</v>
      </c>
      <c r="S116" s="11" t="str">
        <f>LEFT('REPORTS PER EVALUATOR'!$AM$89,1)</f>
        <v>A</v>
      </c>
      <c r="T116" s="82">
        <f>(RIGHT('REPORTS PER EVALUATOR'!$AM$89,1))*1</f>
        <v>3</v>
      </c>
      <c r="U116" s="11" t="str">
        <f>LEFT('REPORTS PER EVALUATOR'!$AM$101,1)</f>
        <v>A</v>
      </c>
      <c r="V116" s="82">
        <f>(RIGHT('REPORTS PER EVALUATOR'!$AM$101,1))*1</f>
        <v>2</v>
      </c>
      <c r="W116" s="11" t="str">
        <f>LEFT('REPORTS PER EVALUATOR'!$AM$113,1)</f>
        <v>1</v>
      </c>
      <c r="X116" s="82">
        <f>(RIGHT('REPORTS PER EVALUATOR'!$AM$113,1))*1</f>
        <v>1</v>
      </c>
      <c r="Y116" s="11" t="str">
        <f>LEFT('REPORTS PER EVALUATOR'!$AM$125,1)</f>
        <v>A</v>
      </c>
      <c r="Z116" s="93">
        <f>(RIGHT('REPORTS PER EVALUATOR'!$AM$125,1))*1</f>
        <v>2</v>
      </c>
      <c r="AA116" s="11" t="e">
        <f>LEFT('REPORTS PER EVALUATOR'!#REF!,1)</f>
        <v>#REF!</v>
      </c>
      <c r="AB116" s="93" t="e">
        <f>(RIGHT('REPORTS PER EVALUATOR'!#REF!,1))*1</f>
        <v>#REF!</v>
      </c>
      <c r="AC116" s="11" t="e">
        <f>LEFT('REPORTS PER EVALUATOR'!#REF!,1)</f>
        <v>#REF!</v>
      </c>
      <c r="AD116" s="93" t="e">
        <f>(RIGHT('REPORTS PER EVALUATOR'!#REF!,1))*1</f>
        <v>#REF!</v>
      </c>
      <c r="AE116" s="11" t="e">
        <f>LEFT('REPORTS PER EVALUATOR'!#REF!,1)</f>
        <v>#REF!</v>
      </c>
      <c r="AF116" s="93" t="e">
        <f>(RIGHT('REPORTS PER EVALUATOR'!#REF!,1))*1</f>
        <v>#REF!</v>
      </c>
      <c r="AG116" s="11" t="e">
        <f>LEFT('REPORTS PER EVALUATOR'!#REF!,1)</f>
        <v>#REF!</v>
      </c>
      <c r="AH116" s="93" t="e">
        <f>(RIGHT('REPORTS PER EVALUATOR'!#REF!,1))*1</f>
        <v>#REF!</v>
      </c>
      <c r="AI116" s="11" t="e">
        <f>LEFT('REPORTS PER EVALUATOR'!#REF!,1)</f>
        <v>#REF!</v>
      </c>
      <c r="AJ116" s="93" t="e">
        <f>(RIGHT('REPORTS PER EVALUATOR'!#REF!,1))*1</f>
        <v>#REF!</v>
      </c>
      <c r="AK116" s="11" t="e">
        <f>LEFT('REPORTS PER EVALUATOR'!#REF!,1)</f>
        <v>#REF!</v>
      </c>
      <c r="AL116" s="93" t="e">
        <f>(RIGHT('REPORTS PER EVALUATOR'!#REF!,1))*1</f>
        <v>#REF!</v>
      </c>
      <c r="AM116" s="11" t="e">
        <f>LEFT('REPORTS PER EVALUATOR'!#REF!,1)</f>
        <v>#REF!</v>
      </c>
      <c r="AN116" s="93" t="e">
        <f>(RIGHT('REPORTS PER EVALUATOR'!#REF!,1))*1</f>
        <v>#REF!</v>
      </c>
      <c r="AO116" s="11" t="e">
        <f>LEFT('REPORTS PER EVALUATOR'!#REF!,1)</f>
        <v>#REF!</v>
      </c>
      <c r="AP116" s="93" t="e">
        <f>(RIGHT('REPORTS PER EVALUATOR'!#REF!,1))*1</f>
        <v>#REF!</v>
      </c>
      <c r="AQ116" s="11" t="e">
        <f>LEFT('REPORTS PER EVALUATOR'!#REF!,1)</f>
        <v>#REF!</v>
      </c>
      <c r="AR116" s="93" t="e">
        <f>(RIGHT('REPORTS PER EVALUATOR'!#REF!,1))*1</f>
        <v>#REF!</v>
      </c>
    </row>
    <row r="117" spans="1:44" x14ac:dyDescent="0.2">
      <c r="A117" s="215"/>
      <c r="B117" s="19" t="str">
        <f t="shared" si="7"/>
        <v>A</v>
      </c>
      <c r="C117" s="18" t="str">
        <f t="shared" si="6"/>
        <v>G</v>
      </c>
      <c r="D117" s="18" t="s">
        <v>15</v>
      </c>
      <c r="E117" s="26" t="str">
        <f>LEFT('REPORTS PER EVALUATOR'!$AN$5,1)</f>
        <v>A</v>
      </c>
      <c r="F117" s="74">
        <f>(RIGHT('REPORTS PER EVALUATOR'!$AN$5,1))*1</f>
        <v>5</v>
      </c>
      <c r="G117" s="11" t="str">
        <f>LEFT('REPORTS PER EVALUATOR'!$AN$17,1)</f>
        <v>A</v>
      </c>
      <c r="H117" s="82">
        <f>(RIGHT('REPORTS PER EVALUATOR'!$AN$17,1))*1</f>
        <v>4</v>
      </c>
      <c r="I117" s="11" t="str">
        <f>LEFT('REPORTS PER EVALUATOR'!$AN$29,1)</f>
        <v>A</v>
      </c>
      <c r="J117" s="82">
        <f>(RIGHT('REPORTS PER EVALUATOR'!$AN$29,1))*1</f>
        <v>2</v>
      </c>
      <c r="K117" s="11" t="str">
        <f>LEFT('REPORTS PER EVALUATOR'!$AN$41,1)</f>
        <v>1</v>
      </c>
      <c r="L117" s="82">
        <f>(RIGHT('REPORTS PER EVALUATOR'!$AN$41,1))*1</f>
        <v>1</v>
      </c>
      <c r="M117" s="11" t="str">
        <f>LEFT('REPORTS PER EVALUATOR'!$AN$53,1)</f>
        <v>A</v>
      </c>
      <c r="N117" s="82">
        <f>(RIGHT('REPORTS PER EVALUATOR'!$AN$53,1))*1</f>
        <v>3</v>
      </c>
      <c r="O117" s="11" t="str">
        <f>LEFT('REPORTS PER EVALUATOR'!$AN$65,1)</f>
        <v>A</v>
      </c>
      <c r="P117" s="82">
        <f>(RIGHT('REPORTS PER EVALUATOR'!$AN$65,1))*1</f>
        <v>5</v>
      </c>
      <c r="Q117" s="11" t="str">
        <f>LEFT('REPORTS PER EVALUATOR'!$AN$77,1)</f>
        <v>A</v>
      </c>
      <c r="R117" s="82">
        <f>(RIGHT('REPORTS PER EVALUATOR'!$AN$77,1))*1</f>
        <v>6</v>
      </c>
      <c r="S117" s="11" t="str">
        <f>LEFT('REPORTS PER EVALUATOR'!$AN$89,1)</f>
        <v>A</v>
      </c>
      <c r="T117" s="82">
        <f>(RIGHT('REPORTS PER EVALUATOR'!$AN$89,1))*1</f>
        <v>6</v>
      </c>
      <c r="U117" s="11" t="str">
        <f>LEFT('REPORTS PER EVALUATOR'!$AN$101,1)</f>
        <v>A</v>
      </c>
      <c r="V117" s="82">
        <f>(RIGHT('REPORTS PER EVALUATOR'!$AN$101,1))*1</f>
        <v>4</v>
      </c>
      <c r="W117" s="11" t="str">
        <f>LEFT('REPORTS PER EVALUATOR'!$AN$113,1)</f>
        <v>1</v>
      </c>
      <c r="X117" s="82">
        <f>(RIGHT('REPORTS PER EVALUATOR'!$AN$113,1))*1</f>
        <v>1</v>
      </c>
      <c r="Y117" s="11" t="str">
        <f>LEFT('REPORTS PER EVALUATOR'!$AN$125,1)</f>
        <v>A</v>
      </c>
      <c r="Z117" s="93">
        <f>(RIGHT('REPORTS PER EVALUATOR'!$AN$125,1))*1</f>
        <v>4</v>
      </c>
      <c r="AA117" s="11" t="e">
        <f>LEFT('REPORTS PER EVALUATOR'!#REF!,1)</f>
        <v>#REF!</v>
      </c>
      <c r="AB117" s="93" t="e">
        <f>(RIGHT('REPORTS PER EVALUATOR'!#REF!,1))*1</f>
        <v>#REF!</v>
      </c>
      <c r="AC117" s="11" t="e">
        <f>LEFT('REPORTS PER EVALUATOR'!#REF!,1)</f>
        <v>#REF!</v>
      </c>
      <c r="AD117" s="93" t="e">
        <f>(RIGHT('REPORTS PER EVALUATOR'!#REF!,1))*1</f>
        <v>#REF!</v>
      </c>
      <c r="AE117" s="11" t="e">
        <f>LEFT('REPORTS PER EVALUATOR'!#REF!,1)</f>
        <v>#REF!</v>
      </c>
      <c r="AF117" s="93" t="e">
        <f>(RIGHT('REPORTS PER EVALUATOR'!#REF!,1))*1</f>
        <v>#REF!</v>
      </c>
      <c r="AG117" s="11" t="e">
        <f>LEFT('REPORTS PER EVALUATOR'!#REF!,1)</f>
        <v>#REF!</v>
      </c>
      <c r="AH117" s="93" t="e">
        <f>(RIGHT('REPORTS PER EVALUATOR'!#REF!,1))*1</f>
        <v>#REF!</v>
      </c>
      <c r="AI117" s="11" t="e">
        <f>LEFT('REPORTS PER EVALUATOR'!#REF!,1)</f>
        <v>#REF!</v>
      </c>
      <c r="AJ117" s="93" t="e">
        <f>(RIGHT('REPORTS PER EVALUATOR'!#REF!,1))*1</f>
        <v>#REF!</v>
      </c>
      <c r="AK117" s="11" t="e">
        <f>LEFT('REPORTS PER EVALUATOR'!#REF!,1)</f>
        <v>#REF!</v>
      </c>
      <c r="AL117" s="93" t="e">
        <f>(RIGHT('REPORTS PER EVALUATOR'!#REF!,1))*1</f>
        <v>#REF!</v>
      </c>
      <c r="AM117" s="11" t="e">
        <f>LEFT('REPORTS PER EVALUATOR'!#REF!,1)</f>
        <v>#REF!</v>
      </c>
      <c r="AN117" s="93" t="e">
        <f>(RIGHT('REPORTS PER EVALUATOR'!#REF!,1))*1</f>
        <v>#REF!</v>
      </c>
      <c r="AO117" s="11" t="e">
        <f>LEFT('REPORTS PER EVALUATOR'!#REF!,1)</f>
        <v>#REF!</v>
      </c>
      <c r="AP117" s="93" t="e">
        <f>(RIGHT('REPORTS PER EVALUATOR'!#REF!,1))*1</f>
        <v>#REF!</v>
      </c>
      <c r="AQ117" s="11" t="e">
        <f>LEFT('REPORTS PER EVALUATOR'!#REF!,1)</f>
        <v>#REF!</v>
      </c>
      <c r="AR117" s="93" t="e">
        <f>(RIGHT('REPORTS PER EVALUATOR'!#REF!,1))*1</f>
        <v>#REF!</v>
      </c>
    </row>
    <row r="118" spans="1:44" x14ac:dyDescent="0.2">
      <c r="A118" s="215"/>
      <c r="B118" s="19" t="str">
        <f t="shared" si="7"/>
        <v>A</v>
      </c>
      <c r="C118" s="18" t="str">
        <f t="shared" si="6"/>
        <v>H</v>
      </c>
      <c r="D118" s="18" t="s">
        <v>16</v>
      </c>
      <c r="E118" s="26" t="str">
        <f>LEFT('REPORTS PER EVALUATOR'!$AO$5,1)</f>
        <v>H</v>
      </c>
      <c r="F118" s="74">
        <f>(RIGHT('REPORTS PER EVALUATOR'!$AO$5,1))*1</f>
        <v>2</v>
      </c>
      <c r="G118" s="11" t="str">
        <f>LEFT('REPORTS PER EVALUATOR'!$AO$17,1)</f>
        <v>A</v>
      </c>
      <c r="H118" s="82">
        <f>(RIGHT('REPORTS PER EVALUATOR'!$AO$17,1))*1</f>
        <v>3</v>
      </c>
      <c r="I118" s="11" t="str">
        <f>LEFT('REPORTS PER EVALUATOR'!$AO$29,1)</f>
        <v>A</v>
      </c>
      <c r="J118" s="82">
        <f>(RIGHT('REPORTS PER EVALUATOR'!$AO$29,1))*1</f>
        <v>2</v>
      </c>
      <c r="K118" s="11" t="str">
        <f>LEFT('REPORTS PER EVALUATOR'!$AO$41,1)</f>
        <v>A</v>
      </c>
      <c r="L118" s="82">
        <f>(RIGHT('REPORTS PER EVALUATOR'!$AO$41,1))*1</f>
        <v>4</v>
      </c>
      <c r="M118" s="11" t="str">
        <f>LEFT('REPORTS PER EVALUATOR'!$AO$53,1)</f>
        <v>A</v>
      </c>
      <c r="N118" s="82">
        <f>(RIGHT('REPORTS PER EVALUATOR'!$AO$53,1))*1</f>
        <v>2</v>
      </c>
      <c r="O118" s="11" t="str">
        <f>LEFT('REPORTS PER EVALUATOR'!$AO$65,1)</f>
        <v>A</v>
      </c>
      <c r="P118" s="82">
        <f>(RIGHT('REPORTS PER EVALUATOR'!$AO$65,1))*1</f>
        <v>3</v>
      </c>
      <c r="Q118" s="11" t="str">
        <f>LEFT('REPORTS PER EVALUATOR'!$AO$77,1)</f>
        <v>A</v>
      </c>
      <c r="R118" s="82">
        <f>(RIGHT('REPORTS PER EVALUATOR'!$AO$77,1))*1</f>
        <v>4</v>
      </c>
      <c r="S118" s="11" t="str">
        <f>LEFT('REPORTS PER EVALUATOR'!$AO$89,1)</f>
        <v>1</v>
      </c>
      <c r="T118" s="82">
        <f>(RIGHT('REPORTS PER EVALUATOR'!$AO$89,1))*1</f>
        <v>1</v>
      </c>
      <c r="U118" s="11" t="str">
        <f>LEFT('REPORTS PER EVALUATOR'!$AO$101,1)</f>
        <v>1</v>
      </c>
      <c r="V118" s="82">
        <f>(RIGHT('REPORTS PER EVALUATOR'!$AO$101,1))*1</f>
        <v>1</v>
      </c>
      <c r="W118" s="11" t="str">
        <f>LEFT('REPORTS PER EVALUATOR'!$AO$113,1)</f>
        <v>H</v>
      </c>
      <c r="X118" s="82">
        <f>(RIGHT('REPORTS PER EVALUATOR'!$AO$113,1))*1</f>
        <v>2</v>
      </c>
      <c r="Y118" s="11" t="str">
        <f>LEFT('REPORTS PER EVALUATOR'!$AO$125,1)</f>
        <v>A</v>
      </c>
      <c r="Z118" s="93">
        <f>(RIGHT('REPORTS PER EVALUATOR'!$AO$125,1))*1</f>
        <v>2</v>
      </c>
      <c r="AA118" s="11" t="e">
        <f>LEFT('REPORTS PER EVALUATOR'!#REF!,1)</f>
        <v>#REF!</v>
      </c>
      <c r="AB118" s="93" t="e">
        <f>(RIGHT('REPORTS PER EVALUATOR'!#REF!,1))*1</f>
        <v>#REF!</v>
      </c>
      <c r="AC118" s="11" t="e">
        <f>LEFT('REPORTS PER EVALUATOR'!#REF!,1)</f>
        <v>#REF!</v>
      </c>
      <c r="AD118" s="93" t="e">
        <f>(RIGHT('REPORTS PER EVALUATOR'!#REF!,1))*1</f>
        <v>#REF!</v>
      </c>
      <c r="AE118" s="11" t="e">
        <f>LEFT('REPORTS PER EVALUATOR'!#REF!,1)</f>
        <v>#REF!</v>
      </c>
      <c r="AF118" s="93" t="e">
        <f>(RIGHT('REPORTS PER EVALUATOR'!#REF!,1))*1</f>
        <v>#REF!</v>
      </c>
      <c r="AG118" s="11" t="e">
        <f>LEFT('REPORTS PER EVALUATOR'!#REF!,1)</f>
        <v>#REF!</v>
      </c>
      <c r="AH118" s="93" t="e">
        <f>(RIGHT('REPORTS PER EVALUATOR'!#REF!,1))*1</f>
        <v>#REF!</v>
      </c>
      <c r="AI118" s="11" t="e">
        <f>LEFT('REPORTS PER EVALUATOR'!#REF!,1)</f>
        <v>#REF!</v>
      </c>
      <c r="AJ118" s="93" t="e">
        <f>(RIGHT('REPORTS PER EVALUATOR'!#REF!,1))*1</f>
        <v>#REF!</v>
      </c>
      <c r="AK118" s="11" t="e">
        <f>LEFT('REPORTS PER EVALUATOR'!#REF!,1)</f>
        <v>#REF!</v>
      </c>
      <c r="AL118" s="93" t="e">
        <f>(RIGHT('REPORTS PER EVALUATOR'!#REF!,1))*1</f>
        <v>#REF!</v>
      </c>
      <c r="AM118" s="11" t="e">
        <f>LEFT('REPORTS PER EVALUATOR'!#REF!,1)</f>
        <v>#REF!</v>
      </c>
      <c r="AN118" s="93" t="e">
        <f>(RIGHT('REPORTS PER EVALUATOR'!#REF!,1))*1</f>
        <v>#REF!</v>
      </c>
      <c r="AO118" s="11" t="e">
        <f>LEFT('REPORTS PER EVALUATOR'!#REF!,1)</f>
        <v>#REF!</v>
      </c>
      <c r="AP118" s="93" t="e">
        <f>(RIGHT('REPORTS PER EVALUATOR'!#REF!,1))*1</f>
        <v>#REF!</v>
      </c>
      <c r="AQ118" s="11" t="e">
        <f>LEFT('REPORTS PER EVALUATOR'!#REF!,1)</f>
        <v>#REF!</v>
      </c>
      <c r="AR118" s="93" t="e">
        <f>(RIGHT('REPORTS PER EVALUATOR'!#REF!,1))*1</f>
        <v>#REF!</v>
      </c>
    </row>
    <row r="119" spans="1:44" x14ac:dyDescent="0.2">
      <c r="A119" s="215"/>
      <c r="B119" s="19" t="str">
        <f t="shared" si="7"/>
        <v>A</v>
      </c>
      <c r="C119" s="18" t="str">
        <f t="shared" si="6"/>
        <v>I</v>
      </c>
      <c r="D119" s="18" t="s">
        <v>17</v>
      </c>
      <c r="E119" s="26" t="str">
        <f>LEFT('REPORTS PER EVALUATOR'!$AP$5,1)</f>
        <v>I</v>
      </c>
      <c r="F119" s="74">
        <f>(RIGHT('REPORTS PER EVALUATOR'!$AP$5,1))*1</f>
        <v>2</v>
      </c>
      <c r="G119" s="11" t="str">
        <f>LEFT('REPORTS PER EVALUATOR'!$AP$17,1)</f>
        <v>A</v>
      </c>
      <c r="H119" s="82">
        <f>(RIGHT('REPORTS PER EVALUATOR'!$AP$17,1))*1</f>
        <v>5</v>
      </c>
      <c r="I119" s="11" t="str">
        <f>LEFT('REPORTS PER EVALUATOR'!$AP$29,1)</f>
        <v>I</v>
      </c>
      <c r="J119" s="82">
        <f>(RIGHT('REPORTS PER EVALUATOR'!$AP$29,1))*1</f>
        <v>3</v>
      </c>
      <c r="K119" s="11" t="str">
        <f>LEFT('REPORTS PER EVALUATOR'!$AP$41,1)</f>
        <v>1</v>
      </c>
      <c r="L119" s="82">
        <f>(RIGHT('REPORTS PER EVALUATOR'!$AP$41,1))*1</f>
        <v>1</v>
      </c>
      <c r="M119" s="11" t="str">
        <f>LEFT('REPORTS PER EVALUATOR'!$AP$53,1)</f>
        <v>A</v>
      </c>
      <c r="N119" s="82">
        <f>(RIGHT('REPORTS PER EVALUATOR'!$AP$53,1))*1</f>
        <v>3</v>
      </c>
      <c r="O119" s="11" t="str">
        <f>LEFT('REPORTS PER EVALUATOR'!$AP$65,1)</f>
        <v>A</v>
      </c>
      <c r="P119" s="82">
        <f>(RIGHT('REPORTS PER EVALUATOR'!$AP$65,1))*1</f>
        <v>3</v>
      </c>
      <c r="Q119" s="11" t="str">
        <f>LEFT('REPORTS PER EVALUATOR'!$AP$77,1)</f>
        <v>A</v>
      </c>
      <c r="R119" s="82">
        <f>(RIGHT('REPORTS PER EVALUATOR'!$AP$77,1))*1</f>
        <v>5</v>
      </c>
      <c r="S119" s="11" t="str">
        <f>LEFT('REPORTS PER EVALUATOR'!$AP$89,1)</f>
        <v>A</v>
      </c>
      <c r="T119" s="82">
        <f>(RIGHT('REPORTS PER EVALUATOR'!$AP$89,1))*1</f>
        <v>3</v>
      </c>
      <c r="U119" s="11" t="str">
        <f>LEFT('REPORTS PER EVALUATOR'!$AP$101,1)</f>
        <v>A</v>
      </c>
      <c r="V119" s="82">
        <f>(RIGHT('REPORTS PER EVALUATOR'!$AP$101,1))*1</f>
        <v>3</v>
      </c>
      <c r="W119" s="11" t="str">
        <f>LEFT('REPORTS PER EVALUATOR'!$AP$113,1)</f>
        <v>I</v>
      </c>
      <c r="X119" s="82">
        <f>(RIGHT('REPORTS PER EVALUATOR'!$AP$113,1))*1</f>
        <v>2</v>
      </c>
      <c r="Y119" s="11" t="str">
        <f>LEFT('REPORTS PER EVALUATOR'!$AP$125,1)</f>
        <v>A</v>
      </c>
      <c r="Z119" s="93">
        <f>(RIGHT('REPORTS PER EVALUATOR'!$AP$125,1))*1</f>
        <v>2</v>
      </c>
      <c r="AA119" s="11" t="e">
        <f>LEFT('REPORTS PER EVALUATOR'!#REF!,1)</f>
        <v>#REF!</v>
      </c>
      <c r="AB119" s="93" t="e">
        <f>(RIGHT('REPORTS PER EVALUATOR'!#REF!,1))*1</f>
        <v>#REF!</v>
      </c>
      <c r="AC119" s="11" t="e">
        <f>LEFT('REPORTS PER EVALUATOR'!#REF!,1)</f>
        <v>#REF!</v>
      </c>
      <c r="AD119" s="93" t="e">
        <f>(RIGHT('REPORTS PER EVALUATOR'!#REF!,1))*1</f>
        <v>#REF!</v>
      </c>
      <c r="AE119" s="11" t="e">
        <f>LEFT('REPORTS PER EVALUATOR'!#REF!,1)</f>
        <v>#REF!</v>
      </c>
      <c r="AF119" s="93" t="e">
        <f>(RIGHT('REPORTS PER EVALUATOR'!#REF!,1))*1</f>
        <v>#REF!</v>
      </c>
      <c r="AG119" s="11" t="e">
        <f>LEFT('REPORTS PER EVALUATOR'!#REF!,1)</f>
        <v>#REF!</v>
      </c>
      <c r="AH119" s="93" t="e">
        <f>(RIGHT('REPORTS PER EVALUATOR'!#REF!,1))*1</f>
        <v>#REF!</v>
      </c>
      <c r="AI119" s="11" t="e">
        <f>LEFT('REPORTS PER EVALUATOR'!#REF!,1)</f>
        <v>#REF!</v>
      </c>
      <c r="AJ119" s="93" t="e">
        <f>(RIGHT('REPORTS PER EVALUATOR'!#REF!,1))*1</f>
        <v>#REF!</v>
      </c>
      <c r="AK119" s="11" t="e">
        <f>LEFT('REPORTS PER EVALUATOR'!#REF!,1)</f>
        <v>#REF!</v>
      </c>
      <c r="AL119" s="93" t="e">
        <f>(RIGHT('REPORTS PER EVALUATOR'!#REF!,1))*1</f>
        <v>#REF!</v>
      </c>
      <c r="AM119" s="11" t="e">
        <f>LEFT('REPORTS PER EVALUATOR'!#REF!,1)</f>
        <v>#REF!</v>
      </c>
      <c r="AN119" s="93" t="e">
        <f>(RIGHT('REPORTS PER EVALUATOR'!#REF!,1))*1</f>
        <v>#REF!</v>
      </c>
      <c r="AO119" s="11" t="e">
        <f>LEFT('REPORTS PER EVALUATOR'!#REF!,1)</f>
        <v>#REF!</v>
      </c>
      <c r="AP119" s="93" t="e">
        <f>(RIGHT('REPORTS PER EVALUATOR'!#REF!,1))*1</f>
        <v>#REF!</v>
      </c>
      <c r="AQ119" s="11" t="e">
        <f>LEFT('REPORTS PER EVALUATOR'!#REF!,1)</f>
        <v>#REF!</v>
      </c>
      <c r="AR119" s="93" t="e">
        <f>(RIGHT('REPORTS PER EVALUATOR'!#REF!,1))*1</f>
        <v>#REF!</v>
      </c>
    </row>
    <row r="120" spans="1:44" x14ac:dyDescent="0.2">
      <c r="A120" s="215"/>
      <c r="B120" s="19" t="str">
        <f t="shared" si="7"/>
        <v>A</v>
      </c>
      <c r="C120" s="18" t="str">
        <f t="shared" si="6"/>
        <v>L</v>
      </c>
      <c r="D120" s="18" t="s">
        <v>18</v>
      </c>
      <c r="E120" s="26" t="str">
        <f>LEFT('REPORTS PER EVALUATOR'!$AQ$5,1)</f>
        <v>A</v>
      </c>
      <c r="F120" s="74">
        <f>(RIGHT('REPORTS PER EVALUATOR'!$AQ$5,1))*1</f>
        <v>3</v>
      </c>
      <c r="G120" s="11" t="str">
        <f>LEFT('REPORTS PER EVALUATOR'!$AQ$17,1)</f>
        <v>A</v>
      </c>
      <c r="H120" s="82">
        <f>(RIGHT('REPORTS PER EVALUATOR'!$AQ$17,1))*1</f>
        <v>5</v>
      </c>
      <c r="I120" s="11" t="str">
        <f>LEFT('REPORTS PER EVALUATOR'!$AQ$29,1)</f>
        <v>A</v>
      </c>
      <c r="J120" s="82">
        <f>(RIGHT('REPORTS PER EVALUATOR'!$AQ$29,1))*1</f>
        <v>2</v>
      </c>
      <c r="K120" s="11" t="str">
        <f>LEFT('REPORTS PER EVALUATOR'!$AQ$41,1)</f>
        <v>A</v>
      </c>
      <c r="L120" s="82">
        <f>(RIGHT('REPORTS PER EVALUATOR'!$AQ$41,1))*1</f>
        <v>5</v>
      </c>
      <c r="M120" s="11" t="str">
        <f>LEFT('REPORTS PER EVALUATOR'!$AQ$53,1)</f>
        <v>A</v>
      </c>
      <c r="N120" s="82">
        <f>(RIGHT('REPORTS PER EVALUATOR'!$AQ$53,1))*1</f>
        <v>3</v>
      </c>
      <c r="O120" s="11" t="str">
        <f>LEFT('REPORTS PER EVALUATOR'!$AQ$65,1)</f>
        <v>A</v>
      </c>
      <c r="P120" s="82">
        <f>(RIGHT('REPORTS PER EVALUATOR'!$AQ$65,1))*1</f>
        <v>3</v>
      </c>
      <c r="Q120" s="11" t="str">
        <f>LEFT('REPORTS PER EVALUATOR'!$AQ$77,1)</f>
        <v>A</v>
      </c>
      <c r="R120" s="82">
        <f>(RIGHT('REPORTS PER EVALUATOR'!$AQ$77,1))*1</f>
        <v>5</v>
      </c>
      <c r="S120" s="11" t="str">
        <f>LEFT('REPORTS PER EVALUATOR'!$AQ$89,1)</f>
        <v>1</v>
      </c>
      <c r="T120" s="82">
        <f>(RIGHT('REPORTS PER EVALUATOR'!$AQ$89,1))*1</f>
        <v>1</v>
      </c>
      <c r="U120" s="11" t="str">
        <f>LEFT('REPORTS PER EVALUATOR'!$AQ$101,1)</f>
        <v>1</v>
      </c>
      <c r="V120" s="82">
        <f>(RIGHT('REPORTS PER EVALUATOR'!$AQ$101,1))*1</f>
        <v>1</v>
      </c>
      <c r="W120" s="11" t="str">
        <f>LEFT('REPORTS PER EVALUATOR'!$AQ$113,1)</f>
        <v>1</v>
      </c>
      <c r="X120" s="82">
        <f>(RIGHT('REPORTS PER EVALUATOR'!$AQ$113,1))*1</f>
        <v>1</v>
      </c>
      <c r="Y120" s="11" t="str">
        <f>LEFT('REPORTS PER EVALUATOR'!$AQ$125,1)</f>
        <v>A</v>
      </c>
      <c r="Z120" s="93">
        <f>(RIGHT('REPORTS PER EVALUATOR'!$AQ$125,1))*1</f>
        <v>3</v>
      </c>
      <c r="AA120" s="11" t="e">
        <f>LEFT('REPORTS PER EVALUATOR'!#REF!,1)</f>
        <v>#REF!</v>
      </c>
      <c r="AB120" s="93" t="e">
        <f>(RIGHT('REPORTS PER EVALUATOR'!#REF!,1))*1</f>
        <v>#REF!</v>
      </c>
      <c r="AC120" s="11" t="e">
        <f>LEFT('REPORTS PER EVALUATOR'!#REF!,1)</f>
        <v>#REF!</v>
      </c>
      <c r="AD120" s="93" t="e">
        <f>(RIGHT('REPORTS PER EVALUATOR'!#REF!,1))*1</f>
        <v>#REF!</v>
      </c>
      <c r="AE120" s="11" t="e">
        <f>LEFT('REPORTS PER EVALUATOR'!#REF!,1)</f>
        <v>#REF!</v>
      </c>
      <c r="AF120" s="93" t="e">
        <f>(RIGHT('REPORTS PER EVALUATOR'!#REF!,1))*1</f>
        <v>#REF!</v>
      </c>
      <c r="AG120" s="11" t="e">
        <f>LEFT('REPORTS PER EVALUATOR'!#REF!,1)</f>
        <v>#REF!</v>
      </c>
      <c r="AH120" s="93" t="e">
        <f>(RIGHT('REPORTS PER EVALUATOR'!#REF!,1))*1</f>
        <v>#REF!</v>
      </c>
      <c r="AI120" s="11" t="e">
        <f>LEFT('REPORTS PER EVALUATOR'!#REF!,1)</f>
        <v>#REF!</v>
      </c>
      <c r="AJ120" s="93" t="e">
        <f>(RIGHT('REPORTS PER EVALUATOR'!#REF!,1))*1</f>
        <v>#REF!</v>
      </c>
      <c r="AK120" s="11" t="e">
        <f>LEFT('REPORTS PER EVALUATOR'!#REF!,1)</f>
        <v>#REF!</v>
      </c>
      <c r="AL120" s="93" t="e">
        <f>(RIGHT('REPORTS PER EVALUATOR'!#REF!,1))*1</f>
        <v>#REF!</v>
      </c>
      <c r="AM120" s="11" t="e">
        <f>LEFT('REPORTS PER EVALUATOR'!#REF!,1)</f>
        <v>#REF!</v>
      </c>
      <c r="AN120" s="93" t="e">
        <f>(RIGHT('REPORTS PER EVALUATOR'!#REF!,1))*1</f>
        <v>#REF!</v>
      </c>
      <c r="AO120" s="11" t="e">
        <f>LEFT('REPORTS PER EVALUATOR'!#REF!,1)</f>
        <v>#REF!</v>
      </c>
      <c r="AP120" s="93" t="e">
        <f>(RIGHT('REPORTS PER EVALUATOR'!#REF!,1))*1</f>
        <v>#REF!</v>
      </c>
      <c r="AQ120" s="11" t="e">
        <f>LEFT('REPORTS PER EVALUATOR'!#REF!,1)</f>
        <v>#REF!</v>
      </c>
      <c r="AR120" s="93" t="e">
        <f>(RIGHT('REPORTS PER EVALUATOR'!#REF!,1))*1</f>
        <v>#REF!</v>
      </c>
    </row>
    <row r="121" spans="1:44" x14ac:dyDescent="0.2">
      <c r="A121" s="215"/>
      <c r="B121" s="19" t="str">
        <f t="shared" si="7"/>
        <v>A</v>
      </c>
      <c r="C121" s="18" t="str">
        <f t="shared" si="6"/>
        <v>M</v>
      </c>
      <c r="D121" s="18" t="s">
        <v>157</v>
      </c>
      <c r="E121" s="26" t="str">
        <f>LEFT('REPORTS PER EVALUATOR'!$AR$5,1)</f>
        <v/>
      </c>
      <c r="F121" s="74" t="e">
        <f>(RIGHT('REPORTS PER EVALUATOR'!$AR$5,1))*1</f>
        <v>#VALUE!</v>
      </c>
      <c r="G121" s="11" t="str">
        <f>LEFT('REPORTS PER EVALUATOR'!$AR$17,1)</f>
        <v/>
      </c>
      <c r="H121" s="82" t="e">
        <f>(RIGHT('REPORTS PER EVALUATOR'!$AR$17,1))*1</f>
        <v>#VALUE!</v>
      </c>
      <c r="I121" s="11" t="str">
        <f>LEFT('REPORTS PER EVALUATOR'!$AR$29,1)</f>
        <v/>
      </c>
      <c r="J121" s="82" t="e">
        <f>(RIGHT('REPORTS PER EVALUATOR'!$AR$29,1))*1</f>
        <v>#VALUE!</v>
      </c>
      <c r="K121" s="11" t="str">
        <f>LEFT('REPORTS PER EVALUATOR'!$AR$41,1)</f>
        <v/>
      </c>
      <c r="L121" s="82" t="e">
        <f>(RIGHT('REPORTS PER EVALUATOR'!$AR$41,1))*1</f>
        <v>#VALUE!</v>
      </c>
      <c r="M121" s="11" t="str">
        <f>LEFT('REPORTS PER EVALUATOR'!$AR$53,1)</f>
        <v/>
      </c>
      <c r="N121" s="82" t="e">
        <f>(RIGHT('REPORTS PER EVALUATOR'!$AR$53,1))*1</f>
        <v>#VALUE!</v>
      </c>
      <c r="O121" s="11" t="str">
        <f>LEFT('REPORTS PER EVALUATOR'!$AR$65,1)</f>
        <v/>
      </c>
      <c r="P121" s="82" t="e">
        <f>(RIGHT('REPORTS PER EVALUATOR'!$AR$65,1))*1</f>
        <v>#VALUE!</v>
      </c>
      <c r="Q121" s="11" t="str">
        <f>LEFT('REPORTS PER EVALUATOR'!$AR$77,1)</f>
        <v/>
      </c>
      <c r="R121" s="82" t="e">
        <f>(RIGHT('REPORTS PER EVALUATOR'!$AR$77,1))*1</f>
        <v>#VALUE!</v>
      </c>
      <c r="S121" s="11" t="str">
        <f>LEFT('REPORTS PER EVALUATOR'!$AR$89,1)</f>
        <v/>
      </c>
      <c r="T121" s="82" t="e">
        <f>(RIGHT('REPORTS PER EVALUATOR'!$AR$89,1))*1</f>
        <v>#VALUE!</v>
      </c>
      <c r="U121" s="11" t="str">
        <f>LEFT('REPORTS PER EVALUATOR'!$AR$101,1)</f>
        <v/>
      </c>
      <c r="V121" s="82" t="e">
        <f>(RIGHT('REPORTS PER EVALUATOR'!$AR$101,1))*1</f>
        <v>#VALUE!</v>
      </c>
      <c r="W121" s="11" t="str">
        <f>LEFT('REPORTS PER EVALUATOR'!$AR$113,1)</f>
        <v/>
      </c>
      <c r="X121" s="82" t="e">
        <f>(RIGHT('REPORTS PER EVALUATOR'!$AR$113,1))*1</f>
        <v>#VALUE!</v>
      </c>
      <c r="Y121" s="11" t="str">
        <f>LEFT('REPORTS PER EVALUATOR'!$AR$125,1)</f>
        <v/>
      </c>
      <c r="Z121" s="93" t="e">
        <f>(RIGHT('REPORTS PER EVALUATOR'!$AR$125,1))*1</f>
        <v>#VALUE!</v>
      </c>
      <c r="AA121" s="11" t="e">
        <f>LEFT('REPORTS PER EVALUATOR'!#REF!,1)</f>
        <v>#REF!</v>
      </c>
      <c r="AB121" s="93" t="e">
        <f>(RIGHT('REPORTS PER EVALUATOR'!#REF!,1))*1</f>
        <v>#REF!</v>
      </c>
      <c r="AC121" s="11" t="e">
        <f>LEFT('REPORTS PER EVALUATOR'!#REF!,1)</f>
        <v>#REF!</v>
      </c>
      <c r="AD121" s="93" t="e">
        <f>(RIGHT('REPORTS PER EVALUATOR'!#REF!,1))*1</f>
        <v>#REF!</v>
      </c>
      <c r="AE121" s="11" t="e">
        <f>LEFT('REPORTS PER EVALUATOR'!#REF!,1)</f>
        <v>#REF!</v>
      </c>
      <c r="AF121" s="93" t="e">
        <f>(RIGHT('REPORTS PER EVALUATOR'!#REF!,1))*1</f>
        <v>#REF!</v>
      </c>
      <c r="AG121" s="11" t="e">
        <f>LEFT('REPORTS PER EVALUATOR'!#REF!,1)</f>
        <v>#REF!</v>
      </c>
      <c r="AH121" s="93" t="e">
        <f>(RIGHT('REPORTS PER EVALUATOR'!#REF!,1))*1</f>
        <v>#REF!</v>
      </c>
      <c r="AI121" s="11" t="e">
        <f>LEFT('REPORTS PER EVALUATOR'!#REF!,1)</f>
        <v>#REF!</v>
      </c>
      <c r="AJ121" s="93" t="e">
        <f>(RIGHT('REPORTS PER EVALUATOR'!#REF!,1))*1</f>
        <v>#REF!</v>
      </c>
      <c r="AK121" s="11" t="e">
        <f>LEFT('REPORTS PER EVALUATOR'!#REF!,1)</f>
        <v>#REF!</v>
      </c>
      <c r="AL121" s="93" t="e">
        <f>(RIGHT('REPORTS PER EVALUATOR'!#REF!,1))*1</f>
        <v>#REF!</v>
      </c>
      <c r="AM121" s="11" t="e">
        <f>LEFT('REPORTS PER EVALUATOR'!#REF!,1)</f>
        <v>#REF!</v>
      </c>
      <c r="AN121" s="93" t="e">
        <f>(RIGHT('REPORTS PER EVALUATOR'!#REF!,1))*1</f>
        <v>#REF!</v>
      </c>
      <c r="AO121" s="11" t="e">
        <f>LEFT('REPORTS PER EVALUATOR'!#REF!,1)</f>
        <v>#REF!</v>
      </c>
      <c r="AP121" s="93" t="e">
        <f>(RIGHT('REPORTS PER EVALUATOR'!#REF!,1))*1</f>
        <v>#REF!</v>
      </c>
      <c r="AQ121" s="11" t="e">
        <f>LEFT('REPORTS PER EVALUATOR'!#REF!,1)</f>
        <v>#REF!</v>
      </c>
      <c r="AR121" s="93" t="e">
        <f>(RIGHT('REPORTS PER EVALUATOR'!#REF!,1))*1</f>
        <v>#REF!</v>
      </c>
    </row>
    <row r="122" spans="1:44" x14ac:dyDescent="0.2">
      <c r="A122" s="215"/>
      <c r="B122" s="19" t="str">
        <f t="shared" si="7"/>
        <v>B</v>
      </c>
      <c r="C122" s="18" t="str">
        <f t="shared" si="6"/>
        <v>C</v>
      </c>
      <c r="D122" s="18" t="s">
        <v>20</v>
      </c>
      <c r="E122" s="57" t="str">
        <f>LEFT('REPORTS PER EVALUATOR'!$AJ$6,1)</f>
        <v>B</v>
      </c>
      <c r="F122" s="73">
        <f>(RIGHT('REPORTS PER EVALUATOR'!$AJ$6,1))*1</f>
        <v>3</v>
      </c>
      <c r="G122" s="58" t="str">
        <f>LEFT('REPORTS PER EVALUATOR'!$AJ$18,1)</f>
        <v>B</v>
      </c>
      <c r="H122" s="81">
        <f>(RIGHT('REPORTS PER EVALUATOR'!$AJ$18,1))*1</f>
        <v>4</v>
      </c>
      <c r="I122" s="58" t="str">
        <f>LEFT('REPORTS PER EVALUATOR'!$AJ$30,1)</f>
        <v>B</v>
      </c>
      <c r="J122" s="81">
        <f>(RIGHT('REPORTS PER EVALUATOR'!$AJ$30,1))*1</f>
        <v>2</v>
      </c>
      <c r="K122" s="58" t="str">
        <f>LEFT('REPORTS PER EVALUATOR'!$AJ$42,1)</f>
        <v>C</v>
      </c>
      <c r="L122" s="81">
        <f>(RIGHT('REPORTS PER EVALUATOR'!$AJ$42,1))*1</f>
        <v>2</v>
      </c>
      <c r="M122" s="58" t="str">
        <f>LEFT('REPORTS PER EVALUATOR'!$AJ$54,1)</f>
        <v>B</v>
      </c>
      <c r="N122" s="81">
        <f>(RIGHT('REPORTS PER EVALUATOR'!$AJ$54,1))*1</f>
        <v>4</v>
      </c>
      <c r="O122" s="58" t="str">
        <f>LEFT('REPORTS PER EVALUATOR'!$AJ$66,1)</f>
        <v>B</v>
      </c>
      <c r="P122" s="81">
        <f>(RIGHT('REPORTS PER EVALUATOR'!$AJ$66,1))*1</f>
        <v>6</v>
      </c>
      <c r="Q122" s="58" t="str">
        <f>LEFT('REPORTS PER EVALUATOR'!$AJ$78,1)</f>
        <v>B</v>
      </c>
      <c r="R122" s="81">
        <f>(RIGHT('REPORTS PER EVALUATOR'!$AJ$78,1))*1</f>
        <v>2</v>
      </c>
      <c r="S122" s="58" t="str">
        <f>LEFT('REPORTS PER EVALUATOR'!$AJ$90,1)</f>
        <v>1</v>
      </c>
      <c r="T122" s="81">
        <f>(RIGHT('REPORTS PER EVALUATOR'!$AJ$90,1))*1</f>
        <v>1</v>
      </c>
      <c r="U122" s="58" t="str">
        <f>LEFT('REPORTS PER EVALUATOR'!$AJ$102,1)</f>
        <v>C</v>
      </c>
      <c r="V122" s="81">
        <f>(RIGHT('REPORTS PER EVALUATOR'!$AJ$102,1))*1</f>
        <v>2</v>
      </c>
      <c r="W122" s="58" t="str">
        <f>LEFT('REPORTS PER EVALUATOR'!$AJ$114,1)</f>
        <v>B</v>
      </c>
      <c r="X122" s="81">
        <f>(RIGHT('REPORTS PER EVALUATOR'!$AJ$114,1))*1</f>
        <v>2</v>
      </c>
      <c r="Y122" s="58" t="str">
        <f>LEFT('REPORTS PER EVALUATOR'!$AJ$126,1)</f>
        <v>B</v>
      </c>
      <c r="Z122" s="94">
        <f>(RIGHT('REPORTS PER EVALUATOR'!$AJ$126,1))*1</f>
        <v>2</v>
      </c>
      <c r="AA122" s="58" t="e">
        <f>LEFT('REPORTS PER EVALUATOR'!#REF!,1)</f>
        <v>#REF!</v>
      </c>
      <c r="AB122" s="94" t="e">
        <f>(RIGHT('REPORTS PER EVALUATOR'!#REF!,1))*1</f>
        <v>#REF!</v>
      </c>
      <c r="AC122" s="58" t="e">
        <f>LEFT('REPORTS PER EVALUATOR'!#REF!,1)</f>
        <v>#REF!</v>
      </c>
      <c r="AD122" s="94" t="e">
        <f>(RIGHT('REPORTS PER EVALUATOR'!#REF!,1))*1</f>
        <v>#REF!</v>
      </c>
      <c r="AE122" s="58" t="e">
        <f>LEFT('REPORTS PER EVALUATOR'!#REF!,1)</f>
        <v>#REF!</v>
      </c>
      <c r="AF122" s="94" t="e">
        <f>(RIGHT('REPORTS PER EVALUATOR'!#REF!,1))*1</f>
        <v>#REF!</v>
      </c>
      <c r="AG122" s="58" t="e">
        <f>LEFT('REPORTS PER EVALUATOR'!#REF!,1)</f>
        <v>#REF!</v>
      </c>
      <c r="AH122" s="94" t="e">
        <f>(RIGHT('REPORTS PER EVALUATOR'!#REF!,1))*1</f>
        <v>#REF!</v>
      </c>
      <c r="AI122" s="58" t="e">
        <f>LEFT('REPORTS PER EVALUATOR'!#REF!,1)</f>
        <v>#REF!</v>
      </c>
      <c r="AJ122" s="94" t="e">
        <f>(RIGHT('REPORTS PER EVALUATOR'!#REF!,1))*1</f>
        <v>#REF!</v>
      </c>
      <c r="AK122" s="58" t="e">
        <f>LEFT('REPORTS PER EVALUATOR'!#REF!,1)</f>
        <v>#REF!</v>
      </c>
      <c r="AL122" s="94" t="e">
        <f>(RIGHT('REPORTS PER EVALUATOR'!#REF!,1))*1</f>
        <v>#REF!</v>
      </c>
      <c r="AM122" s="58" t="e">
        <f>LEFT('REPORTS PER EVALUATOR'!#REF!,1)</f>
        <v>#REF!</v>
      </c>
      <c r="AN122" s="94" t="e">
        <f>(RIGHT('REPORTS PER EVALUATOR'!#REF!,1))*1</f>
        <v>#REF!</v>
      </c>
      <c r="AO122" s="58" t="e">
        <f>LEFT('REPORTS PER EVALUATOR'!#REF!,1)</f>
        <v>#REF!</v>
      </c>
      <c r="AP122" s="94" t="e">
        <f>(RIGHT('REPORTS PER EVALUATOR'!#REF!,1))*1</f>
        <v>#REF!</v>
      </c>
      <c r="AQ122" s="58" t="e">
        <f>LEFT('REPORTS PER EVALUATOR'!#REF!,1)</f>
        <v>#REF!</v>
      </c>
      <c r="AR122" s="94" t="e">
        <f>(RIGHT('REPORTS PER EVALUATOR'!#REF!,1))*1</f>
        <v>#REF!</v>
      </c>
    </row>
    <row r="123" spans="1:44" x14ac:dyDescent="0.2">
      <c r="A123" s="215"/>
      <c r="B123" s="19" t="str">
        <f t="shared" si="7"/>
        <v>B</v>
      </c>
      <c r="C123" s="18" t="str">
        <f t="shared" si="6"/>
        <v>D</v>
      </c>
      <c r="D123" s="18" t="s">
        <v>21</v>
      </c>
      <c r="E123" s="26" t="str">
        <f>LEFT('REPORTS PER EVALUATOR'!$AK$6,1)</f>
        <v>D</v>
      </c>
      <c r="F123" s="74">
        <f>(RIGHT('REPORTS PER EVALUATOR'!$AK$6,1))*1</f>
        <v>2</v>
      </c>
      <c r="G123" s="11" t="str">
        <f>LEFT('REPORTS PER EVALUATOR'!$AK$18,1)</f>
        <v>D</v>
      </c>
      <c r="H123" s="82">
        <f>(RIGHT('REPORTS PER EVALUATOR'!$AK$18,1))*1</f>
        <v>2</v>
      </c>
      <c r="I123" s="11" t="str">
        <f>LEFT('REPORTS PER EVALUATOR'!$AK$30,1)</f>
        <v>D</v>
      </c>
      <c r="J123" s="82">
        <f>(RIGHT('REPORTS PER EVALUATOR'!$AK$30,1))*1</f>
        <v>2</v>
      </c>
      <c r="K123" s="11" t="str">
        <f>LEFT('REPORTS PER EVALUATOR'!$AK$42,1)</f>
        <v>D</v>
      </c>
      <c r="L123" s="82">
        <f>(RIGHT('REPORTS PER EVALUATOR'!$AK$42,1))*1</f>
        <v>3</v>
      </c>
      <c r="M123" s="11" t="str">
        <f>LEFT('REPORTS PER EVALUATOR'!$AK$54,1)</f>
        <v>D</v>
      </c>
      <c r="N123" s="82">
        <f>(RIGHT('REPORTS PER EVALUATOR'!$AK$54,1))*1</f>
        <v>3</v>
      </c>
      <c r="O123" s="11" t="str">
        <f>LEFT('REPORTS PER EVALUATOR'!$AK$66,1)</f>
        <v>D</v>
      </c>
      <c r="P123" s="82">
        <f>(RIGHT('REPORTS PER EVALUATOR'!$AK$66,1))*1</f>
        <v>2</v>
      </c>
      <c r="Q123" s="11" t="str">
        <f>LEFT('REPORTS PER EVALUATOR'!$AK$78,1)</f>
        <v>D</v>
      </c>
      <c r="R123" s="82">
        <f>(RIGHT('REPORTS PER EVALUATOR'!$AK$78,1))*1</f>
        <v>3</v>
      </c>
      <c r="S123" s="11" t="str">
        <f>LEFT('REPORTS PER EVALUATOR'!$AK$90,1)</f>
        <v>D</v>
      </c>
      <c r="T123" s="82">
        <f>(RIGHT('REPORTS PER EVALUATOR'!$AK$90,1))*1</f>
        <v>3</v>
      </c>
      <c r="U123" s="11" t="str">
        <f>LEFT('REPORTS PER EVALUATOR'!$AK$102,1)</f>
        <v>D</v>
      </c>
      <c r="V123" s="82">
        <f>(RIGHT('REPORTS PER EVALUATOR'!$AK$102,1))*1</f>
        <v>3</v>
      </c>
      <c r="W123" s="11" t="str">
        <f>LEFT('REPORTS PER EVALUATOR'!$AK$114,1)</f>
        <v>D</v>
      </c>
      <c r="X123" s="82">
        <f>(RIGHT('REPORTS PER EVALUATOR'!$AK$114,1))*1</f>
        <v>2</v>
      </c>
      <c r="Y123" s="11" t="str">
        <f>LEFT('REPORTS PER EVALUATOR'!$AK$126,1)</f>
        <v>1</v>
      </c>
      <c r="Z123" s="93">
        <f>(RIGHT('REPORTS PER EVALUATOR'!$AK$126,1))*1</f>
        <v>1</v>
      </c>
      <c r="AA123" s="11" t="e">
        <f>LEFT('REPORTS PER EVALUATOR'!#REF!,1)</f>
        <v>#REF!</v>
      </c>
      <c r="AB123" s="93" t="e">
        <f>(RIGHT('REPORTS PER EVALUATOR'!#REF!,1))*1</f>
        <v>#REF!</v>
      </c>
      <c r="AC123" s="11" t="e">
        <f>LEFT('REPORTS PER EVALUATOR'!#REF!,1)</f>
        <v>#REF!</v>
      </c>
      <c r="AD123" s="93" t="e">
        <f>(RIGHT('REPORTS PER EVALUATOR'!#REF!,1))*1</f>
        <v>#REF!</v>
      </c>
      <c r="AE123" s="11" t="e">
        <f>LEFT('REPORTS PER EVALUATOR'!#REF!,1)</f>
        <v>#REF!</v>
      </c>
      <c r="AF123" s="93" t="e">
        <f>(RIGHT('REPORTS PER EVALUATOR'!#REF!,1))*1</f>
        <v>#REF!</v>
      </c>
      <c r="AG123" s="11" t="e">
        <f>LEFT('REPORTS PER EVALUATOR'!#REF!,1)</f>
        <v>#REF!</v>
      </c>
      <c r="AH123" s="93" t="e">
        <f>(RIGHT('REPORTS PER EVALUATOR'!#REF!,1))*1</f>
        <v>#REF!</v>
      </c>
      <c r="AI123" s="11" t="e">
        <f>LEFT('REPORTS PER EVALUATOR'!#REF!,1)</f>
        <v>#REF!</v>
      </c>
      <c r="AJ123" s="93" t="e">
        <f>(RIGHT('REPORTS PER EVALUATOR'!#REF!,1))*1</f>
        <v>#REF!</v>
      </c>
      <c r="AK123" s="11" t="e">
        <f>LEFT('REPORTS PER EVALUATOR'!#REF!,1)</f>
        <v>#REF!</v>
      </c>
      <c r="AL123" s="93" t="e">
        <f>(RIGHT('REPORTS PER EVALUATOR'!#REF!,1))*1</f>
        <v>#REF!</v>
      </c>
      <c r="AM123" s="11" t="e">
        <f>LEFT('REPORTS PER EVALUATOR'!#REF!,1)</f>
        <v>#REF!</v>
      </c>
      <c r="AN123" s="93" t="e">
        <f>(RIGHT('REPORTS PER EVALUATOR'!#REF!,1))*1</f>
        <v>#REF!</v>
      </c>
      <c r="AO123" s="11" t="e">
        <f>LEFT('REPORTS PER EVALUATOR'!#REF!,1)</f>
        <v>#REF!</v>
      </c>
      <c r="AP123" s="93" t="e">
        <f>(RIGHT('REPORTS PER EVALUATOR'!#REF!,1))*1</f>
        <v>#REF!</v>
      </c>
      <c r="AQ123" s="11" t="e">
        <f>LEFT('REPORTS PER EVALUATOR'!#REF!,1)</f>
        <v>#REF!</v>
      </c>
      <c r="AR123" s="93" t="e">
        <f>(RIGHT('REPORTS PER EVALUATOR'!#REF!,1))*1</f>
        <v>#REF!</v>
      </c>
    </row>
    <row r="124" spans="1:44" x14ac:dyDescent="0.2">
      <c r="A124" s="215"/>
      <c r="B124" s="19" t="str">
        <f t="shared" si="7"/>
        <v>B</v>
      </c>
      <c r="C124" s="18" t="str">
        <f t="shared" si="6"/>
        <v>E</v>
      </c>
      <c r="D124" s="18" t="s">
        <v>22</v>
      </c>
      <c r="E124" s="26" t="str">
        <f>LEFT('REPORTS PER EVALUATOR'!$AL$6,1)</f>
        <v>1</v>
      </c>
      <c r="F124" s="74">
        <f>(RIGHT('REPORTS PER EVALUATOR'!$AL$6,1))*1</f>
        <v>1</v>
      </c>
      <c r="G124" s="11" t="str">
        <f>LEFT('REPORTS PER EVALUATOR'!$AL$18,1)</f>
        <v>E</v>
      </c>
      <c r="H124" s="82">
        <f>(RIGHT('REPORTS PER EVALUATOR'!$AL$18,1))*1</f>
        <v>2</v>
      </c>
      <c r="I124" s="11" t="str">
        <f>LEFT('REPORTS PER EVALUATOR'!$AL$30,1)</f>
        <v>B</v>
      </c>
      <c r="J124" s="82">
        <f>(RIGHT('REPORTS PER EVALUATOR'!$AL$30,1))*1</f>
        <v>4</v>
      </c>
      <c r="K124" s="11" t="str">
        <f>LEFT('REPORTS PER EVALUATOR'!$AL$42,1)</f>
        <v>E</v>
      </c>
      <c r="L124" s="82">
        <f>(RIGHT('REPORTS PER EVALUATOR'!$AL$42,1))*1</f>
        <v>2</v>
      </c>
      <c r="M124" s="11" t="str">
        <f>LEFT('REPORTS PER EVALUATOR'!$AL$54,1)</f>
        <v>E</v>
      </c>
      <c r="N124" s="82">
        <f>(RIGHT('REPORTS PER EVALUATOR'!$AL$54,1))*1</f>
        <v>3</v>
      </c>
      <c r="O124" s="11" t="str">
        <f>LEFT('REPORTS PER EVALUATOR'!$AL$66,1)</f>
        <v>E</v>
      </c>
      <c r="P124" s="82">
        <f>(RIGHT('REPORTS PER EVALUATOR'!$AL$66,1))*1</f>
        <v>4</v>
      </c>
      <c r="Q124" s="11" t="str">
        <f>LEFT('REPORTS PER EVALUATOR'!$AL$78,1)</f>
        <v>E</v>
      </c>
      <c r="R124" s="82">
        <f>(RIGHT('REPORTS PER EVALUATOR'!$AL$78,1))*1</f>
        <v>5</v>
      </c>
      <c r="S124" s="11" t="str">
        <f>LEFT('REPORTS PER EVALUATOR'!$AL$90,1)</f>
        <v>E</v>
      </c>
      <c r="T124" s="82">
        <f>(RIGHT('REPORTS PER EVALUATOR'!$AL$90,1))*1</f>
        <v>2</v>
      </c>
      <c r="U124" s="11" t="str">
        <f>LEFT('REPORTS PER EVALUATOR'!$AL$102,1)</f>
        <v>E</v>
      </c>
      <c r="V124" s="82">
        <f>(RIGHT('REPORTS PER EVALUATOR'!$AL$102,1))*1</f>
        <v>2</v>
      </c>
      <c r="W124" s="11" t="str">
        <f>LEFT('REPORTS PER EVALUATOR'!$AL$114,1)</f>
        <v>B</v>
      </c>
      <c r="X124" s="82">
        <f>(RIGHT('REPORTS PER EVALUATOR'!$AL$114,1))*1</f>
        <v>2</v>
      </c>
      <c r="Y124" s="11" t="str">
        <f>LEFT('REPORTS PER EVALUATOR'!$AL$126,1)</f>
        <v>1</v>
      </c>
      <c r="Z124" s="93">
        <f>(RIGHT('REPORTS PER EVALUATOR'!$AL$126,1))*1</f>
        <v>1</v>
      </c>
      <c r="AA124" s="11" t="e">
        <f>LEFT('REPORTS PER EVALUATOR'!#REF!,1)</f>
        <v>#REF!</v>
      </c>
      <c r="AB124" s="93" t="e">
        <f>(RIGHT('REPORTS PER EVALUATOR'!#REF!,1))*1</f>
        <v>#REF!</v>
      </c>
      <c r="AC124" s="11" t="e">
        <f>LEFT('REPORTS PER EVALUATOR'!#REF!,1)</f>
        <v>#REF!</v>
      </c>
      <c r="AD124" s="93" t="e">
        <f>(RIGHT('REPORTS PER EVALUATOR'!#REF!,1))*1</f>
        <v>#REF!</v>
      </c>
      <c r="AE124" s="11" t="e">
        <f>LEFT('REPORTS PER EVALUATOR'!#REF!,1)</f>
        <v>#REF!</v>
      </c>
      <c r="AF124" s="93" t="e">
        <f>(RIGHT('REPORTS PER EVALUATOR'!#REF!,1))*1</f>
        <v>#REF!</v>
      </c>
      <c r="AG124" s="11" t="e">
        <f>LEFT('REPORTS PER EVALUATOR'!#REF!,1)</f>
        <v>#REF!</v>
      </c>
      <c r="AH124" s="93" t="e">
        <f>(RIGHT('REPORTS PER EVALUATOR'!#REF!,1))*1</f>
        <v>#REF!</v>
      </c>
      <c r="AI124" s="11" t="e">
        <f>LEFT('REPORTS PER EVALUATOR'!#REF!,1)</f>
        <v>#REF!</v>
      </c>
      <c r="AJ124" s="93" t="e">
        <f>(RIGHT('REPORTS PER EVALUATOR'!#REF!,1))*1</f>
        <v>#REF!</v>
      </c>
      <c r="AK124" s="11" t="e">
        <f>LEFT('REPORTS PER EVALUATOR'!#REF!,1)</f>
        <v>#REF!</v>
      </c>
      <c r="AL124" s="93" t="e">
        <f>(RIGHT('REPORTS PER EVALUATOR'!#REF!,1))*1</f>
        <v>#REF!</v>
      </c>
      <c r="AM124" s="11" t="e">
        <f>LEFT('REPORTS PER EVALUATOR'!#REF!,1)</f>
        <v>#REF!</v>
      </c>
      <c r="AN124" s="93" t="e">
        <f>(RIGHT('REPORTS PER EVALUATOR'!#REF!,1))*1</f>
        <v>#REF!</v>
      </c>
      <c r="AO124" s="11" t="e">
        <f>LEFT('REPORTS PER EVALUATOR'!#REF!,1)</f>
        <v>#REF!</v>
      </c>
      <c r="AP124" s="93" t="e">
        <f>(RIGHT('REPORTS PER EVALUATOR'!#REF!,1))*1</f>
        <v>#REF!</v>
      </c>
      <c r="AQ124" s="11" t="e">
        <f>LEFT('REPORTS PER EVALUATOR'!#REF!,1)</f>
        <v>#REF!</v>
      </c>
      <c r="AR124" s="93" t="e">
        <f>(RIGHT('REPORTS PER EVALUATOR'!#REF!,1))*1</f>
        <v>#REF!</v>
      </c>
    </row>
    <row r="125" spans="1:44" x14ac:dyDescent="0.2">
      <c r="A125" s="215"/>
      <c r="B125" s="19" t="str">
        <f t="shared" si="7"/>
        <v>B</v>
      </c>
      <c r="C125" s="18" t="str">
        <f t="shared" si="6"/>
        <v>F</v>
      </c>
      <c r="D125" s="18" t="s">
        <v>23</v>
      </c>
      <c r="E125" s="26" t="str">
        <f>LEFT('REPORTS PER EVALUATOR'!$AM$6,1)</f>
        <v>1</v>
      </c>
      <c r="F125" s="74">
        <f>(RIGHT('REPORTS PER EVALUATOR'!$AM$6,1))*1</f>
        <v>1</v>
      </c>
      <c r="G125" s="11" t="str">
        <f>LEFT('REPORTS PER EVALUATOR'!$AM$18,1)</f>
        <v>1</v>
      </c>
      <c r="H125" s="82">
        <f>(RIGHT('REPORTS PER EVALUATOR'!$AM$18,1))*1</f>
        <v>1</v>
      </c>
      <c r="I125" s="11" t="str">
        <f>LEFT('REPORTS PER EVALUATOR'!$AM$30,1)</f>
        <v>F</v>
      </c>
      <c r="J125" s="82">
        <f>(RIGHT('REPORTS PER EVALUATOR'!$AM$30,1))*1</f>
        <v>2</v>
      </c>
      <c r="K125" s="11" t="str">
        <f>LEFT('REPORTS PER EVALUATOR'!$AM$42,1)</f>
        <v>F</v>
      </c>
      <c r="L125" s="82">
        <f>(RIGHT('REPORTS PER EVALUATOR'!$AM$42,1))*1</f>
        <v>3</v>
      </c>
      <c r="M125" s="11" t="str">
        <f>LEFT('REPORTS PER EVALUATOR'!$AM$54,1)</f>
        <v>F</v>
      </c>
      <c r="N125" s="82">
        <f>(RIGHT('REPORTS PER EVALUATOR'!$AM$54,1))*1</f>
        <v>5</v>
      </c>
      <c r="O125" s="11" t="str">
        <f>LEFT('REPORTS PER EVALUATOR'!$AM$66,1)</f>
        <v>F</v>
      </c>
      <c r="P125" s="82">
        <f>(RIGHT('REPORTS PER EVALUATOR'!$AM$66,1))*1</f>
        <v>4</v>
      </c>
      <c r="Q125" s="11" t="str">
        <f>LEFT('REPORTS PER EVALUATOR'!$AM$78,1)</f>
        <v>F</v>
      </c>
      <c r="R125" s="82">
        <f>(RIGHT('REPORTS PER EVALUATOR'!$AM$78,1))*1</f>
        <v>5</v>
      </c>
      <c r="S125" s="11" t="str">
        <f>LEFT('REPORTS PER EVALUATOR'!$AM$90,1)</f>
        <v>1</v>
      </c>
      <c r="T125" s="82">
        <f>(RIGHT('REPORTS PER EVALUATOR'!$AM$90,1))*1</f>
        <v>1</v>
      </c>
      <c r="U125" s="11" t="str">
        <f>LEFT('REPORTS PER EVALUATOR'!$AM$102,1)</f>
        <v>1</v>
      </c>
      <c r="V125" s="82">
        <f>(RIGHT('REPORTS PER EVALUATOR'!$AM$102,1))*1</f>
        <v>1</v>
      </c>
      <c r="W125" s="11" t="str">
        <f>LEFT('REPORTS PER EVALUATOR'!$AM$114,1)</f>
        <v>1</v>
      </c>
      <c r="X125" s="82">
        <f>(RIGHT('REPORTS PER EVALUATOR'!$AM$114,1))*1</f>
        <v>1</v>
      </c>
      <c r="Y125" s="11" t="str">
        <f>LEFT('REPORTS PER EVALUATOR'!$AM$126,1)</f>
        <v>B</v>
      </c>
      <c r="Z125" s="93">
        <f>(RIGHT('REPORTS PER EVALUATOR'!$AM$126,1))*1</f>
        <v>2</v>
      </c>
      <c r="AA125" s="11" t="e">
        <f>LEFT('REPORTS PER EVALUATOR'!#REF!,1)</f>
        <v>#REF!</v>
      </c>
      <c r="AB125" s="93" t="e">
        <f>(RIGHT('REPORTS PER EVALUATOR'!#REF!,1))*1</f>
        <v>#REF!</v>
      </c>
      <c r="AC125" s="11" t="e">
        <f>LEFT('REPORTS PER EVALUATOR'!#REF!,1)</f>
        <v>#REF!</v>
      </c>
      <c r="AD125" s="93" t="e">
        <f>(RIGHT('REPORTS PER EVALUATOR'!#REF!,1))*1</f>
        <v>#REF!</v>
      </c>
      <c r="AE125" s="11" t="e">
        <f>LEFT('REPORTS PER EVALUATOR'!#REF!,1)</f>
        <v>#REF!</v>
      </c>
      <c r="AF125" s="93" t="e">
        <f>(RIGHT('REPORTS PER EVALUATOR'!#REF!,1))*1</f>
        <v>#REF!</v>
      </c>
      <c r="AG125" s="11" t="e">
        <f>LEFT('REPORTS PER EVALUATOR'!#REF!,1)</f>
        <v>#REF!</v>
      </c>
      <c r="AH125" s="93" t="e">
        <f>(RIGHT('REPORTS PER EVALUATOR'!#REF!,1))*1</f>
        <v>#REF!</v>
      </c>
      <c r="AI125" s="11" t="e">
        <f>LEFT('REPORTS PER EVALUATOR'!#REF!,1)</f>
        <v>#REF!</v>
      </c>
      <c r="AJ125" s="93" t="e">
        <f>(RIGHT('REPORTS PER EVALUATOR'!#REF!,1))*1</f>
        <v>#REF!</v>
      </c>
      <c r="AK125" s="11" t="e">
        <f>LEFT('REPORTS PER EVALUATOR'!#REF!,1)</f>
        <v>#REF!</v>
      </c>
      <c r="AL125" s="93" t="e">
        <f>(RIGHT('REPORTS PER EVALUATOR'!#REF!,1))*1</f>
        <v>#REF!</v>
      </c>
      <c r="AM125" s="11" t="e">
        <f>LEFT('REPORTS PER EVALUATOR'!#REF!,1)</f>
        <v>#REF!</v>
      </c>
      <c r="AN125" s="93" t="e">
        <f>(RIGHT('REPORTS PER EVALUATOR'!#REF!,1))*1</f>
        <v>#REF!</v>
      </c>
      <c r="AO125" s="11" t="e">
        <f>LEFT('REPORTS PER EVALUATOR'!#REF!,1)</f>
        <v>#REF!</v>
      </c>
      <c r="AP125" s="93" t="e">
        <f>(RIGHT('REPORTS PER EVALUATOR'!#REF!,1))*1</f>
        <v>#REF!</v>
      </c>
      <c r="AQ125" s="11" t="e">
        <f>LEFT('REPORTS PER EVALUATOR'!#REF!,1)</f>
        <v>#REF!</v>
      </c>
      <c r="AR125" s="93" t="e">
        <f>(RIGHT('REPORTS PER EVALUATOR'!#REF!,1))*1</f>
        <v>#REF!</v>
      </c>
    </row>
    <row r="126" spans="1:44" x14ac:dyDescent="0.2">
      <c r="A126" s="215"/>
      <c r="B126" s="19" t="str">
        <f t="shared" si="7"/>
        <v>B</v>
      </c>
      <c r="C126" s="18" t="str">
        <f t="shared" si="6"/>
        <v>G</v>
      </c>
      <c r="D126" s="18" t="s">
        <v>24</v>
      </c>
      <c r="E126" s="26" t="str">
        <f>LEFT('REPORTS PER EVALUATOR'!$AN$6,1)</f>
        <v>B</v>
      </c>
      <c r="F126" s="74">
        <f>(RIGHT('REPORTS PER EVALUATOR'!$AN$6,1))*1</f>
        <v>3</v>
      </c>
      <c r="G126" s="11" t="str">
        <f>LEFT('REPORTS PER EVALUATOR'!$AN$18,1)</f>
        <v>B</v>
      </c>
      <c r="H126" s="82">
        <f>(RIGHT('REPORTS PER EVALUATOR'!$AN$18,1))*1</f>
        <v>3</v>
      </c>
      <c r="I126" s="11" t="str">
        <f>LEFT('REPORTS PER EVALUATOR'!$AN$30,1)</f>
        <v>B</v>
      </c>
      <c r="J126" s="82">
        <f>(RIGHT('REPORTS PER EVALUATOR'!$AN$30,1))*1</f>
        <v>4</v>
      </c>
      <c r="K126" s="11" t="str">
        <f>LEFT('REPORTS PER EVALUATOR'!$AN$42,1)</f>
        <v>G</v>
      </c>
      <c r="L126" s="82">
        <f>(RIGHT('REPORTS PER EVALUATOR'!$AN$42,1))*1</f>
        <v>3</v>
      </c>
      <c r="M126" s="11" t="str">
        <f>LEFT('REPORTS PER EVALUATOR'!$AN$54,1)</f>
        <v>1</v>
      </c>
      <c r="N126" s="82">
        <f>(RIGHT('REPORTS PER EVALUATOR'!$AN$54,1))*1</f>
        <v>1</v>
      </c>
      <c r="O126" s="11" t="str">
        <f>LEFT('REPORTS PER EVALUATOR'!$AN$66,1)</f>
        <v>B</v>
      </c>
      <c r="P126" s="82">
        <f>(RIGHT('REPORTS PER EVALUATOR'!$AN$66,1))*1</f>
        <v>3</v>
      </c>
      <c r="Q126" s="11" t="str">
        <f>LEFT('REPORTS PER EVALUATOR'!$AN$78,1)</f>
        <v>G</v>
      </c>
      <c r="R126" s="82">
        <f>(RIGHT('REPORTS PER EVALUATOR'!$AN$78,1))*1</f>
        <v>2</v>
      </c>
      <c r="S126" s="11" t="str">
        <f>LEFT('REPORTS PER EVALUATOR'!$AN$90,1)</f>
        <v>B</v>
      </c>
      <c r="T126" s="82">
        <f>(RIGHT('REPORTS PER EVALUATOR'!$AN$90,1))*1</f>
        <v>6</v>
      </c>
      <c r="U126" s="11" t="str">
        <f>LEFT('REPORTS PER EVALUATOR'!$AN$102,1)</f>
        <v>B</v>
      </c>
      <c r="V126" s="82">
        <f>(RIGHT('REPORTS PER EVALUATOR'!$AN$102,1))*1</f>
        <v>3</v>
      </c>
      <c r="W126" s="11" t="str">
        <f>LEFT('REPORTS PER EVALUATOR'!$AN$114,1)</f>
        <v>1</v>
      </c>
      <c r="X126" s="82">
        <f>(RIGHT('REPORTS PER EVALUATOR'!$AN$114,1))*1</f>
        <v>1</v>
      </c>
      <c r="Y126" s="11" t="str">
        <f>LEFT('REPORTS PER EVALUATOR'!$AN$126,1)</f>
        <v>B</v>
      </c>
      <c r="Z126" s="93">
        <f>(RIGHT('REPORTS PER EVALUATOR'!$AN$126,1))*1</f>
        <v>4</v>
      </c>
      <c r="AA126" s="11" t="e">
        <f>LEFT('REPORTS PER EVALUATOR'!#REF!,1)</f>
        <v>#REF!</v>
      </c>
      <c r="AB126" s="93" t="e">
        <f>(RIGHT('REPORTS PER EVALUATOR'!#REF!,1))*1</f>
        <v>#REF!</v>
      </c>
      <c r="AC126" s="11" t="e">
        <f>LEFT('REPORTS PER EVALUATOR'!#REF!,1)</f>
        <v>#REF!</v>
      </c>
      <c r="AD126" s="93" t="e">
        <f>(RIGHT('REPORTS PER EVALUATOR'!#REF!,1))*1</f>
        <v>#REF!</v>
      </c>
      <c r="AE126" s="11" t="e">
        <f>LEFT('REPORTS PER EVALUATOR'!#REF!,1)</f>
        <v>#REF!</v>
      </c>
      <c r="AF126" s="93" t="e">
        <f>(RIGHT('REPORTS PER EVALUATOR'!#REF!,1))*1</f>
        <v>#REF!</v>
      </c>
      <c r="AG126" s="11" t="e">
        <f>LEFT('REPORTS PER EVALUATOR'!#REF!,1)</f>
        <v>#REF!</v>
      </c>
      <c r="AH126" s="93" t="e">
        <f>(RIGHT('REPORTS PER EVALUATOR'!#REF!,1))*1</f>
        <v>#REF!</v>
      </c>
      <c r="AI126" s="11" t="e">
        <f>LEFT('REPORTS PER EVALUATOR'!#REF!,1)</f>
        <v>#REF!</v>
      </c>
      <c r="AJ126" s="93" t="e">
        <f>(RIGHT('REPORTS PER EVALUATOR'!#REF!,1))*1</f>
        <v>#REF!</v>
      </c>
      <c r="AK126" s="11" t="e">
        <f>LEFT('REPORTS PER EVALUATOR'!#REF!,1)</f>
        <v>#REF!</v>
      </c>
      <c r="AL126" s="93" t="e">
        <f>(RIGHT('REPORTS PER EVALUATOR'!#REF!,1))*1</f>
        <v>#REF!</v>
      </c>
      <c r="AM126" s="11" t="e">
        <f>LEFT('REPORTS PER EVALUATOR'!#REF!,1)</f>
        <v>#REF!</v>
      </c>
      <c r="AN126" s="93" t="e">
        <f>(RIGHT('REPORTS PER EVALUATOR'!#REF!,1))*1</f>
        <v>#REF!</v>
      </c>
      <c r="AO126" s="11" t="e">
        <f>LEFT('REPORTS PER EVALUATOR'!#REF!,1)</f>
        <v>#REF!</v>
      </c>
      <c r="AP126" s="93" t="e">
        <f>(RIGHT('REPORTS PER EVALUATOR'!#REF!,1))*1</f>
        <v>#REF!</v>
      </c>
      <c r="AQ126" s="11" t="e">
        <f>LEFT('REPORTS PER EVALUATOR'!#REF!,1)</f>
        <v>#REF!</v>
      </c>
      <c r="AR126" s="93" t="e">
        <f>(RIGHT('REPORTS PER EVALUATOR'!#REF!,1))*1</f>
        <v>#REF!</v>
      </c>
    </row>
    <row r="127" spans="1:44" x14ac:dyDescent="0.2">
      <c r="A127" s="215"/>
      <c r="B127" s="19" t="str">
        <f t="shared" si="7"/>
        <v>B</v>
      </c>
      <c r="C127" s="18" t="str">
        <f t="shared" si="6"/>
        <v>H</v>
      </c>
      <c r="D127" s="18" t="s">
        <v>25</v>
      </c>
      <c r="E127" s="26" t="str">
        <f>LEFT('REPORTS PER EVALUATOR'!$AO$6,1)</f>
        <v>1</v>
      </c>
      <c r="F127" s="74">
        <f>(RIGHT('REPORTS PER EVALUATOR'!$AO$6,1))*1</f>
        <v>1</v>
      </c>
      <c r="G127" s="11" t="str">
        <f>LEFT('REPORTS PER EVALUATOR'!$AO$18,1)</f>
        <v>B</v>
      </c>
      <c r="H127" s="82">
        <f>(RIGHT('REPORTS PER EVALUATOR'!$AO$18,1))*1</f>
        <v>2</v>
      </c>
      <c r="I127" s="11" t="str">
        <f>LEFT('REPORTS PER EVALUATOR'!$AO$30,1)</f>
        <v>B</v>
      </c>
      <c r="J127" s="82">
        <f>(RIGHT('REPORTS PER EVALUATOR'!$AO$30,1))*1</f>
        <v>4</v>
      </c>
      <c r="K127" s="11" t="str">
        <f>LEFT('REPORTS PER EVALUATOR'!$AO$42,1)</f>
        <v>B</v>
      </c>
      <c r="L127" s="82">
        <f>(RIGHT('REPORTS PER EVALUATOR'!$AO$42,1))*1</f>
        <v>2</v>
      </c>
      <c r="M127" s="11" t="str">
        <f>LEFT('REPORTS PER EVALUATOR'!$AO$54,1)</f>
        <v>H</v>
      </c>
      <c r="N127" s="82">
        <f>(RIGHT('REPORTS PER EVALUATOR'!$AO$54,1))*1</f>
        <v>2</v>
      </c>
      <c r="O127" s="11" t="str">
        <f>LEFT('REPORTS PER EVALUATOR'!$AO$66,1)</f>
        <v>1</v>
      </c>
      <c r="P127" s="82">
        <f>(RIGHT('REPORTS PER EVALUATOR'!$AO$66,1))*1</f>
        <v>1</v>
      </c>
      <c r="Q127" s="11" t="str">
        <f>LEFT('REPORTS PER EVALUATOR'!$AO$78,1)</f>
        <v>H</v>
      </c>
      <c r="R127" s="82">
        <f>(RIGHT('REPORTS PER EVALUATOR'!$AO$78,1))*1</f>
        <v>3</v>
      </c>
      <c r="S127" s="11" t="str">
        <f>LEFT('REPORTS PER EVALUATOR'!$AO$90,1)</f>
        <v>H</v>
      </c>
      <c r="T127" s="82">
        <f>(RIGHT('REPORTS PER EVALUATOR'!$AO$90,1))*1</f>
        <v>3</v>
      </c>
      <c r="U127" s="11" t="str">
        <f>LEFT('REPORTS PER EVALUATOR'!$AO$102,1)</f>
        <v>H</v>
      </c>
      <c r="V127" s="82">
        <f>(RIGHT('REPORTS PER EVALUATOR'!$AO$102,1))*1</f>
        <v>2</v>
      </c>
      <c r="W127" s="11" t="str">
        <f>LEFT('REPORTS PER EVALUATOR'!$AO$114,1)</f>
        <v>H</v>
      </c>
      <c r="X127" s="82">
        <f>(RIGHT('REPORTS PER EVALUATOR'!$AO$114,1))*1</f>
        <v>2</v>
      </c>
      <c r="Y127" s="11" t="str">
        <f>LEFT('REPORTS PER EVALUATOR'!$AO$126,1)</f>
        <v>B</v>
      </c>
      <c r="Z127" s="93">
        <f>(RIGHT('REPORTS PER EVALUATOR'!$AO$126,1))*1</f>
        <v>2</v>
      </c>
      <c r="AA127" s="11" t="e">
        <f>LEFT('REPORTS PER EVALUATOR'!#REF!,1)</f>
        <v>#REF!</v>
      </c>
      <c r="AB127" s="93" t="e">
        <f>(RIGHT('REPORTS PER EVALUATOR'!#REF!,1))*1</f>
        <v>#REF!</v>
      </c>
      <c r="AC127" s="11" t="e">
        <f>LEFT('REPORTS PER EVALUATOR'!#REF!,1)</f>
        <v>#REF!</v>
      </c>
      <c r="AD127" s="93" t="e">
        <f>(RIGHT('REPORTS PER EVALUATOR'!#REF!,1))*1</f>
        <v>#REF!</v>
      </c>
      <c r="AE127" s="11" t="e">
        <f>LEFT('REPORTS PER EVALUATOR'!#REF!,1)</f>
        <v>#REF!</v>
      </c>
      <c r="AF127" s="93" t="e">
        <f>(RIGHT('REPORTS PER EVALUATOR'!#REF!,1))*1</f>
        <v>#REF!</v>
      </c>
      <c r="AG127" s="11" t="e">
        <f>LEFT('REPORTS PER EVALUATOR'!#REF!,1)</f>
        <v>#REF!</v>
      </c>
      <c r="AH127" s="93" t="e">
        <f>(RIGHT('REPORTS PER EVALUATOR'!#REF!,1))*1</f>
        <v>#REF!</v>
      </c>
      <c r="AI127" s="11" t="e">
        <f>LEFT('REPORTS PER EVALUATOR'!#REF!,1)</f>
        <v>#REF!</v>
      </c>
      <c r="AJ127" s="93" t="e">
        <f>(RIGHT('REPORTS PER EVALUATOR'!#REF!,1))*1</f>
        <v>#REF!</v>
      </c>
      <c r="AK127" s="11" t="e">
        <f>LEFT('REPORTS PER EVALUATOR'!#REF!,1)</f>
        <v>#REF!</v>
      </c>
      <c r="AL127" s="93" t="e">
        <f>(RIGHT('REPORTS PER EVALUATOR'!#REF!,1))*1</f>
        <v>#REF!</v>
      </c>
      <c r="AM127" s="11" t="e">
        <f>LEFT('REPORTS PER EVALUATOR'!#REF!,1)</f>
        <v>#REF!</v>
      </c>
      <c r="AN127" s="93" t="e">
        <f>(RIGHT('REPORTS PER EVALUATOR'!#REF!,1))*1</f>
        <v>#REF!</v>
      </c>
      <c r="AO127" s="11" t="e">
        <f>LEFT('REPORTS PER EVALUATOR'!#REF!,1)</f>
        <v>#REF!</v>
      </c>
      <c r="AP127" s="93" t="e">
        <f>(RIGHT('REPORTS PER EVALUATOR'!#REF!,1))*1</f>
        <v>#REF!</v>
      </c>
      <c r="AQ127" s="11" t="e">
        <f>LEFT('REPORTS PER EVALUATOR'!#REF!,1)</f>
        <v>#REF!</v>
      </c>
      <c r="AR127" s="93" t="e">
        <f>(RIGHT('REPORTS PER EVALUATOR'!#REF!,1))*1</f>
        <v>#REF!</v>
      </c>
    </row>
    <row r="128" spans="1:44" x14ac:dyDescent="0.2">
      <c r="A128" s="215"/>
      <c r="B128" s="19" t="str">
        <f t="shared" si="7"/>
        <v>B</v>
      </c>
      <c r="C128" s="18" t="str">
        <f t="shared" si="6"/>
        <v>I</v>
      </c>
      <c r="D128" s="18" t="s">
        <v>26</v>
      </c>
      <c r="E128" s="26" t="str">
        <f>LEFT('REPORTS PER EVALUATOR'!$AP$6,1)</f>
        <v>1</v>
      </c>
      <c r="F128" s="74">
        <f>(RIGHT('REPORTS PER EVALUATOR'!$AP$6,1))*1</f>
        <v>1</v>
      </c>
      <c r="G128" s="11" t="str">
        <f>LEFT('REPORTS PER EVALUATOR'!$AP$18,1)</f>
        <v>B</v>
      </c>
      <c r="H128" s="82">
        <f>(RIGHT('REPORTS PER EVALUATOR'!$AP$18,1))*1</f>
        <v>4</v>
      </c>
      <c r="I128" s="11" t="str">
        <f>LEFT('REPORTS PER EVALUATOR'!$AP$30,1)</f>
        <v>1</v>
      </c>
      <c r="J128" s="82">
        <f>(RIGHT('REPORTS PER EVALUATOR'!$AP$30,1))*1</f>
        <v>1</v>
      </c>
      <c r="K128" s="11" t="str">
        <f>LEFT('REPORTS PER EVALUATOR'!$AP$42,1)</f>
        <v>I</v>
      </c>
      <c r="L128" s="82">
        <f>(RIGHT('REPORTS PER EVALUATOR'!$AP$42,1))*1</f>
        <v>3</v>
      </c>
      <c r="M128" s="11" t="str">
        <f>LEFT('REPORTS PER EVALUATOR'!$AP$54,1)</f>
        <v>1</v>
      </c>
      <c r="N128" s="82">
        <f>(RIGHT('REPORTS PER EVALUATOR'!$AP$54,1))*1</f>
        <v>1</v>
      </c>
      <c r="O128" s="11" t="str">
        <f>LEFT('REPORTS PER EVALUATOR'!$AP$66,1)</f>
        <v>1</v>
      </c>
      <c r="P128" s="82">
        <f>(RIGHT('REPORTS PER EVALUATOR'!$AP$66,1))*1</f>
        <v>1</v>
      </c>
      <c r="Q128" s="11" t="str">
        <f>LEFT('REPORTS PER EVALUATOR'!$AP$78,1)</f>
        <v>1</v>
      </c>
      <c r="R128" s="82">
        <f>(RIGHT('REPORTS PER EVALUATOR'!$AP$78,1))*1</f>
        <v>1</v>
      </c>
      <c r="S128" s="11" t="str">
        <f>LEFT('REPORTS PER EVALUATOR'!$AP$90,1)</f>
        <v>1</v>
      </c>
      <c r="T128" s="82">
        <f>(RIGHT('REPORTS PER EVALUATOR'!$AP$90,1))*1</f>
        <v>1</v>
      </c>
      <c r="U128" s="11" t="str">
        <f>LEFT('REPORTS PER EVALUATOR'!$AP$102,1)</f>
        <v>B</v>
      </c>
      <c r="V128" s="82">
        <f>(RIGHT('REPORTS PER EVALUATOR'!$AP$102,1))*1</f>
        <v>2</v>
      </c>
      <c r="W128" s="11" t="str">
        <f>LEFT('REPORTS PER EVALUATOR'!$AP$114,1)</f>
        <v>I</v>
      </c>
      <c r="X128" s="82">
        <f>(RIGHT('REPORTS PER EVALUATOR'!$AP$114,1))*1</f>
        <v>2</v>
      </c>
      <c r="Y128" s="11" t="str">
        <f>LEFT('REPORTS PER EVALUATOR'!$AP$126,1)</f>
        <v>B</v>
      </c>
      <c r="Z128" s="93">
        <f>(RIGHT('REPORTS PER EVALUATOR'!$AP$126,1))*1</f>
        <v>2</v>
      </c>
      <c r="AA128" s="11" t="e">
        <f>LEFT('REPORTS PER EVALUATOR'!#REF!,1)</f>
        <v>#REF!</v>
      </c>
      <c r="AB128" s="93" t="e">
        <f>(RIGHT('REPORTS PER EVALUATOR'!#REF!,1))*1</f>
        <v>#REF!</v>
      </c>
      <c r="AC128" s="11" t="e">
        <f>LEFT('REPORTS PER EVALUATOR'!#REF!,1)</f>
        <v>#REF!</v>
      </c>
      <c r="AD128" s="93" t="e">
        <f>(RIGHT('REPORTS PER EVALUATOR'!#REF!,1))*1</f>
        <v>#REF!</v>
      </c>
      <c r="AE128" s="11" t="e">
        <f>LEFT('REPORTS PER EVALUATOR'!#REF!,1)</f>
        <v>#REF!</v>
      </c>
      <c r="AF128" s="93" t="e">
        <f>(RIGHT('REPORTS PER EVALUATOR'!#REF!,1))*1</f>
        <v>#REF!</v>
      </c>
      <c r="AG128" s="11" t="e">
        <f>LEFT('REPORTS PER EVALUATOR'!#REF!,1)</f>
        <v>#REF!</v>
      </c>
      <c r="AH128" s="93" t="e">
        <f>(RIGHT('REPORTS PER EVALUATOR'!#REF!,1))*1</f>
        <v>#REF!</v>
      </c>
      <c r="AI128" s="11" t="e">
        <f>LEFT('REPORTS PER EVALUATOR'!#REF!,1)</f>
        <v>#REF!</v>
      </c>
      <c r="AJ128" s="93" t="e">
        <f>(RIGHT('REPORTS PER EVALUATOR'!#REF!,1))*1</f>
        <v>#REF!</v>
      </c>
      <c r="AK128" s="11" t="e">
        <f>LEFT('REPORTS PER EVALUATOR'!#REF!,1)</f>
        <v>#REF!</v>
      </c>
      <c r="AL128" s="93" t="e">
        <f>(RIGHT('REPORTS PER EVALUATOR'!#REF!,1))*1</f>
        <v>#REF!</v>
      </c>
      <c r="AM128" s="11" t="e">
        <f>LEFT('REPORTS PER EVALUATOR'!#REF!,1)</f>
        <v>#REF!</v>
      </c>
      <c r="AN128" s="93" t="e">
        <f>(RIGHT('REPORTS PER EVALUATOR'!#REF!,1))*1</f>
        <v>#REF!</v>
      </c>
      <c r="AO128" s="11" t="e">
        <f>LEFT('REPORTS PER EVALUATOR'!#REF!,1)</f>
        <v>#REF!</v>
      </c>
      <c r="AP128" s="93" t="e">
        <f>(RIGHT('REPORTS PER EVALUATOR'!#REF!,1))*1</f>
        <v>#REF!</v>
      </c>
      <c r="AQ128" s="11" t="e">
        <f>LEFT('REPORTS PER EVALUATOR'!#REF!,1)</f>
        <v>#REF!</v>
      </c>
      <c r="AR128" s="93" t="e">
        <f>(RIGHT('REPORTS PER EVALUATOR'!#REF!,1))*1</f>
        <v>#REF!</v>
      </c>
    </row>
    <row r="129" spans="2:44" x14ac:dyDescent="0.2">
      <c r="B129" s="19" t="str">
        <f t="shared" si="7"/>
        <v>B</v>
      </c>
      <c r="C129" s="18" t="str">
        <f t="shared" si="6"/>
        <v>L</v>
      </c>
      <c r="D129" s="18" t="s">
        <v>27</v>
      </c>
      <c r="E129" s="26" t="str">
        <f>LEFT('REPORTS PER EVALUATOR'!$AQ$6,1)</f>
        <v>B</v>
      </c>
      <c r="F129" s="74">
        <f>(RIGHT('REPORTS PER EVALUATOR'!$AQ$6,1))*1</f>
        <v>5</v>
      </c>
      <c r="G129" s="11" t="str">
        <f>LEFT('REPORTS PER EVALUATOR'!$AQ$18,1)</f>
        <v>B</v>
      </c>
      <c r="H129" s="82">
        <f>(RIGHT('REPORTS PER EVALUATOR'!$AQ$18,1))*1</f>
        <v>4</v>
      </c>
      <c r="I129" s="11" t="str">
        <f>LEFT('REPORTS PER EVALUATOR'!$AQ$30,1)</f>
        <v>L</v>
      </c>
      <c r="J129" s="82">
        <f>(RIGHT('REPORTS PER EVALUATOR'!$AQ$30,1))*1</f>
        <v>4</v>
      </c>
      <c r="K129" s="11" t="str">
        <f>LEFT('REPORTS PER EVALUATOR'!$AQ$42,1)</f>
        <v>B</v>
      </c>
      <c r="L129" s="82">
        <f>(RIGHT('REPORTS PER EVALUATOR'!$AQ$42,1))*1</f>
        <v>3</v>
      </c>
      <c r="M129" s="11" t="str">
        <f>LEFT('REPORTS PER EVALUATOR'!$AQ$54,1)</f>
        <v>L</v>
      </c>
      <c r="N129" s="82">
        <f>(RIGHT('REPORTS PER EVALUATOR'!$AQ$54,1))*1</f>
        <v>2</v>
      </c>
      <c r="O129" s="11" t="str">
        <f>LEFT('REPORTS PER EVALUATOR'!$AQ$66,1)</f>
        <v>1</v>
      </c>
      <c r="P129" s="82">
        <f>(RIGHT('REPORTS PER EVALUATOR'!$AQ$66,1))*1</f>
        <v>1</v>
      </c>
      <c r="Q129" s="11" t="str">
        <f>LEFT('REPORTS PER EVALUATOR'!$AQ$78,1)</f>
        <v>L</v>
      </c>
      <c r="R129" s="82">
        <f>(RIGHT('REPORTS PER EVALUATOR'!$AQ$78,1))*1</f>
        <v>5</v>
      </c>
      <c r="S129" s="11" t="str">
        <f>LEFT('REPORTS PER EVALUATOR'!$AQ$90,1)</f>
        <v>L</v>
      </c>
      <c r="T129" s="82">
        <f>(RIGHT('REPORTS PER EVALUATOR'!$AQ$90,1))*1</f>
        <v>3</v>
      </c>
      <c r="U129" s="11" t="str">
        <f>LEFT('REPORTS PER EVALUATOR'!$AQ$102,1)</f>
        <v>L</v>
      </c>
      <c r="V129" s="82">
        <f>(RIGHT('REPORTS PER EVALUATOR'!$AQ$102,1))*1</f>
        <v>2</v>
      </c>
      <c r="W129" s="11" t="str">
        <f>LEFT('REPORTS PER EVALUATOR'!$AQ$114,1)</f>
        <v>1</v>
      </c>
      <c r="X129" s="82">
        <f>(RIGHT('REPORTS PER EVALUATOR'!$AQ$114,1))*1</f>
        <v>1</v>
      </c>
      <c r="Y129" s="11" t="str">
        <f>LEFT('REPORTS PER EVALUATOR'!$AQ$126,1)</f>
        <v>B</v>
      </c>
      <c r="Z129" s="93">
        <f>(RIGHT('REPORTS PER EVALUATOR'!$AQ$126,1))*1</f>
        <v>3</v>
      </c>
      <c r="AA129" s="11" t="e">
        <f>LEFT('REPORTS PER EVALUATOR'!#REF!,1)</f>
        <v>#REF!</v>
      </c>
      <c r="AB129" s="93" t="e">
        <f>(RIGHT('REPORTS PER EVALUATOR'!#REF!,1))*1</f>
        <v>#REF!</v>
      </c>
      <c r="AC129" s="11" t="e">
        <f>LEFT('REPORTS PER EVALUATOR'!#REF!,1)</f>
        <v>#REF!</v>
      </c>
      <c r="AD129" s="93" t="e">
        <f>(RIGHT('REPORTS PER EVALUATOR'!#REF!,1))*1</f>
        <v>#REF!</v>
      </c>
      <c r="AE129" s="11" t="e">
        <f>LEFT('REPORTS PER EVALUATOR'!#REF!,1)</f>
        <v>#REF!</v>
      </c>
      <c r="AF129" s="93" t="e">
        <f>(RIGHT('REPORTS PER EVALUATOR'!#REF!,1))*1</f>
        <v>#REF!</v>
      </c>
      <c r="AG129" s="11" t="e">
        <f>LEFT('REPORTS PER EVALUATOR'!#REF!,1)</f>
        <v>#REF!</v>
      </c>
      <c r="AH129" s="93" t="e">
        <f>(RIGHT('REPORTS PER EVALUATOR'!#REF!,1))*1</f>
        <v>#REF!</v>
      </c>
      <c r="AI129" s="11" t="e">
        <f>LEFT('REPORTS PER EVALUATOR'!#REF!,1)</f>
        <v>#REF!</v>
      </c>
      <c r="AJ129" s="93" t="e">
        <f>(RIGHT('REPORTS PER EVALUATOR'!#REF!,1))*1</f>
        <v>#REF!</v>
      </c>
      <c r="AK129" s="11" t="e">
        <f>LEFT('REPORTS PER EVALUATOR'!#REF!,1)</f>
        <v>#REF!</v>
      </c>
      <c r="AL129" s="93" t="e">
        <f>(RIGHT('REPORTS PER EVALUATOR'!#REF!,1))*1</f>
        <v>#REF!</v>
      </c>
      <c r="AM129" s="11" t="e">
        <f>LEFT('REPORTS PER EVALUATOR'!#REF!,1)</f>
        <v>#REF!</v>
      </c>
      <c r="AN129" s="93" t="e">
        <f>(RIGHT('REPORTS PER EVALUATOR'!#REF!,1))*1</f>
        <v>#REF!</v>
      </c>
      <c r="AO129" s="11" t="e">
        <f>LEFT('REPORTS PER EVALUATOR'!#REF!,1)</f>
        <v>#REF!</v>
      </c>
      <c r="AP129" s="93" t="e">
        <f>(RIGHT('REPORTS PER EVALUATOR'!#REF!,1))*1</f>
        <v>#REF!</v>
      </c>
      <c r="AQ129" s="11" t="e">
        <f>LEFT('REPORTS PER EVALUATOR'!#REF!,1)</f>
        <v>#REF!</v>
      </c>
      <c r="AR129" s="93" t="e">
        <f>(RIGHT('REPORTS PER EVALUATOR'!#REF!,1))*1</f>
        <v>#REF!</v>
      </c>
    </row>
    <row r="130" spans="2:44" x14ac:dyDescent="0.2">
      <c r="B130" s="19" t="str">
        <f t="shared" si="7"/>
        <v>B</v>
      </c>
      <c r="C130" s="18" t="str">
        <f t="shared" si="6"/>
        <v>M</v>
      </c>
      <c r="D130" s="18" t="s">
        <v>158</v>
      </c>
      <c r="E130" s="26" t="str">
        <f>LEFT('REPORTS PER EVALUATOR'!$AR$6,1)</f>
        <v/>
      </c>
      <c r="F130" s="74" t="e">
        <f>(RIGHT('REPORTS PER EVALUATOR'!$AR$6,1))*1</f>
        <v>#VALUE!</v>
      </c>
      <c r="G130" s="11" t="str">
        <f>LEFT('REPORTS PER EVALUATOR'!$AR$18,1)</f>
        <v/>
      </c>
      <c r="H130" s="82" t="e">
        <f>(RIGHT('REPORTS PER EVALUATOR'!$AR$18,1))*1</f>
        <v>#VALUE!</v>
      </c>
      <c r="I130" s="11" t="str">
        <f>LEFT('REPORTS PER EVALUATOR'!$AR$30,1)</f>
        <v/>
      </c>
      <c r="J130" s="82" t="e">
        <f>(RIGHT('REPORTS PER EVALUATOR'!$AR$30,1))*1</f>
        <v>#VALUE!</v>
      </c>
      <c r="K130" s="11" t="str">
        <f>LEFT('REPORTS PER EVALUATOR'!$AR$42,1)</f>
        <v/>
      </c>
      <c r="L130" s="82" t="e">
        <f>(RIGHT('REPORTS PER EVALUATOR'!$AR$42,1))*1</f>
        <v>#VALUE!</v>
      </c>
      <c r="M130" s="11" t="str">
        <f>LEFT('REPORTS PER EVALUATOR'!$AR$54,1)</f>
        <v/>
      </c>
      <c r="N130" s="82" t="e">
        <f>(RIGHT('REPORTS PER EVALUATOR'!$AR$54,1))*1</f>
        <v>#VALUE!</v>
      </c>
      <c r="O130" s="11" t="str">
        <f>LEFT('REPORTS PER EVALUATOR'!$AR$66,1)</f>
        <v/>
      </c>
      <c r="P130" s="82" t="e">
        <f>(RIGHT('REPORTS PER EVALUATOR'!$AR$66,1))*1</f>
        <v>#VALUE!</v>
      </c>
      <c r="Q130" s="11" t="str">
        <f>LEFT('REPORTS PER EVALUATOR'!$AR$78,1)</f>
        <v/>
      </c>
      <c r="R130" s="82" t="e">
        <f>(RIGHT('REPORTS PER EVALUATOR'!$AR$78,1))*1</f>
        <v>#VALUE!</v>
      </c>
      <c r="S130" s="11" t="str">
        <f>LEFT('REPORTS PER EVALUATOR'!$AR$90,1)</f>
        <v/>
      </c>
      <c r="T130" s="82" t="e">
        <f>(RIGHT('REPORTS PER EVALUATOR'!$AR$90,1))*1</f>
        <v>#VALUE!</v>
      </c>
      <c r="U130" s="11" t="str">
        <f>LEFT('REPORTS PER EVALUATOR'!$AR$102,1)</f>
        <v/>
      </c>
      <c r="V130" s="82" t="e">
        <f>(RIGHT('REPORTS PER EVALUATOR'!$AR$102,1))*1</f>
        <v>#VALUE!</v>
      </c>
      <c r="W130" s="11" t="str">
        <f>LEFT('REPORTS PER EVALUATOR'!$AR$114,1)</f>
        <v/>
      </c>
      <c r="X130" s="82" t="e">
        <f>(RIGHT('REPORTS PER EVALUATOR'!$AR$114,1))*1</f>
        <v>#VALUE!</v>
      </c>
      <c r="Y130" s="11" t="str">
        <f>LEFT('REPORTS PER EVALUATOR'!$AR$126,1)</f>
        <v/>
      </c>
      <c r="Z130" s="93" t="e">
        <f>(RIGHT('REPORTS PER EVALUATOR'!$AR$126,1))*1</f>
        <v>#VALUE!</v>
      </c>
      <c r="AA130" s="11" t="e">
        <f>LEFT('REPORTS PER EVALUATOR'!#REF!,1)</f>
        <v>#REF!</v>
      </c>
      <c r="AB130" s="93" t="e">
        <f>(RIGHT('REPORTS PER EVALUATOR'!#REF!,1))*1</f>
        <v>#REF!</v>
      </c>
      <c r="AC130" s="11" t="e">
        <f>LEFT('REPORTS PER EVALUATOR'!#REF!,1)</f>
        <v>#REF!</v>
      </c>
      <c r="AD130" s="93" t="e">
        <f>(RIGHT('REPORTS PER EVALUATOR'!#REF!,1))*1</f>
        <v>#REF!</v>
      </c>
      <c r="AE130" s="11" t="e">
        <f>LEFT('REPORTS PER EVALUATOR'!#REF!,1)</f>
        <v>#REF!</v>
      </c>
      <c r="AF130" s="93" t="e">
        <f>(RIGHT('REPORTS PER EVALUATOR'!#REF!,1))*1</f>
        <v>#REF!</v>
      </c>
      <c r="AG130" s="11" t="e">
        <f>LEFT('REPORTS PER EVALUATOR'!#REF!,1)</f>
        <v>#REF!</v>
      </c>
      <c r="AH130" s="93" t="e">
        <f>(RIGHT('REPORTS PER EVALUATOR'!#REF!,1))*1</f>
        <v>#REF!</v>
      </c>
      <c r="AI130" s="11" t="e">
        <f>LEFT('REPORTS PER EVALUATOR'!#REF!,1)</f>
        <v>#REF!</v>
      </c>
      <c r="AJ130" s="93" t="e">
        <f>(RIGHT('REPORTS PER EVALUATOR'!#REF!,1))*1</f>
        <v>#REF!</v>
      </c>
      <c r="AK130" s="11" t="e">
        <f>LEFT('REPORTS PER EVALUATOR'!#REF!,1)</f>
        <v>#REF!</v>
      </c>
      <c r="AL130" s="93" t="e">
        <f>(RIGHT('REPORTS PER EVALUATOR'!#REF!,1))*1</f>
        <v>#REF!</v>
      </c>
      <c r="AM130" s="11" t="e">
        <f>LEFT('REPORTS PER EVALUATOR'!#REF!,1)</f>
        <v>#REF!</v>
      </c>
      <c r="AN130" s="93" t="e">
        <f>(RIGHT('REPORTS PER EVALUATOR'!#REF!,1))*1</f>
        <v>#REF!</v>
      </c>
      <c r="AO130" s="11" t="e">
        <f>LEFT('REPORTS PER EVALUATOR'!#REF!,1)</f>
        <v>#REF!</v>
      </c>
      <c r="AP130" s="93" t="e">
        <f>(RIGHT('REPORTS PER EVALUATOR'!#REF!,1))*1</f>
        <v>#REF!</v>
      </c>
      <c r="AQ130" s="11" t="e">
        <f>LEFT('REPORTS PER EVALUATOR'!#REF!,1)</f>
        <v>#REF!</v>
      </c>
      <c r="AR130" s="93" t="e">
        <f>(RIGHT('REPORTS PER EVALUATOR'!#REF!,1))*1</f>
        <v>#REF!</v>
      </c>
    </row>
    <row r="131" spans="2:44" x14ac:dyDescent="0.2">
      <c r="B131" s="19" t="str">
        <f t="shared" si="7"/>
        <v>C</v>
      </c>
      <c r="C131" s="18" t="str">
        <f t="shared" si="6"/>
        <v>D</v>
      </c>
      <c r="D131" s="18" t="s">
        <v>28</v>
      </c>
      <c r="E131" s="57" t="str">
        <f>LEFT('REPORTS PER EVALUATOR'!$AK$7,1)</f>
        <v>D</v>
      </c>
      <c r="F131" s="73">
        <f>(RIGHT('REPORTS PER EVALUATOR'!$AK$7,1))*1</f>
        <v>5</v>
      </c>
      <c r="G131" s="58" t="str">
        <f>LEFT('REPORTS PER EVALUATOR'!$AK$19,1)</f>
        <v>D</v>
      </c>
      <c r="H131" s="81">
        <f>(RIGHT('REPORTS PER EVALUATOR'!$AK$19,1))*1</f>
        <v>5</v>
      </c>
      <c r="I131" s="58" t="str">
        <f>LEFT('REPORTS PER EVALUATOR'!$AK$31,1)</f>
        <v>D</v>
      </c>
      <c r="J131" s="81">
        <f>(RIGHT('REPORTS PER EVALUATOR'!$AK$31,1))*1</f>
        <v>3</v>
      </c>
      <c r="K131" s="58" t="str">
        <f>LEFT('REPORTS PER EVALUATOR'!$AK$43,1)</f>
        <v>D</v>
      </c>
      <c r="L131" s="81">
        <f>(RIGHT('REPORTS PER EVALUATOR'!$AK$43,1))*1</f>
        <v>2</v>
      </c>
      <c r="M131" s="58" t="str">
        <f>LEFT('REPORTS PER EVALUATOR'!$AK$55,1)</f>
        <v>D</v>
      </c>
      <c r="N131" s="81">
        <f>(RIGHT('REPORTS PER EVALUATOR'!$AK$55,1))*1</f>
        <v>6</v>
      </c>
      <c r="O131" s="58" t="str">
        <f>LEFT('REPORTS PER EVALUATOR'!$AK$67,1)</f>
        <v>D</v>
      </c>
      <c r="P131" s="81">
        <f>(RIGHT('REPORTS PER EVALUATOR'!$AK$67,1))*1</f>
        <v>5</v>
      </c>
      <c r="Q131" s="58" t="str">
        <f>LEFT('REPORTS PER EVALUATOR'!$AK$79,1)</f>
        <v>D</v>
      </c>
      <c r="R131" s="81">
        <f>(RIGHT('REPORTS PER EVALUATOR'!$AK$79,1))*1</f>
        <v>5</v>
      </c>
      <c r="S131" s="58" t="str">
        <f>LEFT('REPORTS PER EVALUATOR'!$AK$91,1)</f>
        <v>D</v>
      </c>
      <c r="T131" s="81">
        <f>(RIGHT('REPORTS PER EVALUATOR'!$AK$91,1))*1</f>
        <v>3</v>
      </c>
      <c r="U131" s="58" t="str">
        <f>LEFT('REPORTS PER EVALUATOR'!$AK$103,1)</f>
        <v>C</v>
      </c>
      <c r="V131" s="81">
        <f>(RIGHT('REPORTS PER EVALUATOR'!$AK$103,1))*1</f>
        <v>2</v>
      </c>
      <c r="W131" s="58" t="str">
        <f>LEFT('REPORTS PER EVALUATOR'!$AK$115,1)</f>
        <v>D</v>
      </c>
      <c r="X131" s="81">
        <f>(RIGHT('REPORTS PER EVALUATOR'!$AK$115,1))*1</f>
        <v>3</v>
      </c>
      <c r="Y131" s="58" t="str">
        <f>LEFT('REPORTS PER EVALUATOR'!$AK$127,1)</f>
        <v>D</v>
      </c>
      <c r="Z131" s="94">
        <f>(RIGHT('REPORTS PER EVALUATOR'!$AK$127,1))*1</f>
        <v>2</v>
      </c>
      <c r="AA131" s="58" t="e">
        <f>LEFT('REPORTS PER EVALUATOR'!#REF!,1)</f>
        <v>#REF!</v>
      </c>
      <c r="AB131" s="94" t="e">
        <f>(RIGHT('REPORTS PER EVALUATOR'!#REF!,1))*1</f>
        <v>#REF!</v>
      </c>
      <c r="AC131" s="58" t="e">
        <f>LEFT('REPORTS PER EVALUATOR'!#REF!,1)</f>
        <v>#REF!</v>
      </c>
      <c r="AD131" s="94" t="e">
        <f>(RIGHT('REPORTS PER EVALUATOR'!#REF!,1))*1</f>
        <v>#REF!</v>
      </c>
      <c r="AE131" s="58" t="e">
        <f>LEFT('REPORTS PER EVALUATOR'!#REF!,1)</f>
        <v>#REF!</v>
      </c>
      <c r="AF131" s="94" t="e">
        <f>(RIGHT('REPORTS PER EVALUATOR'!#REF!,1))*1</f>
        <v>#REF!</v>
      </c>
      <c r="AG131" s="58" t="e">
        <f>LEFT('REPORTS PER EVALUATOR'!#REF!,1)</f>
        <v>#REF!</v>
      </c>
      <c r="AH131" s="94" t="e">
        <f>(RIGHT('REPORTS PER EVALUATOR'!#REF!,1))*1</f>
        <v>#REF!</v>
      </c>
      <c r="AI131" s="58" t="e">
        <f>LEFT('REPORTS PER EVALUATOR'!#REF!,1)</f>
        <v>#REF!</v>
      </c>
      <c r="AJ131" s="94" t="e">
        <f>(RIGHT('REPORTS PER EVALUATOR'!#REF!,1))*1</f>
        <v>#REF!</v>
      </c>
      <c r="AK131" s="58" t="e">
        <f>LEFT('REPORTS PER EVALUATOR'!#REF!,1)</f>
        <v>#REF!</v>
      </c>
      <c r="AL131" s="94" t="e">
        <f>(RIGHT('REPORTS PER EVALUATOR'!#REF!,1))*1</f>
        <v>#REF!</v>
      </c>
      <c r="AM131" s="58" t="e">
        <f>LEFT('REPORTS PER EVALUATOR'!#REF!,1)</f>
        <v>#REF!</v>
      </c>
      <c r="AN131" s="94" t="e">
        <f>(RIGHT('REPORTS PER EVALUATOR'!#REF!,1))*1</f>
        <v>#REF!</v>
      </c>
      <c r="AO131" s="58" t="e">
        <f>LEFT('REPORTS PER EVALUATOR'!#REF!,1)</f>
        <v>#REF!</v>
      </c>
      <c r="AP131" s="94" t="e">
        <f>(RIGHT('REPORTS PER EVALUATOR'!#REF!,1))*1</f>
        <v>#REF!</v>
      </c>
      <c r="AQ131" s="58" t="e">
        <f>LEFT('REPORTS PER EVALUATOR'!#REF!,1)</f>
        <v>#REF!</v>
      </c>
      <c r="AR131" s="94" t="e">
        <f>(RIGHT('REPORTS PER EVALUATOR'!#REF!,1))*1</f>
        <v>#REF!</v>
      </c>
    </row>
    <row r="132" spans="2:44" x14ac:dyDescent="0.2">
      <c r="B132" s="19" t="str">
        <f t="shared" si="7"/>
        <v>C</v>
      </c>
      <c r="C132" s="18" t="str">
        <f t="shared" si="6"/>
        <v>E</v>
      </c>
      <c r="D132" s="18" t="s">
        <v>29</v>
      </c>
      <c r="E132" s="26" t="str">
        <f>LEFT('REPORTS PER EVALUATOR'!$AL$7,1)</f>
        <v>E</v>
      </c>
      <c r="F132" s="74">
        <f>(RIGHT('REPORTS PER EVALUATOR'!$AL$7,1))*1</f>
        <v>3</v>
      </c>
      <c r="G132" s="11" t="str">
        <f>LEFT('REPORTS PER EVALUATOR'!$AL$19,1)</f>
        <v>E</v>
      </c>
      <c r="H132" s="82">
        <f>(RIGHT('REPORTS PER EVALUATOR'!$AL$19,1))*1</f>
        <v>5</v>
      </c>
      <c r="I132" s="11" t="str">
        <f>LEFT('REPORTS PER EVALUATOR'!$AL$31,1)</f>
        <v>C</v>
      </c>
      <c r="J132" s="82">
        <f>(RIGHT('REPORTS PER EVALUATOR'!$AL$31,1))*1</f>
        <v>3</v>
      </c>
      <c r="K132" s="11" t="str">
        <f>LEFT('REPORTS PER EVALUATOR'!$AL$43,1)</f>
        <v>1</v>
      </c>
      <c r="L132" s="82">
        <f>(RIGHT('REPORTS PER EVALUATOR'!$AL$43,1))*1</f>
        <v>1</v>
      </c>
      <c r="M132" s="11" t="str">
        <f>LEFT('REPORTS PER EVALUATOR'!$AL$55,1)</f>
        <v>E</v>
      </c>
      <c r="N132" s="82">
        <f>(RIGHT('REPORTS PER EVALUATOR'!$AL$55,1))*1</f>
        <v>5</v>
      </c>
      <c r="O132" s="11" t="str">
        <f>LEFT('REPORTS PER EVALUATOR'!$AL$67,1)</f>
        <v>E</v>
      </c>
      <c r="P132" s="82">
        <f>(RIGHT('REPORTS PER EVALUATOR'!$AL$67,1))*1</f>
        <v>5</v>
      </c>
      <c r="Q132" s="11" t="str">
        <f>LEFT('REPORTS PER EVALUATOR'!$AL$79,1)</f>
        <v>E</v>
      </c>
      <c r="R132" s="82">
        <f>(RIGHT('REPORTS PER EVALUATOR'!$AL$79,1))*1</f>
        <v>5</v>
      </c>
      <c r="S132" s="11" t="str">
        <f>LEFT('REPORTS PER EVALUATOR'!$AL$91,1)</f>
        <v>E</v>
      </c>
      <c r="T132" s="82">
        <f>(RIGHT('REPORTS PER EVALUATOR'!$AL$91,1))*1</f>
        <v>2</v>
      </c>
      <c r="U132" s="11" t="str">
        <f>LEFT('REPORTS PER EVALUATOR'!$AL$103,1)</f>
        <v>1</v>
      </c>
      <c r="V132" s="82">
        <f>(RIGHT('REPORTS PER EVALUATOR'!$AL$103,1))*1</f>
        <v>1</v>
      </c>
      <c r="W132" s="11" t="str">
        <f>LEFT('REPORTS PER EVALUATOR'!$AL$115,1)</f>
        <v>1</v>
      </c>
      <c r="X132" s="82">
        <f>(RIGHT('REPORTS PER EVALUATOR'!$AL$115,1))*1</f>
        <v>1</v>
      </c>
      <c r="Y132" s="11" t="str">
        <f>LEFT('REPORTS PER EVALUATOR'!$AL$127,1)</f>
        <v>E</v>
      </c>
      <c r="Z132" s="93">
        <f>(RIGHT('REPORTS PER EVALUATOR'!$AL$127,1))*1</f>
        <v>2</v>
      </c>
      <c r="AA132" s="11" t="e">
        <f>LEFT('REPORTS PER EVALUATOR'!#REF!,1)</f>
        <v>#REF!</v>
      </c>
      <c r="AB132" s="93" t="e">
        <f>(RIGHT('REPORTS PER EVALUATOR'!#REF!,1))*1</f>
        <v>#REF!</v>
      </c>
      <c r="AC132" s="11" t="e">
        <f>LEFT('REPORTS PER EVALUATOR'!#REF!,1)</f>
        <v>#REF!</v>
      </c>
      <c r="AD132" s="93" t="e">
        <f>(RIGHT('REPORTS PER EVALUATOR'!#REF!,1))*1</f>
        <v>#REF!</v>
      </c>
      <c r="AE132" s="11" t="e">
        <f>LEFT('REPORTS PER EVALUATOR'!#REF!,1)</f>
        <v>#REF!</v>
      </c>
      <c r="AF132" s="93" t="e">
        <f>(RIGHT('REPORTS PER EVALUATOR'!#REF!,1))*1</f>
        <v>#REF!</v>
      </c>
      <c r="AG132" s="11" t="e">
        <f>LEFT('REPORTS PER EVALUATOR'!#REF!,1)</f>
        <v>#REF!</v>
      </c>
      <c r="AH132" s="93" t="e">
        <f>(RIGHT('REPORTS PER EVALUATOR'!#REF!,1))*1</f>
        <v>#REF!</v>
      </c>
      <c r="AI132" s="11" t="e">
        <f>LEFT('REPORTS PER EVALUATOR'!#REF!,1)</f>
        <v>#REF!</v>
      </c>
      <c r="AJ132" s="93" t="e">
        <f>(RIGHT('REPORTS PER EVALUATOR'!#REF!,1))*1</f>
        <v>#REF!</v>
      </c>
      <c r="AK132" s="11" t="e">
        <f>LEFT('REPORTS PER EVALUATOR'!#REF!,1)</f>
        <v>#REF!</v>
      </c>
      <c r="AL132" s="93" t="e">
        <f>(RIGHT('REPORTS PER EVALUATOR'!#REF!,1))*1</f>
        <v>#REF!</v>
      </c>
      <c r="AM132" s="11" t="e">
        <f>LEFT('REPORTS PER EVALUATOR'!#REF!,1)</f>
        <v>#REF!</v>
      </c>
      <c r="AN132" s="93" t="e">
        <f>(RIGHT('REPORTS PER EVALUATOR'!#REF!,1))*1</f>
        <v>#REF!</v>
      </c>
      <c r="AO132" s="11" t="e">
        <f>LEFT('REPORTS PER EVALUATOR'!#REF!,1)</f>
        <v>#REF!</v>
      </c>
      <c r="AP132" s="93" t="e">
        <f>(RIGHT('REPORTS PER EVALUATOR'!#REF!,1))*1</f>
        <v>#REF!</v>
      </c>
      <c r="AQ132" s="11" t="e">
        <f>LEFT('REPORTS PER EVALUATOR'!#REF!,1)</f>
        <v>#REF!</v>
      </c>
      <c r="AR132" s="93" t="e">
        <f>(RIGHT('REPORTS PER EVALUATOR'!#REF!,1))*1</f>
        <v>#REF!</v>
      </c>
    </row>
    <row r="133" spans="2:44" x14ac:dyDescent="0.2">
      <c r="B133" s="19" t="str">
        <f t="shared" ref="B133:B166" si="8">LEFT(D133,1)</f>
        <v>C</v>
      </c>
      <c r="C133" s="18" t="str">
        <f t="shared" ref="C133:C166" si="9">RIGHT(D133,1)</f>
        <v>F</v>
      </c>
      <c r="D133" s="18" t="s">
        <v>30</v>
      </c>
      <c r="E133" s="26" t="str">
        <f>LEFT('REPORTS PER EVALUATOR'!$AM$7,1)</f>
        <v>F</v>
      </c>
      <c r="F133" s="74">
        <f>(RIGHT('REPORTS PER EVALUATOR'!$AM$7,1))*1</f>
        <v>3</v>
      </c>
      <c r="G133" s="11" t="str">
        <f>LEFT('REPORTS PER EVALUATOR'!$AM$19,1)</f>
        <v>F</v>
      </c>
      <c r="H133" s="82">
        <f>(RIGHT('REPORTS PER EVALUATOR'!$AM$19,1))*1</f>
        <v>4</v>
      </c>
      <c r="I133" s="11" t="str">
        <f>LEFT('REPORTS PER EVALUATOR'!$AM$31,1)</f>
        <v>F</v>
      </c>
      <c r="J133" s="82">
        <f>(RIGHT('REPORTS PER EVALUATOR'!$AM$31,1))*1</f>
        <v>3</v>
      </c>
      <c r="K133" s="11" t="str">
        <f>LEFT('REPORTS PER EVALUATOR'!$AM$43,1)</f>
        <v>F</v>
      </c>
      <c r="L133" s="82">
        <f>(RIGHT('REPORTS PER EVALUATOR'!$AM$43,1))*1</f>
        <v>2</v>
      </c>
      <c r="M133" s="11" t="str">
        <f>LEFT('REPORTS PER EVALUATOR'!$AM$55,1)</f>
        <v>F</v>
      </c>
      <c r="N133" s="82">
        <f>(RIGHT('REPORTS PER EVALUATOR'!$AM$55,1))*1</f>
        <v>6</v>
      </c>
      <c r="O133" s="11" t="str">
        <f>LEFT('REPORTS PER EVALUATOR'!$AM$67,1)</f>
        <v>F</v>
      </c>
      <c r="P133" s="82">
        <f>(RIGHT('REPORTS PER EVALUATOR'!$AM$67,1))*1</f>
        <v>5</v>
      </c>
      <c r="Q133" s="11" t="str">
        <f>LEFT('REPORTS PER EVALUATOR'!$AM$79,1)</f>
        <v>F</v>
      </c>
      <c r="R133" s="82">
        <f>(RIGHT('REPORTS PER EVALUATOR'!$AM$79,1))*1</f>
        <v>5</v>
      </c>
      <c r="S133" s="11" t="str">
        <f>LEFT('REPORTS PER EVALUATOR'!$AM$91,1)</f>
        <v>1</v>
      </c>
      <c r="T133" s="82">
        <f>(RIGHT('REPORTS PER EVALUATOR'!$AM$91,1))*1</f>
        <v>1</v>
      </c>
      <c r="U133" s="11" t="str">
        <f>LEFT('REPORTS PER EVALUATOR'!$AM$103,1)</f>
        <v>C</v>
      </c>
      <c r="V133" s="82">
        <f>(RIGHT('REPORTS PER EVALUATOR'!$AM$103,1))*1</f>
        <v>2</v>
      </c>
      <c r="W133" s="11" t="str">
        <f>LEFT('REPORTS PER EVALUATOR'!$AM$115,1)</f>
        <v>F</v>
      </c>
      <c r="X133" s="82">
        <f>(RIGHT('REPORTS PER EVALUATOR'!$AM$115,1))*1</f>
        <v>2</v>
      </c>
      <c r="Y133" s="11" t="str">
        <f>LEFT('REPORTS PER EVALUATOR'!$AM$127,1)</f>
        <v>1</v>
      </c>
      <c r="Z133" s="93">
        <f>(RIGHT('REPORTS PER EVALUATOR'!$AM$127,1))*1</f>
        <v>1</v>
      </c>
      <c r="AA133" s="11" t="e">
        <f>LEFT('REPORTS PER EVALUATOR'!#REF!,1)</f>
        <v>#REF!</v>
      </c>
      <c r="AB133" s="93" t="e">
        <f>(RIGHT('REPORTS PER EVALUATOR'!#REF!,1))*1</f>
        <v>#REF!</v>
      </c>
      <c r="AC133" s="11" t="e">
        <f>LEFT('REPORTS PER EVALUATOR'!#REF!,1)</f>
        <v>#REF!</v>
      </c>
      <c r="AD133" s="93" t="e">
        <f>(RIGHT('REPORTS PER EVALUATOR'!#REF!,1))*1</f>
        <v>#REF!</v>
      </c>
      <c r="AE133" s="11" t="e">
        <f>LEFT('REPORTS PER EVALUATOR'!#REF!,1)</f>
        <v>#REF!</v>
      </c>
      <c r="AF133" s="93" t="e">
        <f>(RIGHT('REPORTS PER EVALUATOR'!#REF!,1))*1</f>
        <v>#REF!</v>
      </c>
      <c r="AG133" s="11" t="e">
        <f>LEFT('REPORTS PER EVALUATOR'!#REF!,1)</f>
        <v>#REF!</v>
      </c>
      <c r="AH133" s="93" t="e">
        <f>(RIGHT('REPORTS PER EVALUATOR'!#REF!,1))*1</f>
        <v>#REF!</v>
      </c>
      <c r="AI133" s="11" t="e">
        <f>LEFT('REPORTS PER EVALUATOR'!#REF!,1)</f>
        <v>#REF!</v>
      </c>
      <c r="AJ133" s="93" t="e">
        <f>(RIGHT('REPORTS PER EVALUATOR'!#REF!,1))*1</f>
        <v>#REF!</v>
      </c>
      <c r="AK133" s="11" t="e">
        <f>LEFT('REPORTS PER EVALUATOR'!#REF!,1)</f>
        <v>#REF!</v>
      </c>
      <c r="AL133" s="93" t="e">
        <f>(RIGHT('REPORTS PER EVALUATOR'!#REF!,1))*1</f>
        <v>#REF!</v>
      </c>
      <c r="AM133" s="11" t="e">
        <f>LEFT('REPORTS PER EVALUATOR'!#REF!,1)</f>
        <v>#REF!</v>
      </c>
      <c r="AN133" s="93" t="e">
        <f>(RIGHT('REPORTS PER EVALUATOR'!#REF!,1))*1</f>
        <v>#REF!</v>
      </c>
      <c r="AO133" s="11" t="e">
        <f>LEFT('REPORTS PER EVALUATOR'!#REF!,1)</f>
        <v>#REF!</v>
      </c>
      <c r="AP133" s="93" t="e">
        <f>(RIGHT('REPORTS PER EVALUATOR'!#REF!,1))*1</f>
        <v>#REF!</v>
      </c>
      <c r="AQ133" s="11" t="e">
        <f>LEFT('REPORTS PER EVALUATOR'!#REF!,1)</f>
        <v>#REF!</v>
      </c>
      <c r="AR133" s="93" t="e">
        <f>(RIGHT('REPORTS PER EVALUATOR'!#REF!,1))*1</f>
        <v>#REF!</v>
      </c>
    </row>
    <row r="134" spans="2:44" x14ac:dyDescent="0.2">
      <c r="B134" s="19" t="str">
        <f t="shared" si="8"/>
        <v>C</v>
      </c>
      <c r="C134" s="18" t="str">
        <f t="shared" si="9"/>
        <v>G</v>
      </c>
      <c r="D134" s="18" t="s">
        <v>31</v>
      </c>
      <c r="E134" s="26" t="str">
        <f>LEFT('REPORTS PER EVALUATOR'!$AN$7,1)</f>
        <v>1</v>
      </c>
      <c r="F134" s="74">
        <f>(RIGHT('REPORTS PER EVALUATOR'!$AN$7,1))*1</f>
        <v>1</v>
      </c>
      <c r="G134" s="11" t="str">
        <f>LEFT('REPORTS PER EVALUATOR'!$AN$19,1)</f>
        <v>G</v>
      </c>
      <c r="H134" s="82">
        <f>(RIGHT('REPORTS PER EVALUATOR'!$AN$19,1))*1</f>
        <v>2</v>
      </c>
      <c r="I134" s="11" t="str">
        <f>LEFT('REPORTS PER EVALUATOR'!$AN$31,1)</f>
        <v>C</v>
      </c>
      <c r="J134" s="82">
        <f>(RIGHT('REPORTS PER EVALUATOR'!$AN$31,1))*1</f>
        <v>3</v>
      </c>
      <c r="K134" s="11" t="str">
        <f>LEFT('REPORTS PER EVALUATOR'!$AN$43,1)</f>
        <v>G</v>
      </c>
      <c r="L134" s="82">
        <f>(RIGHT('REPORTS PER EVALUATOR'!$AN$43,1))*1</f>
        <v>2</v>
      </c>
      <c r="M134" s="11" t="str">
        <f>LEFT('REPORTS PER EVALUATOR'!$AN$55,1)</f>
        <v>G</v>
      </c>
      <c r="N134" s="82">
        <f>(RIGHT('REPORTS PER EVALUATOR'!$AN$55,1))*1</f>
        <v>4</v>
      </c>
      <c r="O134" s="11" t="str">
        <f>LEFT('REPORTS PER EVALUATOR'!$AN$67,1)</f>
        <v>G</v>
      </c>
      <c r="P134" s="82">
        <f>(RIGHT('REPORTS PER EVALUATOR'!$AN$67,1))*1</f>
        <v>3</v>
      </c>
      <c r="Q134" s="11" t="str">
        <f>LEFT('REPORTS PER EVALUATOR'!$AN$79,1)</f>
        <v>G</v>
      </c>
      <c r="R134" s="82">
        <f>(RIGHT('REPORTS PER EVALUATOR'!$AN$79,1))*1</f>
        <v>5</v>
      </c>
      <c r="S134" s="11" t="str">
        <f>LEFT('REPORTS PER EVALUATOR'!$AN$91,1)</f>
        <v>C</v>
      </c>
      <c r="T134" s="82">
        <f>(RIGHT('REPORTS PER EVALUATOR'!$AN$91,1))*1</f>
        <v>6</v>
      </c>
      <c r="U134" s="11" t="str">
        <f>LEFT('REPORTS PER EVALUATOR'!$AN$103,1)</f>
        <v>C</v>
      </c>
      <c r="V134" s="82">
        <f>(RIGHT('REPORTS PER EVALUATOR'!$AN$103,1))*1</f>
        <v>4</v>
      </c>
      <c r="W134" s="11" t="str">
        <f>LEFT('REPORTS PER EVALUATOR'!$AN$115,1)</f>
        <v>G</v>
      </c>
      <c r="X134" s="82">
        <f>(RIGHT('REPORTS PER EVALUATOR'!$AN$115,1))*1</f>
        <v>2</v>
      </c>
      <c r="Y134" s="11" t="str">
        <f>LEFT('REPORTS PER EVALUATOR'!$AN$127,1)</f>
        <v>C</v>
      </c>
      <c r="Z134" s="93">
        <f>(RIGHT('REPORTS PER EVALUATOR'!$AN$127,1))*1</f>
        <v>3</v>
      </c>
      <c r="AA134" s="11" t="e">
        <f>LEFT('REPORTS PER EVALUATOR'!#REF!,1)</f>
        <v>#REF!</v>
      </c>
      <c r="AB134" s="93" t="e">
        <f>(RIGHT('REPORTS PER EVALUATOR'!#REF!,1))*1</f>
        <v>#REF!</v>
      </c>
      <c r="AC134" s="11" t="e">
        <f>LEFT('REPORTS PER EVALUATOR'!#REF!,1)</f>
        <v>#REF!</v>
      </c>
      <c r="AD134" s="93" t="e">
        <f>(RIGHT('REPORTS PER EVALUATOR'!#REF!,1))*1</f>
        <v>#REF!</v>
      </c>
      <c r="AE134" s="11" t="e">
        <f>LEFT('REPORTS PER EVALUATOR'!#REF!,1)</f>
        <v>#REF!</v>
      </c>
      <c r="AF134" s="93" t="e">
        <f>(RIGHT('REPORTS PER EVALUATOR'!#REF!,1))*1</f>
        <v>#REF!</v>
      </c>
      <c r="AG134" s="11" t="e">
        <f>LEFT('REPORTS PER EVALUATOR'!#REF!,1)</f>
        <v>#REF!</v>
      </c>
      <c r="AH134" s="93" t="e">
        <f>(RIGHT('REPORTS PER EVALUATOR'!#REF!,1))*1</f>
        <v>#REF!</v>
      </c>
      <c r="AI134" s="11" t="e">
        <f>LEFT('REPORTS PER EVALUATOR'!#REF!,1)</f>
        <v>#REF!</v>
      </c>
      <c r="AJ134" s="93" t="e">
        <f>(RIGHT('REPORTS PER EVALUATOR'!#REF!,1))*1</f>
        <v>#REF!</v>
      </c>
      <c r="AK134" s="11" t="e">
        <f>LEFT('REPORTS PER EVALUATOR'!#REF!,1)</f>
        <v>#REF!</v>
      </c>
      <c r="AL134" s="93" t="e">
        <f>(RIGHT('REPORTS PER EVALUATOR'!#REF!,1))*1</f>
        <v>#REF!</v>
      </c>
      <c r="AM134" s="11" t="e">
        <f>LEFT('REPORTS PER EVALUATOR'!#REF!,1)</f>
        <v>#REF!</v>
      </c>
      <c r="AN134" s="93" t="e">
        <f>(RIGHT('REPORTS PER EVALUATOR'!#REF!,1))*1</f>
        <v>#REF!</v>
      </c>
      <c r="AO134" s="11" t="e">
        <f>LEFT('REPORTS PER EVALUATOR'!#REF!,1)</f>
        <v>#REF!</v>
      </c>
      <c r="AP134" s="93" t="e">
        <f>(RIGHT('REPORTS PER EVALUATOR'!#REF!,1))*1</f>
        <v>#REF!</v>
      </c>
      <c r="AQ134" s="11" t="e">
        <f>LEFT('REPORTS PER EVALUATOR'!#REF!,1)</f>
        <v>#REF!</v>
      </c>
      <c r="AR134" s="93" t="e">
        <f>(RIGHT('REPORTS PER EVALUATOR'!#REF!,1))*1</f>
        <v>#REF!</v>
      </c>
    </row>
    <row r="135" spans="2:44" x14ac:dyDescent="0.2">
      <c r="B135" s="19" t="str">
        <f t="shared" si="8"/>
        <v>C</v>
      </c>
      <c r="C135" s="18" t="str">
        <f t="shared" si="9"/>
        <v>H</v>
      </c>
      <c r="D135" s="18" t="s">
        <v>32</v>
      </c>
      <c r="E135" s="26" t="str">
        <f>LEFT('REPORTS PER EVALUATOR'!$AO$7,1)</f>
        <v>H</v>
      </c>
      <c r="F135" s="74">
        <f>(RIGHT('REPORTS PER EVALUATOR'!$AO$7,1))*1</f>
        <v>3</v>
      </c>
      <c r="G135" s="11" t="str">
        <f>LEFT('REPORTS PER EVALUATOR'!$AO$19,1)</f>
        <v>H</v>
      </c>
      <c r="H135" s="82">
        <f>(RIGHT('REPORTS PER EVALUATOR'!$AO$19,1))*1</f>
        <v>3</v>
      </c>
      <c r="I135" s="11" t="str">
        <f>LEFT('REPORTS PER EVALUATOR'!$AO$31,1)</f>
        <v>H</v>
      </c>
      <c r="J135" s="82">
        <f>(RIGHT('REPORTS PER EVALUATOR'!$AO$31,1))*1</f>
        <v>3</v>
      </c>
      <c r="K135" s="11" t="str">
        <f>LEFT('REPORTS PER EVALUATOR'!$AO$43,1)</f>
        <v>C</v>
      </c>
      <c r="L135" s="82">
        <f>(RIGHT('REPORTS PER EVALUATOR'!$AO$43,1))*1</f>
        <v>3</v>
      </c>
      <c r="M135" s="11" t="str">
        <f>LEFT('REPORTS PER EVALUATOR'!$AO$55,1)</f>
        <v>H</v>
      </c>
      <c r="N135" s="82">
        <f>(RIGHT('REPORTS PER EVALUATOR'!$AO$55,1))*1</f>
        <v>4</v>
      </c>
      <c r="O135" s="11" t="str">
        <f>LEFT('REPORTS PER EVALUATOR'!$AO$67,1)</f>
        <v>H</v>
      </c>
      <c r="P135" s="82">
        <f>(RIGHT('REPORTS PER EVALUATOR'!$AO$67,1))*1</f>
        <v>5</v>
      </c>
      <c r="Q135" s="11" t="str">
        <f>LEFT('REPORTS PER EVALUATOR'!$AO$79,1)</f>
        <v>H</v>
      </c>
      <c r="R135" s="82">
        <f>(RIGHT('REPORTS PER EVALUATOR'!$AO$79,1))*1</f>
        <v>5</v>
      </c>
      <c r="S135" s="11" t="str">
        <f>LEFT('REPORTS PER EVALUATOR'!$AO$91,1)</f>
        <v>H</v>
      </c>
      <c r="T135" s="82">
        <f>(RIGHT('REPORTS PER EVALUATOR'!$AO$91,1))*1</f>
        <v>3</v>
      </c>
      <c r="U135" s="11" t="str">
        <f>LEFT('REPORTS PER EVALUATOR'!$AO$103,1)</f>
        <v>1</v>
      </c>
      <c r="V135" s="82">
        <f>(RIGHT('REPORTS PER EVALUATOR'!$AO$103,1))*1</f>
        <v>1</v>
      </c>
      <c r="W135" s="11" t="str">
        <f>LEFT('REPORTS PER EVALUATOR'!$AO$115,1)</f>
        <v>H</v>
      </c>
      <c r="X135" s="82">
        <f>(RIGHT('REPORTS PER EVALUATOR'!$AO$115,1))*1</f>
        <v>3</v>
      </c>
      <c r="Y135" s="11" t="str">
        <f>LEFT('REPORTS PER EVALUATOR'!$AO$127,1)</f>
        <v>1</v>
      </c>
      <c r="Z135" s="93">
        <f>(RIGHT('REPORTS PER EVALUATOR'!$AO$127,1))*1</f>
        <v>1</v>
      </c>
      <c r="AA135" s="11" t="e">
        <f>LEFT('REPORTS PER EVALUATOR'!#REF!,1)</f>
        <v>#REF!</v>
      </c>
      <c r="AB135" s="93" t="e">
        <f>(RIGHT('REPORTS PER EVALUATOR'!#REF!,1))*1</f>
        <v>#REF!</v>
      </c>
      <c r="AC135" s="11" t="e">
        <f>LEFT('REPORTS PER EVALUATOR'!#REF!,1)</f>
        <v>#REF!</v>
      </c>
      <c r="AD135" s="93" t="e">
        <f>(RIGHT('REPORTS PER EVALUATOR'!#REF!,1))*1</f>
        <v>#REF!</v>
      </c>
      <c r="AE135" s="11" t="e">
        <f>LEFT('REPORTS PER EVALUATOR'!#REF!,1)</f>
        <v>#REF!</v>
      </c>
      <c r="AF135" s="93" t="e">
        <f>(RIGHT('REPORTS PER EVALUATOR'!#REF!,1))*1</f>
        <v>#REF!</v>
      </c>
      <c r="AG135" s="11" t="e">
        <f>LEFT('REPORTS PER EVALUATOR'!#REF!,1)</f>
        <v>#REF!</v>
      </c>
      <c r="AH135" s="93" t="e">
        <f>(RIGHT('REPORTS PER EVALUATOR'!#REF!,1))*1</f>
        <v>#REF!</v>
      </c>
      <c r="AI135" s="11" t="e">
        <f>LEFT('REPORTS PER EVALUATOR'!#REF!,1)</f>
        <v>#REF!</v>
      </c>
      <c r="AJ135" s="93" t="e">
        <f>(RIGHT('REPORTS PER EVALUATOR'!#REF!,1))*1</f>
        <v>#REF!</v>
      </c>
      <c r="AK135" s="11" t="e">
        <f>LEFT('REPORTS PER EVALUATOR'!#REF!,1)</f>
        <v>#REF!</v>
      </c>
      <c r="AL135" s="93" t="e">
        <f>(RIGHT('REPORTS PER EVALUATOR'!#REF!,1))*1</f>
        <v>#REF!</v>
      </c>
      <c r="AM135" s="11" t="e">
        <f>LEFT('REPORTS PER EVALUATOR'!#REF!,1)</f>
        <v>#REF!</v>
      </c>
      <c r="AN135" s="93" t="e">
        <f>(RIGHT('REPORTS PER EVALUATOR'!#REF!,1))*1</f>
        <v>#REF!</v>
      </c>
      <c r="AO135" s="11" t="e">
        <f>LEFT('REPORTS PER EVALUATOR'!#REF!,1)</f>
        <v>#REF!</v>
      </c>
      <c r="AP135" s="93" t="e">
        <f>(RIGHT('REPORTS PER EVALUATOR'!#REF!,1))*1</f>
        <v>#REF!</v>
      </c>
      <c r="AQ135" s="11" t="e">
        <f>LEFT('REPORTS PER EVALUATOR'!#REF!,1)</f>
        <v>#REF!</v>
      </c>
      <c r="AR135" s="93" t="e">
        <f>(RIGHT('REPORTS PER EVALUATOR'!#REF!,1))*1</f>
        <v>#REF!</v>
      </c>
    </row>
    <row r="136" spans="2:44" x14ac:dyDescent="0.2">
      <c r="B136" s="19" t="str">
        <f t="shared" si="8"/>
        <v>C</v>
      </c>
      <c r="C136" s="18" t="str">
        <f t="shared" si="9"/>
        <v>I</v>
      </c>
      <c r="D136" s="18" t="s">
        <v>33</v>
      </c>
      <c r="E136" s="26" t="str">
        <f>LEFT('REPORTS PER EVALUATOR'!$AP$7,1)</f>
        <v>I</v>
      </c>
      <c r="F136" s="74">
        <f>(RIGHT('REPORTS PER EVALUATOR'!$AP$7,1))*1</f>
        <v>3</v>
      </c>
      <c r="G136" s="11" t="str">
        <f>LEFT('REPORTS PER EVALUATOR'!$AP$19,1)</f>
        <v>1</v>
      </c>
      <c r="H136" s="82">
        <f>(RIGHT('REPORTS PER EVALUATOR'!$AP$19,1))*1</f>
        <v>1</v>
      </c>
      <c r="I136" s="11" t="str">
        <f>LEFT('REPORTS PER EVALUATOR'!$AP$31,1)</f>
        <v>I</v>
      </c>
      <c r="J136" s="82">
        <f>(RIGHT('REPORTS PER EVALUATOR'!$AP$31,1))*1</f>
        <v>2</v>
      </c>
      <c r="K136" s="11" t="str">
        <f>LEFT('REPORTS PER EVALUATOR'!$AP$43,1)</f>
        <v>I</v>
      </c>
      <c r="L136" s="82">
        <f>(RIGHT('REPORTS PER EVALUATOR'!$AP$43,1))*1</f>
        <v>2</v>
      </c>
      <c r="M136" s="11" t="str">
        <f>LEFT('REPORTS PER EVALUATOR'!$AP$55,1)</f>
        <v>I</v>
      </c>
      <c r="N136" s="82">
        <f>(RIGHT('REPORTS PER EVALUATOR'!$AP$55,1))*1</f>
        <v>4</v>
      </c>
      <c r="O136" s="11" t="str">
        <f>LEFT('REPORTS PER EVALUATOR'!$AP$67,1)</f>
        <v>I</v>
      </c>
      <c r="P136" s="82">
        <f>(RIGHT('REPORTS PER EVALUATOR'!$AP$67,1))*1</f>
        <v>5</v>
      </c>
      <c r="Q136" s="11" t="str">
        <f>LEFT('REPORTS PER EVALUATOR'!$AP$79,1)</f>
        <v>I</v>
      </c>
      <c r="R136" s="82">
        <f>(RIGHT('REPORTS PER EVALUATOR'!$AP$79,1))*1</f>
        <v>5</v>
      </c>
      <c r="S136" s="11" t="str">
        <f>LEFT('REPORTS PER EVALUATOR'!$AP$91,1)</f>
        <v>1</v>
      </c>
      <c r="T136" s="82">
        <f>(RIGHT('REPORTS PER EVALUATOR'!$AP$91,1))*1</f>
        <v>1</v>
      </c>
      <c r="U136" s="11" t="str">
        <f>LEFT('REPORTS PER EVALUATOR'!$AP$103,1)</f>
        <v>C</v>
      </c>
      <c r="V136" s="82">
        <f>(RIGHT('REPORTS PER EVALUATOR'!$AP$103,1))*1</f>
        <v>3</v>
      </c>
      <c r="W136" s="11" t="str">
        <f>LEFT('REPORTS PER EVALUATOR'!$AP$115,1)</f>
        <v>I</v>
      </c>
      <c r="X136" s="82">
        <f>(RIGHT('REPORTS PER EVALUATOR'!$AP$115,1))*1</f>
        <v>3</v>
      </c>
      <c r="Y136" s="11" t="str">
        <f>LEFT('REPORTS PER EVALUATOR'!$AP$127,1)</f>
        <v>1</v>
      </c>
      <c r="Z136" s="93">
        <f>(RIGHT('REPORTS PER EVALUATOR'!$AP$127,1))*1</f>
        <v>1</v>
      </c>
      <c r="AA136" s="11" t="e">
        <f>LEFT('REPORTS PER EVALUATOR'!#REF!,1)</f>
        <v>#REF!</v>
      </c>
      <c r="AB136" s="93" t="e">
        <f>(RIGHT('REPORTS PER EVALUATOR'!#REF!,1))*1</f>
        <v>#REF!</v>
      </c>
      <c r="AC136" s="11" t="e">
        <f>LEFT('REPORTS PER EVALUATOR'!#REF!,1)</f>
        <v>#REF!</v>
      </c>
      <c r="AD136" s="93" t="e">
        <f>(RIGHT('REPORTS PER EVALUATOR'!#REF!,1))*1</f>
        <v>#REF!</v>
      </c>
      <c r="AE136" s="11" t="e">
        <f>LEFT('REPORTS PER EVALUATOR'!#REF!,1)</f>
        <v>#REF!</v>
      </c>
      <c r="AF136" s="93" t="e">
        <f>(RIGHT('REPORTS PER EVALUATOR'!#REF!,1))*1</f>
        <v>#REF!</v>
      </c>
      <c r="AG136" s="11" t="e">
        <f>LEFT('REPORTS PER EVALUATOR'!#REF!,1)</f>
        <v>#REF!</v>
      </c>
      <c r="AH136" s="93" t="e">
        <f>(RIGHT('REPORTS PER EVALUATOR'!#REF!,1))*1</f>
        <v>#REF!</v>
      </c>
      <c r="AI136" s="11" t="e">
        <f>LEFT('REPORTS PER EVALUATOR'!#REF!,1)</f>
        <v>#REF!</v>
      </c>
      <c r="AJ136" s="93" t="e">
        <f>(RIGHT('REPORTS PER EVALUATOR'!#REF!,1))*1</f>
        <v>#REF!</v>
      </c>
      <c r="AK136" s="11" t="e">
        <f>LEFT('REPORTS PER EVALUATOR'!#REF!,1)</f>
        <v>#REF!</v>
      </c>
      <c r="AL136" s="93" t="e">
        <f>(RIGHT('REPORTS PER EVALUATOR'!#REF!,1))*1</f>
        <v>#REF!</v>
      </c>
      <c r="AM136" s="11" t="e">
        <f>LEFT('REPORTS PER EVALUATOR'!#REF!,1)</f>
        <v>#REF!</v>
      </c>
      <c r="AN136" s="93" t="e">
        <f>(RIGHT('REPORTS PER EVALUATOR'!#REF!,1))*1</f>
        <v>#REF!</v>
      </c>
      <c r="AO136" s="11" t="e">
        <f>LEFT('REPORTS PER EVALUATOR'!#REF!,1)</f>
        <v>#REF!</v>
      </c>
      <c r="AP136" s="93" t="e">
        <f>(RIGHT('REPORTS PER EVALUATOR'!#REF!,1))*1</f>
        <v>#REF!</v>
      </c>
      <c r="AQ136" s="11" t="e">
        <f>LEFT('REPORTS PER EVALUATOR'!#REF!,1)</f>
        <v>#REF!</v>
      </c>
      <c r="AR136" s="93" t="e">
        <f>(RIGHT('REPORTS PER EVALUATOR'!#REF!,1))*1</f>
        <v>#REF!</v>
      </c>
    </row>
    <row r="137" spans="2:44" x14ac:dyDescent="0.2">
      <c r="B137" s="19" t="str">
        <f t="shared" si="8"/>
        <v>C</v>
      </c>
      <c r="C137" s="18" t="str">
        <f t="shared" si="9"/>
        <v>L</v>
      </c>
      <c r="D137" s="18" t="s">
        <v>34</v>
      </c>
      <c r="E137" s="26" t="str">
        <f>LEFT('REPORTS PER EVALUATOR'!$AQ$7,1)</f>
        <v>1</v>
      </c>
      <c r="F137" s="74">
        <f>(RIGHT('REPORTS PER EVALUATOR'!$AQ$7,1))*1</f>
        <v>1</v>
      </c>
      <c r="G137" s="11" t="str">
        <f>LEFT('REPORTS PER EVALUATOR'!$AQ$19,1)</f>
        <v>1</v>
      </c>
      <c r="H137" s="82">
        <f>(RIGHT('REPORTS PER EVALUATOR'!$AQ$19,1))*1</f>
        <v>1</v>
      </c>
      <c r="I137" s="11" t="str">
        <f>LEFT('REPORTS PER EVALUATOR'!$AQ$31,1)</f>
        <v>L</v>
      </c>
      <c r="J137" s="82">
        <f>(RIGHT('REPORTS PER EVALUATOR'!$AQ$31,1))*1</f>
        <v>3</v>
      </c>
      <c r="K137" s="11" t="str">
        <f>LEFT('REPORTS PER EVALUATOR'!$AQ$43,1)</f>
        <v>C</v>
      </c>
      <c r="L137" s="82">
        <f>(RIGHT('REPORTS PER EVALUATOR'!$AQ$43,1))*1</f>
        <v>4</v>
      </c>
      <c r="M137" s="11" t="str">
        <f>LEFT('REPORTS PER EVALUATOR'!$AQ$55,1)</f>
        <v>L</v>
      </c>
      <c r="N137" s="82">
        <f>(RIGHT('REPORTS PER EVALUATOR'!$AQ$55,1))*1</f>
        <v>4</v>
      </c>
      <c r="O137" s="11" t="str">
        <f>LEFT('REPORTS PER EVALUATOR'!$AQ$67,1)</f>
        <v>L</v>
      </c>
      <c r="P137" s="82">
        <f>(RIGHT('REPORTS PER EVALUATOR'!$AQ$67,1))*1</f>
        <v>5</v>
      </c>
      <c r="Q137" s="11" t="str">
        <f>LEFT('REPORTS PER EVALUATOR'!$AQ$79,1)</f>
        <v>L</v>
      </c>
      <c r="R137" s="82">
        <f>(RIGHT('REPORTS PER EVALUATOR'!$AQ$79,1))*1</f>
        <v>4</v>
      </c>
      <c r="S137" s="11" t="str">
        <f>LEFT('REPORTS PER EVALUATOR'!$AQ$91,1)</f>
        <v>L</v>
      </c>
      <c r="T137" s="82">
        <f>(RIGHT('REPORTS PER EVALUATOR'!$AQ$91,1))*1</f>
        <v>3</v>
      </c>
      <c r="U137" s="11" t="str">
        <f>LEFT('REPORTS PER EVALUATOR'!$AQ$103,1)</f>
        <v>1</v>
      </c>
      <c r="V137" s="82">
        <f>(RIGHT('REPORTS PER EVALUATOR'!$AQ$103,1))*1</f>
        <v>1</v>
      </c>
      <c r="W137" s="11" t="str">
        <f>LEFT('REPORTS PER EVALUATOR'!$AQ$115,1)</f>
        <v>L</v>
      </c>
      <c r="X137" s="82">
        <f>(RIGHT('REPORTS PER EVALUATOR'!$AQ$115,1))*1</f>
        <v>2</v>
      </c>
      <c r="Y137" s="11" t="str">
        <f>LEFT('REPORTS PER EVALUATOR'!$AQ$127,1)</f>
        <v>C</v>
      </c>
      <c r="Z137" s="93">
        <f>(RIGHT('REPORTS PER EVALUATOR'!$AQ$127,1))*1</f>
        <v>2</v>
      </c>
      <c r="AA137" s="11" t="e">
        <f>LEFT('REPORTS PER EVALUATOR'!#REF!,1)</f>
        <v>#REF!</v>
      </c>
      <c r="AB137" s="93" t="e">
        <f>(RIGHT('REPORTS PER EVALUATOR'!#REF!,1))*1</f>
        <v>#REF!</v>
      </c>
      <c r="AC137" s="11" t="e">
        <f>LEFT('REPORTS PER EVALUATOR'!#REF!,1)</f>
        <v>#REF!</v>
      </c>
      <c r="AD137" s="93" t="e">
        <f>(RIGHT('REPORTS PER EVALUATOR'!#REF!,1))*1</f>
        <v>#REF!</v>
      </c>
      <c r="AE137" s="11" t="e">
        <f>LEFT('REPORTS PER EVALUATOR'!#REF!,1)</f>
        <v>#REF!</v>
      </c>
      <c r="AF137" s="93" t="e">
        <f>(RIGHT('REPORTS PER EVALUATOR'!#REF!,1))*1</f>
        <v>#REF!</v>
      </c>
      <c r="AG137" s="11" t="e">
        <f>LEFT('REPORTS PER EVALUATOR'!#REF!,1)</f>
        <v>#REF!</v>
      </c>
      <c r="AH137" s="93" t="e">
        <f>(RIGHT('REPORTS PER EVALUATOR'!#REF!,1))*1</f>
        <v>#REF!</v>
      </c>
      <c r="AI137" s="11" t="e">
        <f>LEFT('REPORTS PER EVALUATOR'!#REF!,1)</f>
        <v>#REF!</v>
      </c>
      <c r="AJ137" s="93" t="e">
        <f>(RIGHT('REPORTS PER EVALUATOR'!#REF!,1))*1</f>
        <v>#REF!</v>
      </c>
      <c r="AK137" s="11" t="e">
        <f>LEFT('REPORTS PER EVALUATOR'!#REF!,1)</f>
        <v>#REF!</v>
      </c>
      <c r="AL137" s="93" t="e">
        <f>(RIGHT('REPORTS PER EVALUATOR'!#REF!,1))*1</f>
        <v>#REF!</v>
      </c>
      <c r="AM137" s="11" t="e">
        <f>LEFT('REPORTS PER EVALUATOR'!#REF!,1)</f>
        <v>#REF!</v>
      </c>
      <c r="AN137" s="93" t="e">
        <f>(RIGHT('REPORTS PER EVALUATOR'!#REF!,1))*1</f>
        <v>#REF!</v>
      </c>
      <c r="AO137" s="11" t="e">
        <f>LEFT('REPORTS PER EVALUATOR'!#REF!,1)</f>
        <v>#REF!</v>
      </c>
      <c r="AP137" s="93" t="e">
        <f>(RIGHT('REPORTS PER EVALUATOR'!#REF!,1))*1</f>
        <v>#REF!</v>
      </c>
      <c r="AQ137" s="11" t="e">
        <f>LEFT('REPORTS PER EVALUATOR'!#REF!,1)</f>
        <v>#REF!</v>
      </c>
      <c r="AR137" s="93" t="e">
        <f>(RIGHT('REPORTS PER EVALUATOR'!#REF!,1))*1</f>
        <v>#REF!</v>
      </c>
    </row>
    <row r="138" spans="2:44" x14ac:dyDescent="0.2">
      <c r="B138" s="19" t="str">
        <f t="shared" si="8"/>
        <v>C</v>
      </c>
      <c r="C138" s="18" t="str">
        <f t="shared" si="9"/>
        <v>M</v>
      </c>
      <c r="D138" s="18" t="s">
        <v>159</v>
      </c>
      <c r="E138" s="26" t="str">
        <f>LEFT('REPORTS PER EVALUATOR'!$AR$7,1)</f>
        <v/>
      </c>
      <c r="F138" s="74" t="e">
        <f>(RIGHT('REPORTS PER EVALUATOR'!$AR$7,1))*1</f>
        <v>#VALUE!</v>
      </c>
      <c r="G138" s="11" t="str">
        <f>LEFT('REPORTS PER EVALUATOR'!$AR$19,1)</f>
        <v/>
      </c>
      <c r="H138" s="82" t="e">
        <f>(RIGHT('REPORTS PER EVALUATOR'!$AR$19,1))*1</f>
        <v>#VALUE!</v>
      </c>
      <c r="I138" s="11" t="str">
        <f>LEFT('REPORTS PER EVALUATOR'!$AR$31,1)</f>
        <v/>
      </c>
      <c r="J138" s="82" t="e">
        <f>(RIGHT('REPORTS PER EVALUATOR'!$AR$31,1))*1</f>
        <v>#VALUE!</v>
      </c>
      <c r="K138" s="11" t="str">
        <f>LEFT('REPORTS PER EVALUATOR'!$AR$43,1)</f>
        <v/>
      </c>
      <c r="L138" s="82" t="e">
        <f>(RIGHT('REPORTS PER EVALUATOR'!$AR$43,1))*1</f>
        <v>#VALUE!</v>
      </c>
      <c r="M138" s="11" t="str">
        <f>LEFT('REPORTS PER EVALUATOR'!$AR$55,1)</f>
        <v/>
      </c>
      <c r="N138" s="82" t="e">
        <f>(RIGHT('REPORTS PER EVALUATOR'!$AR$55,1))*1</f>
        <v>#VALUE!</v>
      </c>
      <c r="O138" s="11" t="str">
        <f>LEFT('REPORTS PER EVALUATOR'!$AR$67,1)</f>
        <v/>
      </c>
      <c r="P138" s="82" t="e">
        <f>(RIGHT('REPORTS PER EVALUATOR'!$AR$67,1))*1</f>
        <v>#VALUE!</v>
      </c>
      <c r="Q138" s="11" t="str">
        <f>LEFT('REPORTS PER EVALUATOR'!$AR$79,1)</f>
        <v/>
      </c>
      <c r="R138" s="82" t="e">
        <f>(RIGHT('REPORTS PER EVALUATOR'!$AR$79,1))*1</f>
        <v>#VALUE!</v>
      </c>
      <c r="S138" s="11" t="str">
        <f>LEFT('REPORTS PER EVALUATOR'!$AR$91,1)</f>
        <v/>
      </c>
      <c r="T138" s="82" t="e">
        <f>(RIGHT('REPORTS PER EVALUATOR'!$AR$91,1))*1</f>
        <v>#VALUE!</v>
      </c>
      <c r="U138" s="11" t="str">
        <f>LEFT('REPORTS PER EVALUATOR'!$AR$103,1)</f>
        <v/>
      </c>
      <c r="V138" s="82" t="e">
        <f>(RIGHT('REPORTS PER EVALUATOR'!$AR$103,1))*1</f>
        <v>#VALUE!</v>
      </c>
      <c r="W138" s="11" t="str">
        <f>LEFT('REPORTS PER EVALUATOR'!$AR$115,1)</f>
        <v/>
      </c>
      <c r="X138" s="82" t="e">
        <f>(RIGHT('REPORTS PER EVALUATOR'!$AR$115,1))*1</f>
        <v>#VALUE!</v>
      </c>
      <c r="Y138" s="11" t="str">
        <f>LEFT('REPORTS PER EVALUATOR'!$AR$127,1)</f>
        <v/>
      </c>
      <c r="Z138" s="93" t="e">
        <f>(RIGHT('REPORTS PER EVALUATOR'!$AR$127,1))*1</f>
        <v>#VALUE!</v>
      </c>
      <c r="AA138" s="11" t="e">
        <f>LEFT('REPORTS PER EVALUATOR'!#REF!,1)</f>
        <v>#REF!</v>
      </c>
      <c r="AB138" s="93" t="e">
        <f>(RIGHT('REPORTS PER EVALUATOR'!#REF!,1))*1</f>
        <v>#REF!</v>
      </c>
      <c r="AC138" s="11" t="e">
        <f>LEFT('REPORTS PER EVALUATOR'!#REF!,1)</f>
        <v>#REF!</v>
      </c>
      <c r="AD138" s="93" t="e">
        <f>(RIGHT('REPORTS PER EVALUATOR'!#REF!,1))*1</f>
        <v>#REF!</v>
      </c>
      <c r="AE138" s="11" t="e">
        <f>LEFT('REPORTS PER EVALUATOR'!#REF!,1)</f>
        <v>#REF!</v>
      </c>
      <c r="AF138" s="93" t="e">
        <f>(RIGHT('REPORTS PER EVALUATOR'!#REF!,1))*1</f>
        <v>#REF!</v>
      </c>
      <c r="AG138" s="11" t="e">
        <f>LEFT('REPORTS PER EVALUATOR'!#REF!,1)</f>
        <v>#REF!</v>
      </c>
      <c r="AH138" s="93" t="e">
        <f>(RIGHT('REPORTS PER EVALUATOR'!#REF!,1))*1</f>
        <v>#REF!</v>
      </c>
      <c r="AI138" s="11" t="e">
        <f>LEFT('REPORTS PER EVALUATOR'!#REF!,1)</f>
        <v>#REF!</v>
      </c>
      <c r="AJ138" s="93" t="e">
        <f>(RIGHT('REPORTS PER EVALUATOR'!#REF!,1))*1</f>
        <v>#REF!</v>
      </c>
      <c r="AK138" s="11" t="e">
        <f>LEFT('REPORTS PER EVALUATOR'!#REF!,1)</f>
        <v>#REF!</v>
      </c>
      <c r="AL138" s="93" t="e">
        <f>(RIGHT('REPORTS PER EVALUATOR'!#REF!,1))*1</f>
        <v>#REF!</v>
      </c>
      <c r="AM138" s="11" t="e">
        <f>LEFT('REPORTS PER EVALUATOR'!#REF!,1)</f>
        <v>#REF!</v>
      </c>
      <c r="AN138" s="93" t="e">
        <f>(RIGHT('REPORTS PER EVALUATOR'!#REF!,1))*1</f>
        <v>#REF!</v>
      </c>
      <c r="AO138" s="11" t="e">
        <f>LEFT('REPORTS PER EVALUATOR'!#REF!,1)</f>
        <v>#REF!</v>
      </c>
      <c r="AP138" s="93" t="e">
        <f>(RIGHT('REPORTS PER EVALUATOR'!#REF!,1))*1</f>
        <v>#REF!</v>
      </c>
      <c r="AQ138" s="11" t="e">
        <f>LEFT('REPORTS PER EVALUATOR'!#REF!,1)</f>
        <v>#REF!</v>
      </c>
      <c r="AR138" s="93" t="e">
        <f>(RIGHT('REPORTS PER EVALUATOR'!#REF!,1))*1</f>
        <v>#REF!</v>
      </c>
    </row>
    <row r="139" spans="2:44" x14ac:dyDescent="0.2">
      <c r="B139" s="19" t="str">
        <f t="shared" si="8"/>
        <v>D</v>
      </c>
      <c r="C139" s="18" t="str">
        <f t="shared" si="9"/>
        <v>E</v>
      </c>
      <c r="D139" s="18" t="s">
        <v>35</v>
      </c>
      <c r="E139" s="57" t="str">
        <f>LEFT('REPORTS PER EVALUATOR'!$AL$8,1)</f>
        <v>D</v>
      </c>
      <c r="F139" s="73">
        <f>(RIGHT('REPORTS PER EVALUATOR'!$AL$8,1))*1</f>
        <v>2</v>
      </c>
      <c r="G139" s="58" t="str">
        <f>LEFT('REPORTS PER EVALUATOR'!$AL$20,1)</f>
        <v>1</v>
      </c>
      <c r="H139" s="81">
        <f>(RIGHT('REPORTS PER EVALUATOR'!$AL$20,1))*1</f>
        <v>1</v>
      </c>
      <c r="I139" s="58" t="str">
        <f>LEFT('REPORTS PER EVALUATOR'!$AL$32,1)</f>
        <v>D</v>
      </c>
      <c r="J139" s="81">
        <f>(RIGHT('REPORTS PER EVALUATOR'!$AL$32,1))*1</f>
        <v>5</v>
      </c>
      <c r="K139" s="58" t="str">
        <f>LEFT('REPORTS PER EVALUATOR'!$AL$44,1)</f>
        <v>D</v>
      </c>
      <c r="L139" s="81">
        <f>(RIGHT('REPORTS PER EVALUATOR'!$AL$44,1))*1</f>
        <v>2</v>
      </c>
      <c r="M139" s="58" t="str">
        <f>LEFT('REPORTS PER EVALUATOR'!$AL$56,1)</f>
        <v>D</v>
      </c>
      <c r="N139" s="81">
        <f>(RIGHT('REPORTS PER EVALUATOR'!$AL$56,1))*1</f>
        <v>2</v>
      </c>
      <c r="O139" s="58" t="str">
        <f>LEFT('REPORTS PER EVALUATOR'!$AL$68,1)</f>
        <v>E</v>
      </c>
      <c r="P139" s="81">
        <f>(RIGHT('REPORTS PER EVALUATOR'!$AL$68,1))*1</f>
        <v>2</v>
      </c>
      <c r="Q139" s="58" t="str">
        <f>LEFT('REPORTS PER EVALUATOR'!$AL$80,1)</f>
        <v>E</v>
      </c>
      <c r="R139" s="81">
        <f>(RIGHT('REPORTS PER EVALUATOR'!$AL$80,1))*1</f>
        <v>3</v>
      </c>
      <c r="S139" s="58" t="str">
        <f>LEFT('REPORTS PER EVALUATOR'!$AL$92,1)</f>
        <v>D</v>
      </c>
      <c r="T139" s="81">
        <f>(RIGHT('REPORTS PER EVALUATOR'!$AL$92,1))*1</f>
        <v>2</v>
      </c>
      <c r="U139" s="58" t="str">
        <f>LEFT('REPORTS PER EVALUATOR'!$AL$104,1)</f>
        <v>D</v>
      </c>
      <c r="V139" s="81">
        <f>(RIGHT('REPORTS PER EVALUATOR'!$AL$104,1))*1</f>
        <v>2</v>
      </c>
      <c r="W139" s="58" t="str">
        <f>LEFT('REPORTS PER EVALUATOR'!$AL$116,1)</f>
        <v>D</v>
      </c>
      <c r="X139" s="81">
        <f>(RIGHT('REPORTS PER EVALUATOR'!$AL$116,1))*1</f>
        <v>3</v>
      </c>
      <c r="Y139" s="58" t="str">
        <f>LEFT('REPORTS PER EVALUATOR'!$AL$128,1)</f>
        <v>1</v>
      </c>
      <c r="Z139" s="94">
        <f>(RIGHT('REPORTS PER EVALUATOR'!$AL$128,1))*1</f>
        <v>1</v>
      </c>
      <c r="AA139" s="58" t="e">
        <f>LEFT('REPORTS PER EVALUATOR'!#REF!,1)</f>
        <v>#REF!</v>
      </c>
      <c r="AB139" s="94" t="e">
        <f>(RIGHT('REPORTS PER EVALUATOR'!#REF!,1))*1</f>
        <v>#REF!</v>
      </c>
      <c r="AC139" s="58" t="e">
        <f>LEFT('REPORTS PER EVALUATOR'!#REF!,1)</f>
        <v>#REF!</v>
      </c>
      <c r="AD139" s="94" t="e">
        <f>(RIGHT('REPORTS PER EVALUATOR'!#REF!,1))*1</f>
        <v>#REF!</v>
      </c>
      <c r="AE139" s="58" t="e">
        <f>LEFT('REPORTS PER EVALUATOR'!#REF!,1)</f>
        <v>#REF!</v>
      </c>
      <c r="AF139" s="94" t="e">
        <f>(RIGHT('REPORTS PER EVALUATOR'!#REF!,1))*1</f>
        <v>#REF!</v>
      </c>
      <c r="AG139" s="58" t="e">
        <f>LEFT('REPORTS PER EVALUATOR'!#REF!,1)</f>
        <v>#REF!</v>
      </c>
      <c r="AH139" s="94" t="e">
        <f>(RIGHT('REPORTS PER EVALUATOR'!#REF!,1))*1</f>
        <v>#REF!</v>
      </c>
      <c r="AI139" s="58" t="e">
        <f>LEFT('REPORTS PER EVALUATOR'!#REF!,1)</f>
        <v>#REF!</v>
      </c>
      <c r="AJ139" s="94" t="e">
        <f>(RIGHT('REPORTS PER EVALUATOR'!#REF!,1))*1</f>
        <v>#REF!</v>
      </c>
      <c r="AK139" s="58" t="e">
        <f>LEFT('REPORTS PER EVALUATOR'!#REF!,1)</f>
        <v>#REF!</v>
      </c>
      <c r="AL139" s="94" t="e">
        <f>(RIGHT('REPORTS PER EVALUATOR'!#REF!,1))*1</f>
        <v>#REF!</v>
      </c>
      <c r="AM139" s="58" t="e">
        <f>LEFT('REPORTS PER EVALUATOR'!#REF!,1)</f>
        <v>#REF!</v>
      </c>
      <c r="AN139" s="94" t="e">
        <f>(RIGHT('REPORTS PER EVALUATOR'!#REF!,1))*1</f>
        <v>#REF!</v>
      </c>
      <c r="AO139" s="58" t="e">
        <f>LEFT('REPORTS PER EVALUATOR'!#REF!,1)</f>
        <v>#REF!</v>
      </c>
      <c r="AP139" s="94" t="e">
        <f>(RIGHT('REPORTS PER EVALUATOR'!#REF!,1))*1</f>
        <v>#REF!</v>
      </c>
      <c r="AQ139" s="58" t="e">
        <f>LEFT('REPORTS PER EVALUATOR'!#REF!,1)</f>
        <v>#REF!</v>
      </c>
      <c r="AR139" s="94" t="e">
        <f>(RIGHT('REPORTS PER EVALUATOR'!#REF!,1))*1</f>
        <v>#REF!</v>
      </c>
    </row>
    <row r="140" spans="2:44" x14ac:dyDescent="0.2">
      <c r="B140" s="19" t="str">
        <f t="shared" si="8"/>
        <v>D</v>
      </c>
      <c r="C140" s="18" t="str">
        <f t="shared" si="9"/>
        <v>F</v>
      </c>
      <c r="D140" s="18" t="s">
        <v>36</v>
      </c>
      <c r="E140" s="26" t="str">
        <f>LEFT('REPORTS PER EVALUATOR'!$AM$8,1)</f>
        <v>D</v>
      </c>
      <c r="F140" s="74">
        <f>(RIGHT('REPORTS PER EVALUATOR'!$AM$8,1))*1</f>
        <v>2</v>
      </c>
      <c r="G140" s="11" t="str">
        <f>LEFT('REPORTS PER EVALUATOR'!$AM$20,1)</f>
        <v>D</v>
      </c>
      <c r="H140" s="82">
        <f>(RIGHT('REPORTS PER EVALUATOR'!$AM$20,1))*1</f>
        <v>2</v>
      </c>
      <c r="I140" s="11" t="str">
        <f>LEFT('REPORTS PER EVALUATOR'!$AM$32,1)</f>
        <v>1</v>
      </c>
      <c r="J140" s="82">
        <f>(RIGHT('REPORTS PER EVALUATOR'!$AM$32,1))*1</f>
        <v>1</v>
      </c>
      <c r="K140" s="11" t="str">
        <f>LEFT('REPORTS PER EVALUATOR'!$AM$44,1)</f>
        <v>1</v>
      </c>
      <c r="L140" s="82">
        <f>(RIGHT('REPORTS PER EVALUATOR'!$AM$44,1))*1</f>
        <v>1</v>
      </c>
      <c r="M140" s="11" t="str">
        <f>LEFT('REPORTS PER EVALUATOR'!$AM$56,1)</f>
        <v>1</v>
      </c>
      <c r="N140" s="82">
        <f>(RIGHT('REPORTS PER EVALUATOR'!$AM$56,1))*1</f>
        <v>1</v>
      </c>
      <c r="O140" s="11" t="str">
        <f>LEFT('REPORTS PER EVALUATOR'!$AM$68,1)</f>
        <v>F</v>
      </c>
      <c r="P140" s="82">
        <f>(RIGHT('REPORTS PER EVALUATOR'!$AM$68,1))*1</f>
        <v>2</v>
      </c>
      <c r="Q140" s="11" t="str">
        <f>LEFT('REPORTS PER EVALUATOR'!$AM$80,1)</f>
        <v>F</v>
      </c>
      <c r="R140" s="82">
        <f>(RIGHT('REPORTS PER EVALUATOR'!$AM$80,1))*1</f>
        <v>3</v>
      </c>
      <c r="S140" s="11" t="str">
        <f>LEFT('REPORTS PER EVALUATOR'!$AM$92,1)</f>
        <v>D</v>
      </c>
      <c r="T140" s="82">
        <f>(RIGHT('REPORTS PER EVALUATOR'!$AM$92,1))*1</f>
        <v>3</v>
      </c>
      <c r="U140" s="11" t="str">
        <f>LEFT('REPORTS PER EVALUATOR'!$AM$104,1)</f>
        <v>D</v>
      </c>
      <c r="V140" s="82">
        <f>(RIGHT('REPORTS PER EVALUATOR'!$AM$104,1))*1</f>
        <v>3</v>
      </c>
      <c r="W140" s="11" t="str">
        <f>LEFT('REPORTS PER EVALUATOR'!$AM$116,1)</f>
        <v>D</v>
      </c>
      <c r="X140" s="82">
        <f>(RIGHT('REPORTS PER EVALUATOR'!$AM$116,1))*1</f>
        <v>2</v>
      </c>
      <c r="Y140" s="11" t="str">
        <f>LEFT('REPORTS PER EVALUATOR'!$AM$128,1)</f>
        <v>D</v>
      </c>
      <c r="Z140" s="93">
        <f>(RIGHT('REPORTS PER EVALUATOR'!$AM$128,1))*1</f>
        <v>2</v>
      </c>
      <c r="AA140" s="11" t="e">
        <f>LEFT('REPORTS PER EVALUATOR'!#REF!,1)</f>
        <v>#REF!</v>
      </c>
      <c r="AB140" s="93" t="e">
        <f>(RIGHT('REPORTS PER EVALUATOR'!#REF!,1))*1</f>
        <v>#REF!</v>
      </c>
      <c r="AC140" s="11" t="e">
        <f>LEFT('REPORTS PER EVALUATOR'!#REF!,1)</f>
        <v>#REF!</v>
      </c>
      <c r="AD140" s="93" t="e">
        <f>(RIGHT('REPORTS PER EVALUATOR'!#REF!,1))*1</f>
        <v>#REF!</v>
      </c>
      <c r="AE140" s="11" t="e">
        <f>LEFT('REPORTS PER EVALUATOR'!#REF!,1)</f>
        <v>#REF!</v>
      </c>
      <c r="AF140" s="93" t="e">
        <f>(RIGHT('REPORTS PER EVALUATOR'!#REF!,1))*1</f>
        <v>#REF!</v>
      </c>
      <c r="AG140" s="11" t="e">
        <f>LEFT('REPORTS PER EVALUATOR'!#REF!,1)</f>
        <v>#REF!</v>
      </c>
      <c r="AH140" s="93" t="e">
        <f>(RIGHT('REPORTS PER EVALUATOR'!#REF!,1))*1</f>
        <v>#REF!</v>
      </c>
      <c r="AI140" s="11" t="e">
        <f>LEFT('REPORTS PER EVALUATOR'!#REF!,1)</f>
        <v>#REF!</v>
      </c>
      <c r="AJ140" s="93" t="e">
        <f>(RIGHT('REPORTS PER EVALUATOR'!#REF!,1))*1</f>
        <v>#REF!</v>
      </c>
      <c r="AK140" s="11" t="e">
        <f>LEFT('REPORTS PER EVALUATOR'!#REF!,1)</f>
        <v>#REF!</v>
      </c>
      <c r="AL140" s="93" t="e">
        <f>(RIGHT('REPORTS PER EVALUATOR'!#REF!,1))*1</f>
        <v>#REF!</v>
      </c>
      <c r="AM140" s="11" t="e">
        <f>LEFT('REPORTS PER EVALUATOR'!#REF!,1)</f>
        <v>#REF!</v>
      </c>
      <c r="AN140" s="93" t="e">
        <f>(RIGHT('REPORTS PER EVALUATOR'!#REF!,1))*1</f>
        <v>#REF!</v>
      </c>
      <c r="AO140" s="11" t="e">
        <f>LEFT('REPORTS PER EVALUATOR'!#REF!,1)</f>
        <v>#REF!</v>
      </c>
      <c r="AP140" s="93" t="e">
        <f>(RIGHT('REPORTS PER EVALUATOR'!#REF!,1))*1</f>
        <v>#REF!</v>
      </c>
      <c r="AQ140" s="11" t="e">
        <f>LEFT('REPORTS PER EVALUATOR'!#REF!,1)</f>
        <v>#REF!</v>
      </c>
      <c r="AR140" s="93" t="e">
        <f>(RIGHT('REPORTS PER EVALUATOR'!#REF!,1))*1</f>
        <v>#REF!</v>
      </c>
    </row>
    <row r="141" spans="2:44" x14ac:dyDescent="0.2">
      <c r="B141" s="19" t="str">
        <f t="shared" si="8"/>
        <v>D</v>
      </c>
      <c r="C141" s="18" t="str">
        <f t="shared" si="9"/>
        <v>G</v>
      </c>
      <c r="D141" s="18" t="s">
        <v>37</v>
      </c>
      <c r="E141" s="26" t="str">
        <f>LEFT('REPORTS PER EVALUATOR'!$AN$8,1)</f>
        <v>D</v>
      </c>
      <c r="F141" s="74">
        <f>(RIGHT('REPORTS PER EVALUATOR'!$AN$8,1))*1</f>
        <v>3</v>
      </c>
      <c r="G141" s="11" t="str">
        <f>LEFT('REPORTS PER EVALUATOR'!$AN$20,1)</f>
        <v>D</v>
      </c>
      <c r="H141" s="82">
        <f>(RIGHT('REPORTS PER EVALUATOR'!$AN$20,1))*1</f>
        <v>4</v>
      </c>
      <c r="I141" s="11" t="str">
        <f>LEFT('REPORTS PER EVALUATOR'!$AN$32,1)</f>
        <v>D</v>
      </c>
      <c r="J141" s="82">
        <f>(RIGHT('REPORTS PER EVALUATOR'!$AN$32,1))*1</f>
        <v>5</v>
      </c>
      <c r="K141" s="11" t="str">
        <f>LEFT('REPORTS PER EVALUATOR'!$AN$44,1)</f>
        <v>1</v>
      </c>
      <c r="L141" s="82">
        <f>(RIGHT('REPORTS PER EVALUATOR'!$AN$44,1))*1</f>
        <v>1</v>
      </c>
      <c r="M141" s="11" t="str">
        <f>LEFT('REPORTS PER EVALUATOR'!$AN$56,1)</f>
        <v>D</v>
      </c>
      <c r="N141" s="82">
        <f>(RIGHT('REPORTS PER EVALUATOR'!$AN$56,1))*1</f>
        <v>3</v>
      </c>
      <c r="O141" s="11" t="str">
        <f>LEFT('REPORTS PER EVALUATOR'!$AN$68,1)</f>
        <v>D</v>
      </c>
      <c r="P141" s="82">
        <f>(RIGHT('REPORTS PER EVALUATOR'!$AN$68,1))*1</f>
        <v>4</v>
      </c>
      <c r="Q141" s="11" t="str">
        <f>LEFT('REPORTS PER EVALUATOR'!$AN$80,1)</f>
        <v>D</v>
      </c>
      <c r="R141" s="82">
        <f>(RIGHT('REPORTS PER EVALUATOR'!$AN$80,1))*1</f>
        <v>4</v>
      </c>
      <c r="S141" s="11" t="str">
        <f>LEFT('REPORTS PER EVALUATOR'!$AN$92,1)</f>
        <v>D</v>
      </c>
      <c r="T141" s="82">
        <f>(RIGHT('REPORTS PER EVALUATOR'!$AN$92,1))*1</f>
        <v>6</v>
      </c>
      <c r="U141" s="11" t="str">
        <f>LEFT('REPORTS PER EVALUATOR'!$AN$104,1)</f>
        <v>D</v>
      </c>
      <c r="V141" s="82">
        <f>(RIGHT('REPORTS PER EVALUATOR'!$AN$104,1))*1</f>
        <v>5</v>
      </c>
      <c r="W141" s="11" t="str">
        <f>LEFT('REPORTS PER EVALUATOR'!$AN$116,1)</f>
        <v>D</v>
      </c>
      <c r="X141" s="82">
        <f>(RIGHT('REPORTS PER EVALUATOR'!$AN$116,1))*1</f>
        <v>2</v>
      </c>
      <c r="Y141" s="11" t="str">
        <f>LEFT('REPORTS PER EVALUATOR'!$AN$128,1)</f>
        <v>D</v>
      </c>
      <c r="Z141" s="93">
        <f>(RIGHT('REPORTS PER EVALUATOR'!$AN$128,1))*1</f>
        <v>4</v>
      </c>
      <c r="AA141" s="11" t="e">
        <f>LEFT('REPORTS PER EVALUATOR'!#REF!,1)</f>
        <v>#REF!</v>
      </c>
      <c r="AB141" s="93" t="e">
        <f>(RIGHT('REPORTS PER EVALUATOR'!#REF!,1))*1</f>
        <v>#REF!</v>
      </c>
      <c r="AC141" s="11" t="e">
        <f>LEFT('REPORTS PER EVALUATOR'!#REF!,1)</f>
        <v>#REF!</v>
      </c>
      <c r="AD141" s="93" t="e">
        <f>(RIGHT('REPORTS PER EVALUATOR'!#REF!,1))*1</f>
        <v>#REF!</v>
      </c>
      <c r="AE141" s="11" t="e">
        <f>LEFT('REPORTS PER EVALUATOR'!#REF!,1)</f>
        <v>#REF!</v>
      </c>
      <c r="AF141" s="93" t="e">
        <f>(RIGHT('REPORTS PER EVALUATOR'!#REF!,1))*1</f>
        <v>#REF!</v>
      </c>
      <c r="AG141" s="11" t="e">
        <f>LEFT('REPORTS PER EVALUATOR'!#REF!,1)</f>
        <v>#REF!</v>
      </c>
      <c r="AH141" s="93" t="e">
        <f>(RIGHT('REPORTS PER EVALUATOR'!#REF!,1))*1</f>
        <v>#REF!</v>
      </c>
      <c r="AI141" s="11" t="e">
        <f>LEFT('REPORTS PER EVALUATOR'!#REF!,1)</f>
        <v>#REF!</v>
      </c>
      <c r="AJ141" s="93" t="e">
        <f>(RIGHT('REPORTS PER EVALUATOR'!#REF!,1))*1</f>
        <v>#REF!</v>
      </c>
      <c r="AK141" s="11" t="e">
        <f>LEFT('REPORTS PER EVALUATOR'!#REF!,1)</f>
        <v>#REF!</v>
      </c>
      <c r="AL141" s="93" t="e">
        <f>(RIGHT('REPORTS PER EVALUATOR'!#REF!,1))*1</f>
        <v>#REF!</v>
      </c>
      <c r="AM141" s="11" t="e">
        <f>LEFT('REPORTS PER EVALUATOR'!#REF!,1)</f>
        <v>#REF!</v>
      </c>
      <c r="AN141" s="93" t="e">
        <f>(RIGHT('REPORTS PER EVALUATOR'!#REF!,1))*1</f>
        <v>#REF!</v>
      </c>
      <c r="AO141" s="11" t="e">
        <f>LEFT('REPORTS PER EVALUATOR'!#REF!,1)</f>
        <v>#REF!</v>
      </c>
      <c r="AP141" s="93" t="e">
        <f>(RIGHT('REPORTS PER EVALUATOR'!#REF!,1))*1</f>
        <v>#REF!</v>
      </c>
      <c r="AQ141" s="11" t="e">
        <f>LEFT('REPORTS PER EVALUATOR'!#REF!,1)</f>
        <v>#REF!</v>
      </c>
      <c r="AR141" s="93" t="e">
        <f>(RIGHT('REPORTS PER EVALUATOR'!#REF!,1))*1</f>
        <v>#REF!</v>
      </c>
    </row>
    <row r="142" spans="2:44" x14ac:dyDescent="0.2">
      <c r="B142" s="19" t="str">
        <f t="shared" si="8"/>
        <v>D</v>
      </c>
      <c r="C142" s="18" t="str">
        <f t="shared" si="9"/>
        <v>H</v>
      </c>
      <c r="D142" s="18" t="s">
        <v>38</v>
      </c>
      <c r="E142" s="26" t="str">
        <f>LEFT('REPORTS PER EVALUATOR'!$AO$8,1)</f>
        <v>D</v>
      </c>
      <c r="F142" s="74">
        <f>(RIGHT('REPORTS PER EVALUATOR'!$AO$8,1))*1</f>
        <v>2</v>
      </c>
      <c r="G142" s="11" t="str">
        <f>LEFT('REPORTS PER EVALUATOR'!$AO$20,1)</f>
        <v>D</v>
      </c>
      <c r="H142" s="82">
        <f>(RIGHT('REPORTS PER EVALUATOR'!$AO$20,1))*1</f>
        <v>3</v>
      </c>
      <c r="I142" s="11" t="str">
        <f>LEFT('REPORTS PER EVALUATOR'!$AO$32,1)</f>
        <v>D</v>
      </c>
      <c r="J142" s="82">
        <f>(RIGHT('REPORTS PER EVALUATOR'!$AO$32,1))*1</f>
        <v>5</v>
      </c>
      <c r="K142" s="11" t="str">
        <f>LEFT('REPORTS PER EVALUATOR'!$AO$44,1)</f>
        <v>D</v>
      </c>
      <c r="L142" s="82">
        <f>(RIGHT('REPORTS PER EVALUATOR'!$AO$44,1))*1</f>
        <v>4</v>
      </c>
      <c r="M142" s="11" t="str">
        <f>LEFT('REPORTS PER EVALUATOR'!$AO$56,1)</f>
        <v>D</v>
      </c>
      <c r="N142" s="82">
        <f>(RIGHT('REPORTS PER EVALUATOR'!$AO$56,1))*1</f>
        <v>2</v>
      </c>
      <c r="O142" s="11" t="str">
        <f>LEFT('REPORTS PER EVALUATOR'!$AO$68,1)</f>
        <v>D</v>
      </c>
      <c r="P142" s="82">
        <f>(RIGHT('REPORTS PER EVALUATOR'!$AO$68,1))*1</f>
        <v>2</v>
      </c>
      <c r="Q142" s="11" t="str">
        <f>LEFT('REPORTS PER EVALUATOR'!$AO$80,1)</f>
        <v>D</v>
      </c>
      <c r="R142" s="82">
        <f>(RIGHT('REPORTS PER EVALUATOR'!$AO$80,1))*1</f>
        <v>2</v>
      </c>
      <c r="S142" s="11" t="str">
        <f>LEFT('REPORTS PER EVALUATOR'!$AO$92,1)</f>
        <v>1</v>
      </c>
      <c r="T142" s="82">
        <f>(RIGHT('REPORTS PER EVALUATOR'!$AO$92,1))*1</f>
        <v>1</v>
      </c>
      <c r="U142" s="11" t="str">
        <f>LEFT('REPORTS PER EVALUATOR'!$AO$104,1)</f>
        <v>D</v>
      </c>
      <c r="V142" s="82">
        <f>(RIGHT('REPORTS PER EVALUATOR'!$AO$104,1))*1</f>
        <v>2</v>
      </c>
      <c r="W142" s="11" t="str">
        <f>LEFT('REPORTS PER EVALUATOR'!$AO$116,1)</f>
        <v>1</v>
      </c>
      <c r="X142" s="82">
        <f>(RIGHT('REPORTS PER EVALUATOR'!$AO$116,1))*1</f>
        <v>1</v>
      </c>
      <c r="Y142" s="11" t="str">
        <f>LEFT('REPORTS PER EVALUATOR'!$AO$128,1)</f>
        <v>D</v>
      </c>
      <c r="Z142" s="93">
        <f>(RIGHT('REPORTS PER EVALUATOR'!$AO$128,1))*1</f>
        <v>2</v>
      </c>
      <c r="AA142" s="11" t="e">
        <f>LEFT('REPORTS PER EVALUATOR'!#REF!,1)</f>
        <v>#REF!</v>
      </c>
      <c r="AB142" s="93" t="e">
        <f>(RIGHT('REPORTS PER EVALUATOR'!#REF!,1))*1</f>
        <v>#REF!</v>
      </c>
      <c r="AC142" s="11" t="e">
        <f>LEFT('REPORTS PER EVALUATOR'!#REF!,1)</f>
        <v>#REF!</v>
      </c>
      <c r="AD142" s="93" t="e">
        <f>(RIGHT('REPORTS PER EVALUATOR'!#REF!,1))*1</f>
        <v>#REF!</v>
      </c>
      <c r="AE142" s="11" t="e">
        <f>LEFT('REPORTS PER EVALUATOR'!#REF!,1)</f>
        <v>#REF!</v>
      </c>
      <c r="AF142" s="93" t="e">
        <f>(RIGHT('REPORTS PER EVALUATOR'!#REF!,1))*1</f>
        <v>#REF!</v>
      </c>
      <c r="AG142" s="11" t="e">
        <f>LEFT('REPORTS PER EVALUATOR'!#REF!,1)</f>
        <v>#REF!</v>
      </c>
      <c r="AH142" s="93" t="e">
        <f>(RIGHT('REPORTS PER EVALUATOR'!#REF!,1))*1</f>
        <v>#REF!</v>
      </c>
      <c r="AI142" s="11" t="e">
        <f>LEFT('REPORTS PER EVALUATOR'!#REF!,1)</f>
        <v>#REF!</v>
      </c>
      <c r="AJ142" s="93" t="e">
        <f>(RIGHT('REPORTS PER EVALUATOR'!#REF!,1))*1</f>
        <v>#REF!</v>
      </c>
      <c r="AK142" s="11" t="e">
        <f>LEFT('REPORTS PER EVALUATOR'!#REF!,1)</f>
        <v>#REF!</v>
      </c>
      <c r="AL142" s="93" t="e">
        <f>(RIGHT('REPORTS PER EVALUATOR'!#REF!,1))*1</f>
        <v>#REF!</v>
      </c>
      <c r="AM142" s="11" t="e">
        <f>LEFT('REPORTS PER EVALUATOR'!#REF!,1)</f>
        <v>#REF!</v>
      </c>
      <c r="AN142" s="93" t="e">
        <f>(RIGHT('REPORTS PER EVALUATOR'!#REF!,1))*1</f>
        <v>#REF!</v>
      </c>
      <c r="AO142" s="11" t="e">
        <f>LEFT('REPORTS PER EVALUATOR'!#REF!,1)</f>
        <v>#REF!</v>
      </c>
      <c r="AP142" s="93" t="e">
        <f>(RIGHT('REPORTS PER EVALUATOR'!#REF!,1))*1</f>
        <v>#REF!</v>
      </c>
      <c r="AQ142" s="11" t="e">
        <f>LEFT('REPORTS PER EVALUATOR'!#REF!,1)</f>
        <v>#REF!</v>
      </c>
      <c r="AR142" s="93" t="e">
        <f>(RIGHT('REPORTS PER EVALUATOR'!#REF!,1))*1</f>
        <v>#REF!</v>
      </c>
    </row>
    <row r="143" spans="2:44" x14ac:dyDescent="0.2">
      <c r="B143" s="19" t="str">
        <f t="shared" si="8"/>
        <v>D</v>
      </c>
      <c r="C143" s="18" t="str">
        <f t="shared" si="9"/>
        <v>I</v>
      </c>
      <c r="D143" s="18" t="s">
        <v>39</v>
      </c>
      <c r="E143" s="26" t="str">
        <f>LEFT('REPORTS PER EVALUATOR'!$AP$8,1)</f>
        <v>D</v>
      </c>
      <c r="F143" s="74">
        <f>(RIGHT('REPORTS PER EVALUATOR'!$AP$8,1))*1</f>
        <v>2</v>
      </c>
      <c r="G143" s="11" t="str">
        <f>LEFT('REPORTS PER EVALUATOR'!$AP$20,1)</f>
        <v>D</v>
      </c>
      <c r="H143" s="82">
        <f>(RIGHT('REPORTS PER EVALUATOR'!$AP$20,1))*1</f>
        <v>5</v>
      </c>
      <c r="I143" s="11" t="str">
        <f>LEFT('REPORTS PER EVALUATOR'!$AP$32,1)</f>
        <v>1</v>
      </c>
      <c r="J143" s="82">
        <f>(RIGHT('REPORTS PER EVALUATOR'!$AP$32,1))*1</f>
        <v>1</v>
      </c>
      <c r="K143" s="11" t="str">
        <f>LEFT('REPORTS PER EVALUATOR'!$AP$44,1)</f>
        <v>1</v>
      </c>
      <c r="L143" s="82">
        <f>(RIGHT('REPORTS PER EVALUATOR'!$AP$44,1))*1</f>
        <v>1</v>
      </c>
      <c r="M143" s="11" t="str">
        <f>LEFT('REPORTS PER EVALUATOR'!$AP$56,1)</f>
        <v>D</v>
      </c>
      <c r="N143" s="82">
        <f>(RIGHT('REPORTS PER EVALUATOR'!$AP$56,1))*1</f>
        <v>4</v>
      </c>
      <c r="O143" s="11" t="str">
        <f>LEFT('REPORTS PER EVALUATOR'!$AP$68,1)</f>
        <v>D</v>
      </c>
      <c r="P143" s="82">
        <f>(RIGHT('REPORTS PER EVALUATOR'!$AP$68,1))*1</f>
        <v>2</v>
      </c>
      <c r="Q143" s="11" t="str">
        <f>LEFT('REPORTS PER EVALUATOR'!$AP$80,1)</f>
        <v>D</v>
      </c>
      <c r="R143" s="82">
        <f>(RIGHT('REPORTS PER EVALUATOR'!$AP$80,1))*1</f>
        <v>2</v>
      </c>
      <c r="S143" s="11" t="str">
        <f>LEFT('REPORTS PER EVALUATOR'!$AP$92,1)</f>
        <v>D</v>
      </c>
      <c r="T143" s="82">
        <f>(RIGHT('REPORTS PER EVALUATOR'!$AP$92,1))*1</f>
        <v>3</v>
      </c>
      <c r="U143" s="11" t="str">
        <f>LEFT('REPORTS PER EVALUATOR'!$AP$104,1)</f>
        <v>D</v>
      </c>
      <c r="V143" s="82">
        <f>(RIGHT('REPORTS PER EVALUATOR'!$AP$104,1))*1</f>
        <v>4</v>
      </c>
      <c r="W143" s="11" t="str">
        <f>LEFT('REPORTS PER EVALUATOR'!$AP$116,1)</f>
        <v>1</v>
      </c>
      <c r="X143" s="82">
        <f>(RIGHT('REPORTS PER EVALUATOR'!$AP$116,1))*1</f>
        <v>1</v>
      </c>
      <c r="Y143" s="11" t="str">
        <f>LEFT('REPORTS PER EVALUATOR'!$AP$128,1)</f>
        <v>D</v>
      </c>
      <c r="Z143" s="93">
        <f>(RIGHT('REPORTS PER EVALUATOR'!$AP$128,1))*1</f>
        <v>2</v>
      </c>
      <c r="AA143" s="11" t="e">
        <f>LEFT('REPORTS PER EVALUATOR'!#REF!,1)</f>
        <v>#REF!</v>
      </c>
      <c r="AB143" s="93" t="e">
        <f>(RIGHT('REPORTS PER EVALUATOR'!#REF!,1))*1</f>
        <v>#REF!</v>
      </c>
      <c r="AC143" s="11" t="e">
        <f>LEFT('REPORTS PER EVALUATOR'!#REF!,1)</f>
        <v>#REF!</v>
      </c>
      <c r="AD143" s="93" t="e">
        <f>(RIGHT('REPORTS PER EVALUATOR'!#REF!,1))*1</f>
        <v>#REF!</v>
      </c>
      <c r="AE143" s="11" t="e">
        <f>LEFT('REPORTS PER EVALUATOR'!#REF!,1)</f>
        <v>#REF!</v>
      </c>
      <c r="AF143" s="93" t="e">
        <f>(RIGHT('REPORTS PER EVALUATOR'!#REF!,1))*1</f>
        <v>#REF!</v>
      </c>
      <c r="AG143" s="11" t="e">
        <f>LEFT('REPORTS PER EVALUATOR'!#REF!,1)</f>
        <v>#REF!</v>
      </c>
      <c r="AH143" s="93" t="e">
        <f>(RIGHT('REPORTS PER EVALUATOR'!#REF!,1))*1</f>
        <v>#REF!</v>
      </c>
      <c r="AI143" s="11" t="e">
        <f>LEFT('REPORTS PER EVALUATOR'!#REF!,1)</f>
        <v>#REF!</v>
      </c>
      <c r="AJ143" s="93" t="e">
        <f>(RIGHT('REPORTS PER EVALUATOR'!#REF!,1))*1</f>
        <v>#REF!</v>
      </c>
      <c r="AK143" s="11" t="e">
        <f>LEFT('REPORTS PER EVALUATOR'!#REF!,1)</f>
        <v>#REF!</v>
      </c>
      <c r="AL143" s="93" t="e">
        <f>(RIGHT('REPORTS PER EVALUATOR'!#REF!,1))*1</f>
        <v>#REF!</v>
      </c>
      <c r="AM143" s="11" t="e">
        <f>LEFT('REPORTS PER EVALUATOR'!#REF!,1)</f>
        <v>#REF!</v>
      </c>
      <c r="AN143" s="93" t="e">
        <f>(RIGHT('REPORTS PER EVALUATOR'!#REF!,1))*1</f>
        <v>#REF!</v>
      </c>
      <c r="AO143" s="11" t="e">
        <f>LEFT('REPORTS PER EVALUATOR'!#REF!,1)</f>
        <v>#REF!</v>
      </c>
      <c r="AP143" s="93" t="e">
        <f>(RIGHT('REPORTS PER EVALUATOR'!#REF!,1))*1</f>
        <v>#REF!</v>
      </c>
      <c r="AQ143" s="11" t="e">
        <f>LEFT('REPORTS PER EVALUATOR'!#REF!,1)</f>
        <v>#REF!</v>
      </c>
      <c r="AR143" s="93" t="e">
        <f>(RIGHT('REPORTS PER EVALUATOR'!#REF!,1))*1</f>
        <v>#REF!</v>
      </c>
    </row>
    <row r="144" spans="2:44" x14ac:dyDescent="0.2">
      <c r="B144" s="19" t="str">
        <f t="shared" si="8"/>
        <v>D</v>
      </c>
      <c r="C144" s="18" t="str">
        <f t="shared" si="9"/>
        <v>L</v>
      </c>
      <c r="D144" s="18" t="s">
        <v>40</v>
      </c>
      <c r="E144" s="26" t="str">
        <f>LEFT('REPORTS PER EVALUATOR'!$AQ$8,1)</f>
        <v>D</v>
      </c>
      <c r="F144" s="74">
        <f>(RIGHT('REPORTS PER EVALUATOR'!$AQ$8,1))*1</f>
        <v>5</v>
      </c>
      <c r="G144" s="11" t="str">
        <f>LEFT('REPORTS PER EVALUATOR'!$AQ$20,1)</f>
        <v>D</v>
      </c>
      <c r="H144" s="82">
        <f>(RIGHT('REPORTS PER EVALUATOR'!$AQ$20,1))*1</f>
        <v>5</v>
      </c>
      <c r="I144" s="11" t="str">
        <f>LEFT('REPORTS PER EVALUATOR'!$AQ$32,1)</f>
        <v>D</v>
      </c>
      <c r="J144" s="82">
        <f>(RIGHT('REPORTS PER EVALUATOR'!$AQ$32,1))*1</f>
        <v>5</v>
      </c>
      <c r="K144" s="11" t="str">
        <f>LEFT('REPORTS PER EVALUATOR'!$AQ$44,1)</f>
        <v>D</v>
      </c>
      <c r="L144" s="82">
        <f>(RIGHT('REPORTS PER EVALUATOR'!$AQ$44,1))*1</f>
        <v>5</v>
      </c>
      <c r="M144" s="11" t="str">
        <f>LEFT('REPORTS PER EVALUATOR'!$AQ$56,1)</f>
        <v>D</v>
      </c>
      <c r="N144" s="82">
        <f>(RIGHT('REPORTS PER EVALUATOR'!$AQ$56,1))*1</f>
        <v>3</v>
      </c>
      <c r="O144" s="11" t="str">
        <f>LEFT('REPORTS PER EVALUATOR'!$AQ$68,1)</f>
        <v>D</v>
      </c>
      <c r="P144" s="82">
        <f>(RIGHT('REPORTS PER EVALUATOR'!$AQ$68,1))*1</f>
        <v>2</v>
      </c>
      <c r="Q144" s="11" t="str">
        <f>LEFT('REPORTS PER EVALUATOR'!$AQ$80,1)</f>
        <v>1</v>
      </c>
      <c r="R144" s="82">
        <f>(RIGHT('REPORTS PER EVALUATOR'!$AQ$80,1))*1</f>
        <v>1</v>
      </c>
      <c r="S144" s="11" t="str">
        <f>LEFT('REPORTS PER EVALUATOR'!$AQ$92,1)</f>
        <v>1</v>
      </c>
      <c r="T144" s="82">
        <f>(RIGHT('REPORTS PER EVALUATOR'!$AQ$92,1))*1</f>
        <v>1</v>
      </c>
      <c r="U144" s="11" t="str">
        <f>LEFT('REPORTS PER EVALUATOR'!$AQ$104,1)</f>
        <v>D</v>
      </c>
      <c r="V144" s="82">
        <f>(RIGHT('REPORTS PER EVALUATOR'!$AQ$104,1))*1</f>
        <v>2</v>
      </c>
      <c r="W144" s="11" t="str">
        <f>LEFT('REPORTS PER EVALUATOR'!$AQ$116,1)</f>
        <v>D</v>
      </c>
      <c r="X144" s="82">
        <f>(RIGHT('REPORTS PER EVALUATOR'!$AQ$116,1))*1</f>
        <v>2</v>
      </c>
      <c r="Y144" s="11" t="str">
        <f>LEFT('REPORTS PER EVALUATOR'!$AQ$128,1)</f>
        <v>D</v>
      </c>
      <c r="Z144" s="93">
        <f>(RIGHT('REPORTS PER EVALUATOR'!$AQ$128,1))*1</f>
        <v>3</v>
      </c>
      <c r="AA144" s="11" t="e">
        <f>LEFT('REPORTS PER EVALUATOR'!#REF!,1)</f>
        <v>#REF!</v>
      </c>
      <c r="AB144" s="93" t="e">
        <f>(RIGHT('REPORTS PER EVALUATOR'!#REF!,1))*1</f>
        <v>#REF!</v>
      </c>
      <c r="AC144" s="11" t="e">
        <f>LEFT('REPORTS PER EVALUATOR'!#REF!,1)</f>
        <v>#REF!</v>
      </c>
      <c r="AD144" s="93" t="e">
        <f>(RIGHT('REPORTS PER EVALUATOR'!#REF!,1))*1</f>
        <v>#REF!</v>
      </c>
      <c r="AE144" s="11" t="e">
        <f>LEFT('REPORTS PER EVALUATOR'!#REF!,1)</f>
        <v>#REF!</v>
      </c>
      <c r="AF144" s="93" t="e">
        <f>(RIGHT('REPORTS PER EVALUATOR'!#REF!,1))*1</f>
        <v>#REF!</v>
      </c>
      <c r="AG144" s="11" t="e">
        <f>LEFT('REPORTS PER EVALUATOR'!#REF!,1)</f>
        <v>#REF!</v>
      </c>
      <c r="AH144" s="93" t="e">
        <f>(RIGHT('REPORTS PER EVALUATOR'!#REF!,1))*1</f>
        <v>#REF!</v>
      </c>
      <c r="AI144" s="11" t="e">
        <f>LEFT('REPORTS PER EVALUATOR'!#REF!,1)</f>
        <v>#REF!</v>
      </c>
      <c r="AJ144" s="93" t="e">
        <f>(RIGHT('REPORTS PER EVALUATOR'!#REF!,1))*1</f>
        <v>#REF!</v>
      </c>
      <c r="AK144" s="11" t="e">
        <f>LEFT('REPORTS PER EVALUATOR'!#REF!,1)</f>
        <v>#REF!</v>
      </c>
      <c r="AL144" s="93" t="e">
        <f>(RIGHT('REPORTS PER EVALUATOR'!#REF!,1))*1</f>
        <v>#REF!</v>
      </c>
      <c r="AM144" s="11" t="e">
        <f>LEFT('REPORTS PER EVALUATOR'!#REF!,1)</f>
        <v>#REF!</v>
      </c>
      <c r="AN144" s="93" t="e">
        <f>(RIGHT('REPORTS PER EVALUATOR'!#REF!,1))*1</f>
        <v>#REF!</v>
      </c>
      <c r="AO144" s="11" t="e">
        <f>LEFT('REPORTS PER EVALUATOR'!#REF!,1)</f>
        <v>#REF!</v>
      </c>
      <c r="AP144" s="93" t="e">
        <f>(RIGHT('REPORTS PER EVALUATOR'!#REF!,1))*1</f>
        <v>#REF!</v>
      </c>
      <c r="AQ144" s="11" t="e">
        <f>LEFT('REPORTS PER EVALUATOR'!#REF!,1)</f>
        <v>#REF!</v>
      </c>
      <c r="AR144" s="93" t="e">
        <f>(RIGHT('REPORTS PER EVALUATOR'!#REF!,1))*1</f>
        <v>#REF!</v>
      </c>
    </row>
    <row r="145" spans="2:44" x14ac:dyDescent="0.2">
      <c r="B145" s="19" t="str">
        <f t="shared" si="8"/>
        <v>D</v>
      </c>
      <c r="C145" s="18" t="str">
        <f t="shared" si="9"/>
        <v>M</v>
      </c>
      <c r="D145" s="18" t="s">
        <v>160</v>
      </c>
      <c r="E145" s="26" t="str">
        <f>LEFT('REPORTS PER EVALUATOR'!$AR$8,1)</f>
        <v/>
      </c>
      <c r="F145" s="74" t="e">
        <f>(RIGHT('REPORTS PER EVALUATOR'!$AR$8,1))*1</f>
        <v>#VALUE!</v>
      </c>
      <c r="G145" s="11" t="str">
        <f>LEFT('REPORTS PER EVALUATOR'!$AR$20,1)</f>
        <v/>
      </c>
      <c r="H145" s="82" t="e">
        <f>(RIGHT('REPORTS PER EVALUATOR'!$AR$20,1))*1</f>
        <v>#VALUE!</v>
      </c>
      <c r="I145" s="11" t="str">
        <f>LEFT('REPORTS PER EVALUATOR'!$AR$32,1)</f>
        <v/>
      </c>
      <c r="J145" s="82" t="e">
        <f>(RIGHT('REPORTS PER EVALUATOR'!$AR$32,1))*1</f>
        <v>#VALUE!</v>
      </c>
      <c r="K145" s="11" t="str">
        <f>LEFT('REPORTS PER EVALUATOR'!$AR$44,1)</f>
        <v/>
      </c>
      <c r="L145" s="82" t="e">
        <f>(RIGHT('REPORTS PER EVALUATOR'!$AR$44,1))*1</f>
        <v>#VALUE!</v>
      </c>
      <c r="M145" s="11" t="str">
        <f>LEFT('REPORTS PER EVALUATOR'!$AR$56,1)</f>
        <v/>
      </c>
      <c r="N145" s="82" t="e">
        <f>(RIGHT('REPORTS PER EVALUATOR'!$AR$56,1))*1</f>
        <v>#VALUE!</v>
      </c>
      <c r="O145" s="11" t="str">
        <f>LEFT('REPORTS PER EVALUATOR'!$AR$68,1)</f>
        <v/>
      </c>
      <c r="P145" s="82" t="e">
        <f>(RIGHT('REPORTS PER EVALUATOR'!$AR$68,1))*1</f>
        <v>#VALUE!</v>
      </c>
      <c r="Q145" s="11" t="str">
        <f>LEFT('REPORTS PER EVALUATOR'!$AR$80,1)</f>
        <v/>
      </c>
      <c r="R145" s="82" t="e">
        <f>(RIGHT('REPORTS PER EVALUATOR'!$AR$80,1))*1</f>
        <v>#VALUE!</v>
      </c>
      <c r="S145" s="11" t="str">
        <f>LEFT('REPORTS PER EVALUATOR'!$AR$92,1)</f>
        <v/>
      </c>
      <c r="T145" s="82" t="e">
        <f>(RIGHT('REPORTS PER EVALUATOR'!$AR$92,1))*1</f>
        <v>#VALUE!</v>
      </c>
      <c r="U145" s="11" t="str">
        <f>LEFT('REPORTS PER EVALUATOR'!$AR$104,1)</f>
        <v/>
      </c>
      <c r="V145" s="82" t="e">
        <f>(RIGHT('REPORTS PER EVALUATOR'!$AR$104,1))*1</f>
        <v>#VALUE!</v>
      </c>
      <c r="W145" s="11" t="str">
        <f>LEFT('REPORTS PER EVALUATOR'!$AR$116,1)</f>
        <v/>
      </c>
      <c r="X145" s="82" t="e">
        <f>(RIGHT('REPORTS PER EVALUATOR'!$AR$116,1))*1</f>
        <v>#VALUE!</v>
      </c>
      <c r="Y145" s="11" t="str">
        <f>LEFT('REPORTS PER EVALUATOR'!$AR$128,1)</f>
        <v/>
      </c>
      <c r="Z145" s="93" t="e">
        <f>(RIGHT('REPORTS PER EVALUATOR'!$AR$128,1))*1</f>
        <v>#VALUE!</v>
      </c>
      <c r="AA145" s="11" t="e">
        <f>LEFT('REPORTS PER EVALUATOR'!#REF!,1)</f>
        <v>#REF!</v>
      </c>
      <c r="AB145" s="93" t="e">
        <f>(RIGHT('REPORTS PER EVALUATOR'!#REF!,1))*1</f>
        <v>#REF!</v>
      </c>
      <c r="AC145" s="11" t="e">
        <f>LEFT('REPORTS PER EVALUATOR'!#REF!,1)</f>
        <v>#REF!</v>
      </c>
      <c r="AD145" s="93" t="e">
        <f>(RIGHT('REPORTS PER EVALUATOR'!#REF!,1))*1</f>
        <v>#REF!</v>
      </c>
      <c r="AE145" s="11" t="e">
        <f>LEFT('REPORTS PER EVALUATOR'!#REF!,1)</f>
        <v>#REF!</v>
      </c>
      <c r="AF145" s="93" t="e">
        <f>(RIGHT('REPORTS PER EVALUATOR'!#REF!,1))*1</f>
        <v>#REF!</v>
      </c>
      <c r="AG145" s="11" t="e">
        <f>LEFT('REPORTS PER EVALUATOR'!#REF!,1)</f>
        <v>#REF!</v>
      </c>
      <c r="AH145" s="93" t="e">
        <f>(RIGHT('REPORTS PER EVALUATOR'!#REF!,1))*1</f>
        <v>#REF!</v>
      </c>
      <c r="AI145" s="11" t="e">
        <f>LEFT('REPORTS PER EVALUATOR'!#REF!,1)</f>
        <v>#REF!</v>
      </c>
      <c r="AJ145" s="93" t="e">
        <f>(RIGHT('REPORTS PER EVALUATOR'!#REF!,1))*1</f>
        <v>#REF!</v>
      </c>
      <c r="AK145" s="11" t="e">
        <f>LEFT('REPORTS PER EVALUATOR'!#REF!,1)</f>
        <v>#REF!</v>
      </c>
      <c r="AL145" s="93" t="e">
        <f>(RIGHT('REPORTS PER EVALUATOR'!#REF!,1))*1</f>
        <v>#REF!</v>
      </c>
      <c r="AM145" s="11" t="e">
        <f>LEFT('REPORTS PER EVALUATOR'!#REF!,1)</f>
        <v>#REF!</v>
      </c>
      <c r="AN145" s="93" t="e">
        <f>(RIGHT('REPORTS PER EVALUATOR'!#REF!,1))*1</f>
        <v>#REF!</v>
      </c>
      <c r="AO145" s="11" t="e">
        <f>LEFT('REPORTS PER EVALUATOR'!#REF!,1)</f>
        <v>#REF!</v>
      </c>
      <c r="AP145" s="93" t="e">
        <f>(RIGHT('REPORTS PER EVALUATOR'!#REF!,1))*1</f>
        <v>#REF!</v>
      </c>
      <c r="AQ145" s="11" t="e">
        <f>LEFT('REPORTS PER EVALUATOR'!#REF!,1)</f>
        <v>#REF!</v>
      </c>
      <c r="AR145" s="93" t="e">
        <f>(RIGHT('REPORTS PER EVALUATOR'!#REF!,1))*1</f>
        <v>#REF!</v>
      </c>
    </row>
    <row r="146" spans="2:44" x14ac:dyDescent="0.2">
      <c r="B146" s="19" t="str">
        <f t="shared" si="8"/>
        <v>E</v>
      </c>
      <c r="C146" s="18" t="str">
        <f t="shared" si="9"/>
        <v>F</v>
      </c>
      <c r="D146" s="18" t="s">
        <v>41</v>
      </c>
      <c r="E146" s="57" t="str">
        <f>LEFT('REPORTS PER EVALUATOR'!$AM$9,1)</f>
        <v>1</v>
      </c>
      <c r="F146" s="73">
        <f>(RIGHT('REPORTS PER EVALUATOR'!$AM$9,1))*1</f>
        <v>1</v>
      </c>
      <c r="G146" s="58" t="str">
        <f>LEFT('REPORTS PER EVALUATOR'!$AM$21,1)</f>
        <v>E</v>
      </c>
      <c r="H146" s="81">
        <f>(RIGHT('REPORTS PER EVALUATOR'!$AM$21,1))*1</f>
        <v>2</v>
      </c>
      <c r="I146" s="58" t="str">
        <f>LEFT('REPORTS PER EVALUATOR'!$AM$33,1)</f>
        <v>F</v>
      </c>
      <c r="J146" s="81">
        <f>(RIGHT('REPORTS PER EVALUATOR'!$AM$33,1))*1</f>
        <v>5</v>
      </c>
      <c r="K146" s="58" t="str">
        <f>LEFT('REPORTS PER EVALUATOR'!$AM$45,1)</f>
        <v>F</v>
      </c>
      <c r="L146" s="81">
        <f>(RIGHT('REPORTS PER EVALUATOR'!$AM$45,1))*1</f>
        <v>2</v>
      </c>
      <c r="M146" s="58" t="str">
        <f>LEFT('REPORTS PER EVALUATOR'!$AM$57,1)</f>
        <v>F</v>
      </c>
      <c r="N146" s="81">
        <f>(RIGHT('REPORTS PER EVALUATOR'!$AM$57,1))*1</f>
        <v>2</v>
      </c>
      <c r="O146" s="58" t="str">
        <f>LEFT('REPORTS PER EVALUATOR'!$AM$69,1)</f>
        <v>E</v>
      </c>
      <c r="P146" s="81">
        <f>(RIGHT('REPORTS PER EVALUATOR'!$AM$69,1))*1</f>
        <v>2</v>
      </c>
      <c r="Q146" s="58" t="str">
        <f>LEFT('REPORTS PER EVALUATOR'!$AM$81,1)</f>
        <v>1</v>
      </c>
      <c r="R146" s="81">
        <f>(RIGHT('REPORTS PER EVALUATOR'!$AM$81,1))*1</f>
        <v>1</v>
      </c>
      <c r="S146" s="58" t="str">
        <f>LEFT('REPORTS PER EVALUATOR'!$AM$93,1)</f>
        <v>E</v>
      </c>
      <c r="T146" s="81">
        <f>(RIGHT('REPORTS PER EVALUATOR'!$AM$93,1))*1</f>
        <v>2</v>
      </c>
      <c r="U146" s="58" t="str">
        <f>LEFT('REPORTS PER EVALUATOR'!$AM$105,1)</f>
        <v>E</v>
      </c>
      <c r="V146" s="81">
        <f>(RIGHT('REPORTS PER EVALUATOR'!$AM$105,1))*1</f>
        <v>2</v>
      </c>
      <c r="W146" s="58" t="str">
        <f>LEFT('REPORTS PER EVALUATOR'!$AM$117,1)</f>
        <v>F</v>
      </c>
      <c r="X146" s="81">
        <f>(RIGHT('REPORTS PER EVALUATOR'!$AM$117,1))*1</f>
        <v>2</v>
      </c>
      <c r="Y146" s="58" t="str">
        <f>LEFT('REPORTS PER EVALUATOR'!$AM$129,1)</f>
        <v>E</v>
      </c>
      <c r="Z146" s="94">
        <f>(RIGHT('REPORTS PER EVALUATOR'!$AM$129,1))*1</f>
        <v>2</v>
      </c>
      <c r="AA146" s="58" t="e">
        <f>LEFT('REPORTS PER EVALUATOR'!#REF!,1)</f>
        <v>#REF!</v>
      </c>
      <c r="AB146" s="94" t="e">
        <f>(RIGHT('REPORTS PER EVALUATOR'!#REF!,1))*1</f>
        <v>#REF!</v>
      </c>
      <c r="AC146" s="58" t="e">
        <f>LEFT('REPORTS PER EVALUATOR'!#REF!,1)</f>
        <v>#REF!</v>
      </c>
      <c r="AD146" s="94" t="e">
        <f>(RIGHT('REPORTS PER EVALUATOR'!#REF!,1))*1</f>
        <v>#REF!</v>
      </c>
      <c r="AE146" s="58" t="e">
        <f>LEFT('REPORTS PER EVALUATOR'!#REF!,1)</f>
        <v>#REF!</v>
      </c>
      <c r="AF146" s="94" t="e">
        <f>(RIGHT('REPORTS PER EVALUATOR'!#REF!,1))*1</f>
        <v>#REF!</v>
      </c>
      <c r="AG146" s="58" t="e">
        <f>LEFT('REPORTS PER EVALUATOR'!#REF!,1)</f>
        <v>#REF!</v>
      </c>
      <c r="AH146" s="94" t="e">
        <f>(RIGHT('REPORTS PER EVALUATOR'!#REF!,1))*1</f>
        <v>#REF!</v>
      </c>
      <c r="AI146" s="58" t="e">
        <f>LEFT('REPORTS PER EVALUATOR'!#REF!,1)</f>
        <v>#REF!</v>
      </c>
      <c r="AJ146" s="94" t="e">
        <f>(RIGHT('REPORTS PER EVALUATOR'!#REF!,1))*1</f>
        <v>#REF!</v>
      </c>
      <c r="AK146" s="58" t="e">
        <f>LEFT('REPORTS PER EVALUATOR'!#REF!,1)</f>
        <v>#REF!</v>
      </c>
      <c r="AL146" s="94" t="e">
        <f>(RIGHT('REPORTS PER EVALUATOR'!#REF!,1))*1</f>
        <v>#REF!</v>
      </c>
      <c r="AM146" s="58" t="e">
        <f>LEFT('REPORTS PER EVALUATOR'!#REF!,1)</f>
        <v>#REF!</v>
      </c>
      <c r="AN146" s="94" t="e">
        <f>(RIGHT('REPORTS PER EVALUATOR'!#REF!,1))*1</f>
        <v>#REF!</v>
      </c>
      <c r="AO146" s="58" t="e">
        <f>LEFT('REPORTS PER EVALUATOR'!#REF!,1)</f>
        <v>#REF!</v>
      </c>
      <c r="AP146" s="94" t="e">
        <f>(RIGHT('REPORTS PER EVALUATOR'!#REF!,1))*1</f>
        <v>#REF!</v>
      </c>
      <c r="AQ146" s="58" t="e">
        <f>LEFT('REPORTS PER EVALUATOR'!#REF!,1)</f>
        <v>#REF!</v>
      </c>
      <c r="AR146" s="94" t="e">
        <f>(RIGHT('REPORTS PER EVALUATOR'!#REF!,1))*1</f>
        <v>#REF!</v>
      </c>
    </row>
    <row r="147" spans="2:44" x14ac:dyDescent="0.2">
      <c r="B147" s="19" t="str">
        <f t="shared" si="8"/>
        <v>E</v>
      </c>
      <c r="C147" s="18" t="str">
        <f t="shared" si="9"/>
        <v>G</v>
      </c>
      <c r="D147" s="18" t="s">
        <v>42</v>
      </c>
      <c r="E147" s="26" t="str">
        <f>LEFT('REPORTS PER EVALUATOR'!$AN$9,1)</f>
        <v>E</v>
      </c>
      <c r="F147" s="74">
        <f>(RIGHT('REPORTS PER EVALUATOR'!$AN$9,1))*1</f>
        <v>5</v>
      </c>
      <c r="G147" s="11" t="str">
        <f>LEFT('REPORTS PER EVALUATOR'!$AN$21,1)</f>
        <v>E</v>
      </c>
      <c r="H147" s="82">
        <f>(RIGHT('REPORTS PER EVALUATOR'!$AN$21,1))*1</f>
        <v>4</v>
      </c>
      <c r="I147" s="11" t="str">
        <f>LEFT('REPORTS PER EVALUATOR'!$AN$33,1)</f>
        <v>1</v>
      </c>
      <c r="J147" s="82">
        <f>(RIGHT('REPORTS PER EVALUATOR'!$AN$33,1))*1</f>
        <v>1</v>
      </c>
      <c r="K147" s="11" t="str">
        <f>LEFT('REPORTS PER EVALUATOR'!$AN$45,1)</f>
        <v>G</v>
      </c>
      <c r="L147" s="82">
        <f>(RIGHT('REPORTS PER EVALUATOR'!$AN$45,1))*1</f>
        <v>2</v>
      </c>
      <c r="M147" s="11" t="str">
        <f>LEFT('REPORTS PER EVALUATOR'!$AN$57,1)</f>
        <v>E</v>
      </c>
      <c r="N147" s="82">
        <f>(RIGHT('REPORTS PER EVALUATOR'!$AN$57,1))*1</f>
        <v>3</v>
      </c>
      <c r="O147" s="11" t="str">
        <f>LEFT('REPORTS PER EVALUATOR'!$AN$69,1)</f>
        <v>E</v>
      </c>
      <c r="P147" s="82">
        <f>(RIGHT('REPORTS PER EVALUATOR'!$AN$69,1))*1</f>
        <v>3</v>
      </c>
      <c r="Q147" s="11" t="str">
        <f>LEFT('REPORTS PER EVALUATOR'!$AN$81,1)</f>
        <v>E</v>
      </c>
      <c r="R147" s="82">
        <f>(RIGHT('REPORTS PER EVALUATOR'!$AN$81,1))*1</f>
        <v>4</v>
      </c>
      <c r="S147" s="11" t="str">
        <f>LEFT('REPORTS PER EVALUATOR'!$AN$93,1)</f>
        <v>E</v>
      </c>
      <c r="T147" s="82">
        <f>(RIGHT('REPORTS PER EVALUATOR'!$AN$93,1))*1</f>
        <v>6</v>
      </c>
      <c r="U147" s="11" t="str">
        <f>LEFT('REPORTS PER EVALUATOR'!$AN$105,1)</f>
        <v>E</v>
      </c>
      <c r="V147" s="82">
        <f>(RIGHT('REPORTS PER EVALUATOR'!$AN$105,1))*1</f>
        <v>4</v>
      </c>
      <c r="W147" s="11" t="str">
        <f>LEFT('REPORTS PER EVALUATOR'!$AN$117,1)</f>
        <v>G</v>
      </c>
      <c r="X147" s="82">
        <f>(RIGHT('REPORTS PER EVALUATOR'!$AN$117,1))*1</f>
        <v>2</v>
      </c>
      <c r="Y147" s="11" t="str">
        <f>LEFT('REPORTS PER EVALUATOR'!$AN$129,1)</f>
        <v>E</v>
      </c>
      <c r="Z147" s="93">
        <f>(RIGHT('REPORTS PER EVALUATOR'!$AN$129,1))*1</f>
        <v>4</v>
      </c>
      <c r="AA147" s="11" t="e">
        <f>LEFT('REPORTS PER EVALUATOR'!#REF!,1)</f>
        <v>#REF!</v>
      </c>
      <c r="AB147" s="93" t="e">
        <f>(RIGHT('REPORTS PER EVALUATOR'!#REF!,1))*1</f>
        <v>#REF!</v>
      </c>
      <c r="AC147" s="11" t="e">
        <f>LEFT('REPORTS PER EVALUATOR'!#REF!,1)</f>
        <v>#REF!</v>
      </c>
      <c r="AD147" s="93" t="e">
        <f>(RIGHT('REPORTS PER EVALUATOR'!#REF!,1))*1</f>
        <v>#REF!</v>
      </c>
      <c r="AE147" s="11" t="e">
        <f>LEFT('REPORTS PER EVALUATOR'!#REF!,1)</f>
        <v>#REF!</v>
      </c>
      <c r="AF147" s="93" t="e">
        <f>(RIGHT('REPORTS PER EVALUATOR'!#REF!,1))*1</f>
        <v>#REF!</v>
      </c>
      <c r="AG147" s="11" t="e">
        <f>LEFT('REPORTS PER EVALUATOR'!#REF!,1)</f>
        <v>#REF!</v>
      </c>
      <c r="AH147" s="93" t="e">
        <f>(RIGHT('REPORTS PER EVALUATOR'!#REF!,1))*1</f>
        <v>#REF!</v>
      </c>
      <c r="AI147" s="11" t="e">
        <f>LEFT('REPORTS PER EVALUATOR'!#REF!,1)</f>
        <v>#REF!</v>
      </c>
      <c r="AJ147" s="93" t="e">
        <f>(RIGHT('REPORTS PER EVALUATOR'!#REF!,1))*1</f>
        <v>#REF!</v>
      </c>
      <c r="AK147" s="11" t="e">
        <f>LEFT('REPORTS PER EVALUATOR'!#REF!,1)</f>
        <v>#REF!</v>
      </c>
      <c r="AL147" s="93" t="e">
        <f>(RIGHT('REPORTS PER EVALUATOR'!#REF!,1))*1</f>
        <v>#REF!</v>
      </c>
      <c r="AM147" s="11" t="e">
        <f>LEFT('REPORTS PER EVALUATOR'!#REF!,1)</f>
        <v>#REF!</v>
      </c>
      <c r="AN147" s="93" t="e">
        <f>(RIGHT('REPORTS PER EVALUATOR'!#REF!,1))*1</f>
        <v>#REF!</v>
      </c>
      <c r="AO147" s="11" t="e">
        <f>LEFT('REPORTS PER EVALUATOR'!#REF!,1)</f>
        <v>#REF!</v>
      </c>
      <c r="AP147" s="93" t="e">
        <f>(RIGHT('REPORTS PER EVALUATOR'!#REF!,1))*1</f>
        <v>#REF!</v>
      </c>
      <c r="AQ147" s="11" t="e">
        <f>LEFT('REPORTS PER EVALUATOR'!#REF!,1)</f>
        <v>#REF!</v>
      </c>
      <c r="AR147" s="93" t="e">
        <f>(RIGHT('REPORTS PER EVALUATOR'!#REF!,1))*1</f>
        <v>#REF!</v>
      </c>
    </row>
    <row r="148" spans="2:44" x14ac:dyDescent="0.2">
      <c r="B148" s="19" t="str">
        <f t="shared" si="8"/>
        <v>E</v>
      </c>
      <c r="C148" s="18" t="str">
        <f t="shared" si="9"/>
        <v>H</v>
      </c>
      <c r="D148" s="18" t="s">
        <v>43</v>
      </c>
      <c r="E148" s="26" t="str">
        <f>LEFT('REPORTS PER EVALUATOR'!$AO$9,1)</f>
        <v>1</v>
      </c>
      <c r="F148" s="74">
        <f>(RIGHT('REPORTS PER EVALUATOR'!$AO$9,1))*1</f>
        <v>1</v>
      </c>
      <c r="G148" s="11" t="str">
        <f>LEFT('REPORTS PER EVALUATOR'!$AO$21,1)</f>
        <v>E</v>
      </c>
      <c r="H148" s="82">
        <f>(RIGHT('REPORTS PER EVALUATOR'!$AO$21,1))*1</f>
        <v>3</v>
      </c>
      <c r="I148" s="11" t="str">
        <f>LEFT('REPORTS PER EVALUATOR'!$AO$33,1)</f>
        <v>1</v>
      </c>
      <c r="J148" s="82">
        <f>(RIGHT('REPORTS PER EVALUATOR'!$AO$33,1))*1</f>
        <v>1</v>
      </c>
      <c r="K148" s="11" t="str">
        <f>LEFT('REPORTS PER EVALUATOR'!$AO$45,1)</f>
        <v>E</v>
      </c>
      <c r="L148" s="82">
        <f>(RIGHT('REPORTS PER EVALUATOR'!$AO$45,1))*1</f>
        <v>3</v>
      </c>
      <c r="M148" s="11" t="str">
        <f>LEFT('REPORTS PER EVALUATOR'!$AO$57,1)</f>
        <v>E</v>
      </c>
      <c r="N148" s="82">
        <f>(RIGHT('REPORTS PER EVALUATOR'!$AO$57,1))*1</f>
        <v>2</v>
      </c>
      <c r="O148" s="11" t="str">
        <f>LEFT('REPORTS PER EVALUATOR'!$AO$69,1)</f>
        <v>E</v>
      </c>
      <c r="P148" s="82">
        <f>(RIGHT('REPORTS PER EVALUATOR'!$AO$69,1))*1</f>
        <v>3</v>
      </c>
      <c r="Q148" s="11" t="str">
        <f>LEFT('REPORTS PER EVALUATOR'!$AO$81,1)</f>
        <v>E</v>
      </c>
      <c r="R148" s="82">
        <f>(RIGHT('REPORTS PER EVALUATOR'!$AO$81,1))*1</f>
        <v>3</v>
      </c>
      <c r="S148" s="11" t="str">
        <f>LEFT('REPORTS PER EVALUATOR'!$AO$93,1)</f>
        <v>H</v>
      </c>
      <c r="T148" s="82">
        <f>(RIGHT('REPORTS PER EVALUATOR'!$AO$93,1))*1</f>
        <v>2</v>
      </c>
      <c r="U148" s="11" t="str">
        <f>LEFT('REPORTS PER EVALUATOR'!$AO$105,1)</f>
        <v>1</v>
      </c>
      <c r="V148" s="82">
        <f>(RIGHT('REPORTS PER EVALUATOR'!$AO$105,1))*1</f>
        <v>1</v>
      </c>
      <c r="W148" s="11" t="str">
        <f>LEFT('REPORTS PER EVALUATOR'!$AO$117,1)</f>
        <v>H</v>
      </c>
      <c r="X148" s="82">
        <f>(RIGHT('REPORTS PER EVALUATOR'!$AO$117,1))*1</f>
        <v>3</v>
      </c>
      <c r="Y148" s="11" t="str">
        <f>LEFT('REPORTS PER EVALUATOR'!$AO$129,1)</f>
        <v>E</v>
      </c>
      <c r="Z148" s="93">
        <f>(RIGHT('REPORTS PER EVALUATOR'!$AO$129,1))*1</f>
        <v>2</v>
      </c>
      <c r="AA148" s="11" t="e">
        <f>LEFT('REPORTS PER EVALUATOR'!#REF!,1)</f>
        <v>#REF!</v>
      </c>
      <c r="AB148" s="93" t="e">
        <f>(RIGHT('REPORTS PER EVALUATOR'!#REF!,1))*1</f>
        <v>#REF!</v>
      </c>
      <c r="AC148" s="11" t="e">
        <f>LEFT('REPORTS PER EVALUATOR'!#REF!,1)</f>
        <v>#REF!</v>
      </c>
      <c r="AD148" s="93" t="e">
        <f>(RIGHT('REPORTS PER EVALUATOR'!#REF!,1))*1</f>
        <v>#REF!</v>
      </c>
      <c r="AE148" s="11" t="e">
        <f>LEFT('REPORTS PER EVALUATOR'!#REF!,1)</f>
        <v>#REF!</v>
      </c>
      <c r="AF148" s="93" t="e">
        <f>(RIGHT('REPORTS PER EVALUATOR'!#REF!,1))*1</f>
        <v>#REF!</v>
      </c>
      <c r="AG148" s="11" t="e">
        <f>LEFT('REPORTS PER EVALUATOR'!#REF!,1)</f>
        <v>#REF!</v>
      </c>
      <c r="AH148" s="93" t="e">
        <f>(RIGHT('REPORTS PER EVALUATOR'!#REF!,1))*1</f>
        <v>#REF!</v>
      </c>
      <c r="AI148" s="11" t="e">
        <f>LEFT('REPORTS PER EVALUATOR'!#REF!,1)</f>
        <v>#REF!</v>
      </c>
      <c r="AJ148" s="93" t="e">
        <f>(RIGHT('REPORTS PER EVALUATOR'!#REF!,1))*1</f>
        <v>#REF!</v>
      </c>
      <c r="AK148" s="11" t="e">
        <f>LEFT('REPORTS PER EVALUATOR'!#REF!,1)</f>
        <v>#REF!</v>
      </c>
      <c r="AL148" s="93" t="e">
        <f>(RIGHT('REPORTS PER EVALUATOR'!#REF!,1))*1</f>
        <v>#REF!</v>
      </c>
      <c r="AM148" s="11" t="e">
        <f>LEFT('REPORTS PER EVALUATOR'!#REF!,1)</f>
        <v>#REF!</v>
      </c>
      <c r="AN148" s="93" t="e">
        <f>(RIGHT('REPORTS PER EVALUATOR'!#REF!,1))*1</f>
        <v>#REF!</v>
      </c>
      <c r="AO148" s="11" t="e">
        <f>LEFT('REPORTS PER EVALUATOR'!#REF!,1)</f>
        <v>#REF!</v>
      </c>
      <c r="AP148" s="93" t="e">
        <f>(RIGHT('REPORTS PER EVALUATOR'!#REF!,1))*1</f>
        <v>#REF!</v>
      </c>
      <c r="AQ148" s="11" t="e">
        <f>LEFT('REPORTS PER EVALUATOR'!#REF!,1)</f>
        <v>#REF!</v>
      </c>
      <c r="AR148" s="93" t="e">
        <f>(RIGHT('REPORTS PER EVALUATOR'!#REF!,1))*1</f>
        <v>#REF!</v>
      </c>
    </row>
    <row r="149" spans="2:44" x14ac:dyDescent="0.2">
      <c r="B149" s="19" t="str">
        <f t="shared" si="8"/>
        <v>E</v>
      </c>
      <c r="C149" s="18" t="str">
        <f t="shared" si="9"/>
        <v>I</v>
      </c>
      <c r="D149" s="18" t="s">
        <v>44</v>
      </c>
      <c r="E149" s="26" t="str">
        <f>LEFT('REPORTS PER EVALUATOR'!$AP$9,1)</f>
        <v>1</v>
      </c>
      <c r="F149" s="74">
        <f>(RIGHT('REPORTS PER EVALUATOR'!$AP$9,1))*1</f>
        <v>1</v>
      </c>
      <c r="G149" s="11" t="str">
        <f>LEFT('REPORTS PER EVALUATOR'!$AP$21,1)</f>
        <v>E</v>
      </c>
      <c r="H149" s="82">
        <f>(RIGHT('REPORTS PER EVALUATOR'!$AP$21,1))*1</f>
        <v>5</v>
      </c>
      <c r="I149" s="11" t="str">
        <f>LEFT('REPORTS PER EVALUATOR'!$AP$33,1)</f>
        <v>I</v>
      </c>
      <c r="J149" s="82">
        <f>(RIGHT('REPORTS PER EVALUATOR'!$AP$33,1))*1</f>
        <v>4</v>
      </c>
      <c r="K149" s="11" t="str">
        <f>LEFT('REPORTS PER EVALUATOR'!$AP$45,1)</f>
        <v>I</v>
      </c>
      <c r="L149" s="82">
        <f>(RIGHT('REPORTS PER EVALUATOR'!$AP$45,1))*1</f>
        <v>2</v>
      </c>
      <c r="M149" s="11" t="str">
        <f>LEFT('REPORTS PER EVALUATOR'!$AP$57,1)</f>
        <v>E</v>
      </c>
      <c r="N149" s="82">
        <f>(RIGHT('REPORTS PER EVALUATOR'!$AP$57,1))*1</f>
        <v>2</v>
      </c>
      <c r="O149" s="11" t="str">
        <f>LEFT('REPORTS PER EVALUATOR'!$AP$69,1)</f>
        <v>E</v>
      </c>
      <c r="P149" s="82">
        <f>(RIGHT('REPORTS PER EVALUATOR'!$AP$69,1))*1</f>
        <v>4</v>
      </c>
      <c r="Q149" s="11" t="str">
        <f>LEFT('REPORTS PER EVALUATOR'!$AP$81,1)</f>
        <v>E</v>
      </c>
      <c r="R149" s="82">
        <f>(RIGHT('REPORTS PER EVALUATOR'!$AP$81,1))*1</f>
        <v>5</v>
      </c>
      <c r="S149" s="11" t="str">
        <f>LEFT('REPORTS PER EVALUATOR'!$AP$93,1)</f>
        <v>E</v>
      </c>
      <c r="T149" s="82">
        <f>(RIGHT('REPORTS PER EVALUATOR'!$AP$93,1))*1</f>
        <v>2</v>
      </c>
      <c r="U149" s="11" t="str">
        <f>LEFT('REPORTS PER EVALUATOR'!$AP$105,1)</f>
        <v>E</v>
      </c>
      <c r="V149" s="82">
        <f>(RIGHT('REPORTS PER EVALUATOR'!$AP$105,1))*1</f>
        <v>3</v>
      </c>
      <c r="W149" s="11" t="str">
        <f>LEFT('REPORTS PER EVALUATOR'!$AP$117,1)</f>
        <v>I</v>
      </c>
      <c r="X149" s="82">
        <f>(RIGHT('REPORTS PER EVALUATOR'!$AP$117,1))*1</f>
        <v>3</v>
      </c>
      <c r="Y149" s="11" t="str">
        <f>LEFT('REPORTS PER EVALUATOR'!$AP$129,1)</f>
        <v>E</v>
      </c>
      <c r="Z149" s="93">
        <f>(RIGHT('REPORTS PER EVALUATOR'!$AP$129,1))*1</f>
        <v>2</v>
      </c>
      <c r="AA149" s="11" t="e">
        <f>LEFT('REPORTS PER EVALUATOR'!#REF!,1)</f>
        <v>#REF!</v>
      </c>
      <c r="AB149" s="93" t="e">
        <f>(RIGHT('REPORTS PER EVALUATOR'!#REF!,1))*1</f>
        <v>#REF!</v>
      </c>
      <c r="AC149" s="11" t="e">
        <f>LEFT('REPORTS PER EVALUATOR'!#REF!,1)</f>
        <v>#REF!</v>
      </c>
      <c r="AD149" s="93" t="e">
        <f>(RIGHT('REPORTS PER EVALUATOR'!#REF!,1))*1</f>
        <v>#REF!</v>
      </c>
      <c r="AE149" s="11" t="e">
        <f>LEFT('REPORTS PER EVALUATOR'!#REF!,1)</f>
        <v>#REF!</v>
      </c>
      <c r="AF149" s="93" t="e">
        <f>(RIGHT('REPORTS PER EVALUATOR'!#REF!,1))*1</f>
        <v>#REF!</v>
      </c>
      <c r="AG149" s="11" t="e">
        <f>LEFT('REPORTS PER EVALUATOR'!#REF!,1)</f>
        <v>#REF!</v>
      </c>
      <c r="AH149" s="93" t="e">
        <f>(RIGHT('REPORTS PER EVALUATOR'!#REF!,1))*1</f>
        <v>#REF!</v>
      </c>
      <c r="AI149" s="11" t="e">
        <f>LEFT('REPORTS PER EVALUATOR'!#REF!,1)</f>
        <v>#REF!</v>
      </c>
      <c r="AJ149" s="93" t="e">
        <f>(RIGHT('REPORTS PER EVALUATOR'!#REF!,1))*1</f>
        <v>#REF!</v>
      </c>
      <c r="AK149" s="11" t="e">
        <f>LEFT('REPORTS PER EVALUATOR'!#REF!,1)</f>
        <v>#REF!</v>
      </c>
      <c r="AL149" s="93" t="e">
        <f>(RIGHT('REPORTS PER EVALUATOR'!#REF!,1))*1</f>
        <v>#REF!</v>
      </c>
      <c r="AM149" s="11" t="e">
        <f>LEFT('REPORTS PER EVALUATOR'!#REF!,1)</f>
        <v>#REF!</v>
      </c>
      <c r="AN149" s="93" t="e">
        <f>(RIGHT('REPORTS PER EVALUATOR'!#REF!,1))*1</f>
        <v>#REF!</v>
      </c>
      <c r="AO149" s="11" t="e">
        <f>LEFT('REPORTS PER EVALUATOR'!#REF!,1)</f>
        <v>#REF!</v>
      </c>
      <c r="AP149" s="93" t="e">
        <f>(RIGHT('REPORTS PER EVALUATOR'!#REF!,1))*1</f>
        <v>#REF!</v>
      </c>
      <c r="AQ149" s="11" t="e">
        <f>LEFT('REPORTS PER EVALUATOR'!#REF!,1)</f>
        <v>#REF!</v>
      </c>
      <c r="AR149" s="93" t="e">
        <f>(RIGHT('REPORTS PER EVALUATOR'!#REF!,1))*1</f>
        <v>#REF!</v>
      </c>
    </row>
    <row r="150" spans="2:44" x14ac:dyDescent="0.2">
      <c r="B150" s="19" t="str">
        <f t="shared" si="8"/>
        <v>E</v>
      </c>
      <c r="C150" s="18" t="str">
        <f t="shared" si="9"/>
        <v>L</v>
      </c>
      <c r="D150" s="18" t="s">
        <v>45</v>
      </c>
      <c r="E150" s="26" t="str">
        <f>LEFT('REPORTS PER EVALUATOR'!$AQ$9,1)</f>
        <v>E</v>
      </c>
      <c r="F150" s="74">
        <f>(RIGHT('REPORTS PER EVALUATOR'!$AQ$9,1))*1</f>
        <v>5</v>
      </c>
      <c r="G150" s="11" t="str">
        <f>LEFT('REPORTS PER EVALUATOR'!$AQ$21,1)</f>
        <v>E</v>
      </c>
      <c r="H150" s="82">
        <f>(RIGHT('REPORTS PER EVALUATOR'!$AQ$21,1))*1</f>
        <v>5</v>
      </c>
      <c r="I150" s="11" t="str">
        <f>LEFT('REPORTS PER EVALUATOR'!$AQ$33,1)</f>
        <v>1</v>
      </c>
      <c r="J150" s="82">
        <f>(RIGHT('REPORTS PER EVALUATOR'!$AQ$33,1))*1</f>
        <v>1</v>
      </c>
      <c r="K150" s="11" t="str">
        <f>LEFT('REPORTS PER EVALUATOR'!$AQ$45,1)</f>
        <v>E</v>
      </c>
      <c r="L150" s="82">
        <f>(RIGHT('REPORTS PER EVALUATOR'!$AQ$45,1))*1</f>
        <v>4</v>
      </c>
      <c r="M150" s="11" t="str">
        <f>LEFT('REPORTS PER EVALUATOR'!$AQ$57,1)</f>
        <v>E</v>
      </c>
      <c r="N150" s="82">
        <f>(RIGHT('REPORTS PER EVALUATOR'!$AQ$57,1))*1</f>
        <v>2</v>
      </c>
      <c r="O150" s="11" t="str">
        <f>LEFT('REPORTS PER EVALUATOR'!$AQ$69,1)</f>
        <v>L</v>
      </c>
      <c r="P150" s="82">
        <f>(RIGHT('REPORTS PER EVALUATOR'!$AQ$69,1))*1</f>
        <v>4</v>
      </c>
      <c r="Q150" s="11" t="str">
        <f>LEFT('REPORTS PER EVALUATOR'!$AQ$81,1)</f>
        <v>E</v>
      </c>
      <c r="R150" s="82">
        <f>(RIGHT('REPORTS PER EVALUATOR'!$AQ$81,1))*1</f>
        <v>4</v>
      </c>
      <c r="S150" s="11" t="str">
        <f>LEFT('REPORTS PER EVALUATOR'!$AQ$93,1)</f>
        <v>L</v>
      </c>
      <c r="T150" s="82">
        <f>(RIGHT('REPORTS PER EVALUATOR'!$AQ$93,1))*1</f>
        <v>2</v>
      </c>
      <c r="U150" s="11" t="str">
        <f>LEFT('REPORTS PER EVALUATOR'!$AQ$105,1)</f>
        <v>1</v>
      </c>
      <c r="V150" s="82">
        <f>(RIGHT('REPORTS PER EVALUATOR'!$AQ$105,1))*1</f>
        <v>1</v>
      </c>
      <c r="W150" s="11" t="str">
        <f>LEFT('REPORTS PER EVALUATOR'!$AQ$117,1)</f>
        <v>L</v>
      </c>
      <c r="X150" s="82">
        <f>(RIGHT('REPORTS PER EVALUATOR'!$AQ$117,1))*1</f>
        <v>2</v>
      </c>
      <c r="Y150" s="11" t="str">
        <f>LEFT('REPORTS PER EVALUATOR'!$AQ$129,1)</f>
        <v>E</v>
      </c>
      <c r="Z150" s="93">
        <f>(RIGHT('REPORTS PER EVALUATOR'!$AQ$129,1))*1</f>
        <v>3</v>
      </c>
      <c r="AA150" s="11" t="e">
        <f>LEFT('REPORTS PER EVALUATOR'!#REF!,1)</f>
        <v>#REF!</v>
      </c>
      <c r="AB150" s="93" t="e">
        <f>(RIGHT('REPORTS PER EVALUATOR'!#REF!,1))*1</f>
        <v>#REF!</v>
      </c>
      <c r="AC150" s="11" t="e">
        <f>LEFT('REPORTS PER EVALUATOR'!#REF!,1)</f>
        <v>#REF!</v>
      </c>
      <c r="AD150" s="93" t="e">
        <f>(RIGHT('REPORTS PER EVALUATOR'!#REF!,1))*1</f>
        <v>#REF!</v>
      </c>
      <c r="AE150" s="11" t="e">
        <f>LEFT('REPORTS PER EVALUATOR'!#REF!,1)</f>
        <v>#REF!</v>
      </c>
      <c r="AF150" s="93" t="e">
        <f>(RIGHT('REPORTS PER EVALUATOR'!#REF!,1))*1</f>
        <v>#REF!</v>
      </c>
      <c r="AG150" s="11" t="e">
        <f>LEFT('REPORTS PER EVALUATOR'!#REF!,1)</f>
        <v>#REF!</v>
      </c>
      <c r="AH150" s="93" t="e">
        <f>(RIGHT('REPORTS PER EVALUATOR'!#REF!,1))*1</f>
        <v>#REF!</v>
      </c>
      <c r="AI150" s="11" t="e">
        <f>LEFT('REPORTS PER EVALUATOR'!#REF!,1)</f>
        <v>#REF!</v>
      </c>
      <c r="AJ150" s="93" t="e">
        <f>(RIGHT('REPORTS PER EVALUATOR'!#REF!,1))*1</f>
        <v>#REF!</v>
      </c>
      <c r="AK150" s="11" t="e">
        <f>LEFT('REPORTS PER EVALUATOR'!#REF!,1)</f>
        <v>#REF!</v>
      </c>
      <c r="AL150" s="93" t="e">
        <f>(RIGHT('REPORTS PER EVALUATOR'!#REF!,1))*1</f>
        <v>#REF!</v>
      </c>
      <c r="AM150" s="11" t="e">
        <f>LEFT('REPORTS PER EVALUATOR'!#REF!,1)</f>
        <v>#REF!</v>
      </c>
      <c r="AN150" s="93" t="e">
        <f>(RIGHT('REPORTS PER EVALUATOR'!#REF!,1))*1</f>
        <v>#REF!</v>
      </c>
      <c r="AO150" s="11" t="e">
        <f>LEFT('REPORTS PER EVALUATOR'!#REF!,1)</f>
        <v>#REF!</v>
      </c>
      <c r="AP150" s="93" t="e">
        <f>(RIGHT('REPORTS PER EVALUATOR'!#REF!,1))*1</f>
        <v>#REF!</v>
      </c>
      <c r="AQ150" s="11" t="e">
        <f>LEFT('REPORTS PER EVALUATOR'!#REF!,1)</f>
        <v>#REF!</v>
      </c>
      <c r="AR150" s="93" t="e">
        <f>(RIGHT('REPORTS PER EVALUATOR'!#REF!,1))*1</f>
        <v>#REF!</v>
      </c>
    </row>
    <row r="151" spans="2:44" x14ac:dyDescent="0.2">
      <c r="B151" s="19" t="str">
        <f t="shared" si="8"/>
        <v>E</v>
      </c>
      <c r="C151" s="18" t="str">
        <f t="shared" si="9"/>
        <v>M</v>
      </c>
      <c r="D151" s="18" t="s">
        <v>161</v>
      </c>
      <c r="E151" s="26" t="str">
        <f>LEFT('REPORTS PER EVALUATOR'!$AR$9,1)</f>
        <v/>
      </c>
      <c r="F151" s="74" t="e">
        <f>(RIGHT('REPORTS PER EVALUATOR'!$AR$9,1))*1</f>
        <v>#VALUE!</v>
      </c>
      <c r="G151" s="11" t="str">
        <f>LEFT('REPORTS PER EVALUATOR'!$AR$21,1)</f>
        <v/>
      </c>
      <c r="H151" s="82" t="e">
        <f>(RIGHT('REPORTS PER EVALUATOR'!$AR$21,1))*1</f>
        <v>#VALUE!</v>
      </c>
      <c r="I151" s="11" t="str">
        <f>LEFT('REPORTS PER EVALUATOR'!$AR$33,1)</f>
        <v/>
      </c>
      <c r="J151" s="82" t="e">
        <f>(RIGHT('REPORTS PER EVALUATOR'!$AR$33,1))*1</f>
        <v>#VALUE!</v>
      </c>
      <c r="K151" s="11" t="str">
        <f>LEFT('REPORTS PER EVALUATOR'!$AR$45,1)</f>
        <v/>
      </c>
      <c r="L151" s="82" t="e">
        <f>(RIGHT('REPORTS PER EVALUATOR'!$AR$45,1))*1</f>
        <v>#VALUE!</v>
      </c>
      <c r="M151" s="11" t="str">
        <f>LEFT('REPORTS PER EVALUATOR'!$AR$57,1)</f>
        <v/>
      </c>
      <c r="N151" s="82" t="e">
        <f>(RIGHT('REPORTS PER EVALUATOR'!$AR$57,1))*1</f>
        <v>#VALUE!</v>
      </c>
      <c r="O151" s="11" t="str">
        <f>LEFT('REPORTS PER EVALUATOR'!$AR$69,1)</f>
        <v/>
      </c>
      <c r="P151" s="82" t="e">
        <f>(RIGHT('REPORTS PER EVALUATOR'!$AR$69,1))*1</f>
        <v>#VALUE!</v>
      </c>
      <c r="Q151" s="11" t="str">
        <f>LEFT('REPORTS PER EVALUATOR'!$AR$81,1)</f>
        <v/>
      </c>
      <c r="R151" s="82" t="e">
        <f>(RIGHT('REPORTS PER EVALUATOR'!$AR$81,1))*1</f>
        <v>#VALUE!</v>
      </c>
      <c r="S151" s="11" t="str">
        <f>LEFT('REPORTS PER EVALUATOR'!$AR$93,1)</f>
        <v/>
      </c>
      <c r="T151" s="82" t="e">
        <f>(RIGHT('REPORTS PER EVALUATOR'!$AR$93,1))*1</f>
        <v>#VALUE!</v>
      </c>
      <c r="U151" s="11" t="str">
        <f>LEFT('REPORTS PER EVALUATOR'!$AR$105,1)</f>
        <v/>
      </c>
      <c r="V151" s="82" t="e">
        <f>(RIGHT('REPORTS PER EVALUATOR'!$AR$105,1))*1</f>
        <v>#VALUE!</v>
      </c>
      <c r="W151" s="11" t="str">
        <f>LEFT('REPORTS PER EVALUATOR'!$AR$117,1)</f>
        <v/>
      </c>
      <c r="X151" s="82" t="e">
        <f>(RIGHT('REPORTS PER EVALUATOR'!$AR$117,1))*1</f>
        <v>#VALUE!</v>
      </c>
      <c r="Y151" s="11" t="str">
        <f>LEFT('REPORTS PER EVALUATOR'!$AR$129,1)</f>
        <v/>
      </c>
      <c r="Z151" s="93" t="e">
        <f>(RIGHT('REPORTS PER EVALUATOR'!$AR$129,1))*1</f>
        <v>#VALUE!</v>
      </c>
      <c r="AA151" s="11" t="e">
        <f>LEFT('REPORTS PER EVALUATOR'!#REF!,1)</f>
        <v>#REF!</v>
      </c>
      <c r="AB151" s="93" t="e">
        <f>(RIGHT('REPORTS PER EVALUATOR'!#REF!,1))*1</f>
        <v>#REF!</v>
      </c>
      <c r="AC151" s="11" t="e">
        <f>LEFT('REPORTS PER EVALUATOR'!#REF!,1)</f>
        <v>#REF!</v>
      </c>
      <c r="AD151" s="93" t="e">
        <f>(RIGHT('REPORTS PER EVALUATOR'!#REF!,1))*1</f>
        <v>#REF!</v>
      </c>
      <c r="AE151" s="11" t="e">
        <f>LEFT('REPORTS PER EVALUATOR'!#REF!,1)</f>
        <v>#REF!</v>
      </c>
      <c r="AF151" s="93" t="e">
        <f>(RIGHT('REPORTS PER EVALUATOR'!#REF!,1))*1</f>
        <v>#REF!</v>
      </c>
      <c r="AG151" s="11" t="e">
        <f>LEFT('REPORTS PER EVALUATOR'!#REF!,1)</f>
        <v>#REF!</v>
      </c>
      <c r="AH151" s="93" t="e">
        <f>(RIGHT('REPORTS PER EVALUATOR'!#REF!,1))*1</f>
        <v>#REF!</v>
      </c>
      <c r="AI151" s="11" t="e">
        <f>LEFT('REPORTS PER EVALUATOR'!#REF!,1)</f>
        <v>#REF!</v>
      </c>
      <c r="AJ151" s="93" t="e">
        <f>(RIGHT('REPORTS PER EVALUATOR'!#REF!,1))*1</f>
        <v>#REF!</v>
      </c>
      <c r="AK151" s="11" t="e">
        <f>LEFT('REPORTS PER EVALUATOR'!#REF!,1)</f>
        <v>#REF!</v>
      </c>
      <c r="AL151" s="93" t="e">
        <f>(RIGHT('REPORTS PER EVALUATOR'!#REF!,1))*1</f>
        <v>#REF!</v>
      </c>
      <c r="AM151" s="11" t="e">
        <f>LEFT('REPORTS PER EVALUATOR'!#REF!,1)</f>
        <v>#REF!</v>
      </c>
      <c r="AN151" s="93" t="e">
        <f>(RIGHT('REPORTS PER EVALUATOR'!#REF!,1))*1</f>
        <v>#REF!</v>
      </c>
      <c r="AO151" s="11" t="e">
        <f>LEFT('REPORTS PER EVALUATOR'!#REF!,1)</f>
        <v>#REF!</v>
      </c>
      <c r="AP151" s="93" t="e">
        <f>(RIGHT('REPORTS PER EVALUATOR'!#REF!,1))*1</f>
        <v>#REF!</v>
      </c>
      <c r="AQ151" s="11" t="e">
        <f>LEFT('REPORTS PER EVALUATOR'!#REF!,1)</f>
        <v>#REF!</v>
      </c>
      <c r="AR151" s="93" t="e">
        <f>(RIGHT('REPORTS PER EVALUATOR'!#REF!,1))*1</f>
        <v>#REF!</v>
      </c>
    </row>
    <row r="152" spans="2:44" x14ac:dyDescent="0.2">
      <c r="B152" s="19" t="str">
        <f t="shared" si="8"/>
        <v>F</v>
      </c>
      <c r="C152" s="18" t="str">
        <f t="shared" si="9"/>
        <v>G</v>
      </c>
      <c r="D152" s="18" t="s">
        <v>46</v>
      </c>
      <c r="E152" s="57" t="str">
        <f>LEFT('REPORTS PER EVALUATOR'!$AN$10,1)</f>
        <v>F</v>
      </c>
      <c r="F152" s="73">
        <f>(RIGHT('REPORTS PER EVALUATOR'!$AN$10,1))*1</f>
        <v>5</v>
      </c>
      <c r="G152" s="58" t="str">
        <f>LEFT('REPORTS PER EVALUATOR'!$AN$22,1)</f>
        <v>F</v>
      </c>
      <c r="H152" s="81">
        <f>(RIGHT('REPORTS PER EVALUATOR'!$AN$22,1))*1</f>
        <v>3</v>
      </c>
      <c r="I152" s="58" t="str">
        <f>LEFT('REPORTS PER EVALUATOR'!$AN$34,1)</f>
        <v>F</v>
      </c>
      <c r="J152" s="81">
        <f>(RIGHT('REPORTS PER EVALUATOR'!$AN$34,1))*1</f>
        <v>5</v>
      </c>
      <c r="K152" s="58" t="str">
        <f>LEFT('REPORTS PER EVALUATOR'!$AN$46,1)</f>
        <v>1</v>
      </c>
      <c r="L152" s="81">
        <f>(RIGHT('REPORTS PER EVALUATOR'!$AN$46,1))*1</f>
        <v>1</v>
      </c>
      <c r="M152" s="58" t="str">
        <f>LEFT('REPORTS PER EVALUATOR'!$AN$58,1)</f>
        <v>F</v>
      </c>
      <c r="N152" s="81">
        <f>(RIGHT('REPORTS PER EVALUATOR'!$AN$58,1))*1</f>
        <v>3</v>
      </c>
      <c r="O152" s="58" t="str">
        <f>LEFT('REPORTS PER EVALUATOR'!$AN$70,1)</f>
        <v>F</v>
      </c>
      <c r="P152" s="81">
        <f>(RIGHT('REPORTS PER EVALUATOR'!$AN$70,1))*1</f>
        <v>4</v>
      </c>
      <c r="Q152" s="58" t="str">
        <f>LEFT('REPORTS PER EVALUATOR'!$AN$82,1)</f>
        <v>F</v>
      </c>
      <c r="R152" s="81">
        <f>(RIGHT('REPORTS PER EVALUATOR'!$AN$82,1))*1</f>
        <v>5</v>
      </c>
      <c r="S152" s="58" t="str">
        <f>LEFT('REPORTS PER EVALUATOR'!$AN$94,1)</f>
        <v>F</v>
      </c>
      <c r="T152" s="81">
        <f>(RIGHT('REPORTS PER EVALUATOR'!$AN$94,1))*1</f>
        <v>6</v>
      </c>
      <c r="U152" s="58" t="str">
        <f>LEFT('REPORTS PER EVALUATOR'!$AN$106,1)</f>
        <v>F</v>
      </c>
      <c r="V152" s="81">
        <f>(RIGHT('REPORTS PER EVALUATOR'!$AN$106,1))*1</f>
        <v>3</v>
      </c>
      <c r="W152" s="58" t="str">
        <f>LEFT('REPORTS PER EVALUATOR'!$AN$118,1)</f>
        <v>1</v>
      </c>
      <c r="X152" s="81">
        <f>(RIGHT('REPORTS PER EVALUATOR'!$AN$118,1))*1</f>
        <v>1</v>
      </c>
      <c r="Y152" s="58" t="str">
        <f>LEFT('REPORTS PER EVALUATOR'!$AN$130,1)</f>
        <v>F</v>
      </c>
      <c r="Z152" s="94">
        <f>(RIGHT('REPORTS PER EVALUATOR'!$AN$130,1))*1</f>
        <v>3</v>
      </c>
      <c r="AA152" s="58" t="e">
        <f>LEFT('REPORTS PER EVALUATOR'!#REF!,1)</f>
        <v>#REF!</v>
      </c>
      <c r="AB152" s="94" t="e">
        <f>(RIGHT('REPORTS PER EVALUATOR'!#REF!,1))*1</f>
        <v>#REF!</v>
      </c>
      <c r="AC152" s="58" t="e">
        <f>LEFT('REPORTS PER EVALUATOR'!#REF!,1)</f>
        <v>#REF!</v>
      </c>
      <c r="AD152" s="94" t="e">
        <f>(RIGHT('REPORTS PER EVALUATOR'!#REF!,1))*1</f>
        <v>#REF!</v>
      </c>
      <c r="AE152" s="58" t="e">
        <f>LEFT('REPORTS PER EVALUATOR'!#REF!,1)</f>
        <v>#REF!</v>
      </c>
      <c r="AF152" s="94" t="e">
        <f>(RIGHT('REPORTS PER EVALUATOR'!#REF!,1))*1</f>
        <v>#REF!</v>
      </c>
      <c r="AG152" s="58" t="e">
        <f>LEFT('REPORTS PER EVALUATOR'!#REF!,1)</f>
        <v>#REF!</v>
      </c>
      <c r="AH152" s="94" t="e">
        <f>(RIGHT('REPORTS PER EVALUATOR'!#REF!,1))*1</f>
        <v>#REF!</v>
      </c>
      <c r="AI152" s="58" t="e">
        <f>LEFT('REPORTS PER EVALUATOR'!#REF!,1)</f>
        <v>#REF!</v>
      </c>
      <c r="AJ152" s="94" t="e">
        <f>(RIGHT('REPORTS PER EVALUATOR'!#REF!,1))*1</f>
        <v>#REF!</v>
      </c>
      <c r="AK152" s="58" t="e">
        <f>LEFT('REPORTS PER EVALUATOR'!#REF!,1)</f>
        <v>#REF!</v>
      </c>
      <c r="AL152" s="94" t="e">
        <f>(RIGHT('REPORTS PER EVALUATOR'!#REF!,1))*1</f>
        <v>#REF!</v>
      </c>
      <c r="AM152" s="58" t="e">
        <f>LEFT('REPORTS PER EVALUATOR'!#REF!,1)</f>
        <v>#REF!</v>
      </c>
      <c r="AN152" s="94" t="e">
        <f>(RIGHT('REPORTS PER EVALUATOR'!#REF!,1))*1</f>
        <v>#REF!</v>
      </c>
      <c r="AO152" s="58" t="e">
        <f>LEFT('REPORTS PER EVALUATOR'!#REF!,1)</f>
        <v>#REF!</v>
      </c>
      <c r="AP152" s="94" t="e">
        <f>(RIGHT('REPORTS PER EVALUATOR'!#REF!,1))*1</f>
        <v>#REF!</v>
      </c>
      <c r="AQ152" s="58" t="e">
        <f>LEFT('REPORTS PER EVALUATOR'!#REF!,1)</f>
        <v>#REF!</v>
      </c>
      <c r="AR152" s="94" t="e">
        <f>(RIGHT('REPORTS PER EVALUATOR'!#REF!,1))*1</f>
        <v>#REF!</v>
      </c>
    </row>
    <row r="153" spans="2:44" x14ac:dyDescent="0.2">
      <c r="B153" s="19" t="str">
        <f t="shared" si="8"/>
        <v>F</v>
      </c>
      <c r="C153" s="18" t="str">
        <f t="shared" si="9"/>
        <v>H</v>
      </c>
      <c r="D153" s="18" t="s">
        <v>47</v>
      </c>
      <c r="E153" s="26" t="str">
        <f>LEFT('REPORTS PER EVALUATOR'!$AO$10,1)</f>
        <v>1</v>
      </c>
      <c r="F153" s="74">
        <f>(RIGHT('REPORTS PER EVALUATOR'!$AO$10,1))*1</f>
        <v>1</v>
      </c>
      <c r="G153" s="11" t="str">
        <f>LEFT('REPORTS PER EVALUATOR'!$AO$22,1)</f>
        <v>F</v>
      </c>
      <c r="H153" s="82">
        <f>(RIGHT('REPORTS PER EVALUATOR'!$AO$22,1))*1</f>
        <v>2</v>
      </c>
      <c r="I153" s="11" t="str">
        <f>LEFT('REPORTS PER EVALUATOR'!$AO$34,1)</f>
        <v>F</v>
      </c>
      <c r="J153" s="82">
        <f>(RIGHT('REPORTS PER EVALUATOR'!$AO$34,1))*1</f>
        <v>5</v>
      </c>
      <c r="K153" s="11" t="str">
        <f>LEFT('REPORTS PER EVALUATOR'!$AO$46,1)</f>
        <v>F</v>
      </c>
      <c r="L153" s="82">
        <f>(RIGHT('REPORTS PER EVALUATOR'!$AO$46,1))*1</f>
        <v>4</v>
      </c>
      <c r="M153" s="11" t="str">
        <f>LEFT('REPORTS PER EVALUATOR'!$AO$58,1)</f>
        <v>F</v>
      </c>
      <c r="N153" s="82">
        <f>(RIGHT('REPORTS PER EVALUATOR'!$AO$58,1))*1</f>
        <v>2</v>
      </c>
      <c r="O153" s="11" t="str">
        <f>LEFT('REPORTS PER EVALUATOR'!$AO$70,1)</f>
        <v>F</v>
      </c>
      <c r="P153" s="82">
        <f>(RIGHT('REPORTS PER EVALUATOR'!$AO$70,1))*1</f>
        <v>3</v>
      </c>
      <c r="Q153" s="11" t="str">
        <f>LEFT('REPORTS PER EVALUATOR'!$AO$82,1)</f>
        <v>F</v>
      </c>
      <c r="R153" s="82">
        <f>(RIGHT('REPORTS PER EVALUATOR'!$AO$82,1))*1</f>
        <v>3</v>
      </c>
      <c r="S153" s="11" t="str">
        <f>LEFT('REPORTS PER EVALUATOR'!$AO$94,1)</f>
        <v>H</v>
      </c>
      <c r="T153" s="82">
        <f>(RIGHT('REPORTS PER EVALUATOR'!$AO$94,1))*1</f>
        <v>3</v>
      </c>
      <c r="U153" s="11" t="str">
        <f>LEFT('REPORTS PER EVALUATOR'!$AO$106,1)</f>
        <v>H</v>
      </c>
      <c r="V153" s="82">
        <f>(RIGHT('REPORTS PER EVALUATOR'!$AO$106,1))*1</f>
        <v>2</v>
      </c>
      <c r="W153" s="11" t="str">
        <f>LEFT('REPORTS PER EVALUATOR'!$AO$118,1)</f>
        <v>H</v>
      </c>
      <c r="X153" s="82">
        <f>(RIGHT('REPORTS PER EVALUATOR'!$AO$118,1))*1</f>
        <v>2</v>
      </c>
      <c r="Y153" s="11" t="str">
        <f>LEFT('REPORTS PER EVALUATOR'!$AO$130,1)</f>
        <v>1</v>
      </c>
      <c r="Z153" s="93">
        <f>(RIGHT('REPORTS PER EVALUATOR'!$AO$130,1))*1</f>
        <v>1</v>
      </c>
      <c r="AA153" s="11" t="e">
        <f>LEFT('REPORTS PER EVALUATOR'!#REF!,1)</f>
        <v>#REF!</v>
      </c>
      <c r="AB153" s="93" t="e">
        <f>(RIGHT('REPORTS PER EVALUATOR'!#REF!,1))*1</f>
        <v>#REF!</v>
      </c>
      <c r="AC153" s="11" t="e">
        <f>LEFT('REPORTS PER EVALUATOR'!#REF!,1)</f>
        <v>#REF!</v>
      </c>
      <c r="AD153" s="93" t="e">
        <f>(RIGHT('REPORTS PER EVALUATOR'!#REF!,1))*1</f>
        <v>#REF!</v>
      </c>
      <c r="AE153" s="11" t="e">
        <f>LEFT('REPORTS PER EVALUATOR'!#REF!,1)</f>
        <v>#REF!</v>
      </c>
      <c r="AF153" s="93" t="e">
        <f>(RIGHT('REPORTS PER EVALUATOR'!#REF!,1))*1</f>
        <v>#REF!</v>
      </c>
      <c r="AG153" s="11" t="e">
        <f>LEFT('REPORTS PER EVALUATOR'!#REF!,1)</f>
        <v>#REF!</v>
      </c>
      <c r="AH153" s="93" t="e">
        <f>(RIGHT('REPORTS PER EVALUATOR'!#REF!,1))*1</f>
        <v>#REF!</v>
      </c>
      <c r="AI153" s="11" t="e">
        <f>LEFT('REPORTS PER EVALUATOR'!#REF!,1)</f>
        <v>#REF!</v>
      </c>
      <c r="AJ153" s="93" t="e">
        <f>(RIGHT('REPORTS PER EVALUATOR'!#REF!,1))*1</f>
        <v>#REF!</v>
      </c>
      <c r="AK153" s="11" t="e">
        <f>LEFT('REPORTS PER EVALUATOR'!#REF!,1)</f>
        <v>#REF!</v>
      </c>
      <c r="AL153" s="93" t="e">
        <f>(RIGHT('REPORTS PER EVALUATOR'!#REF!,1))*1</f>
        <v>#REF!</v>
      </c>
      <c r="AM153" s="11" t="e">
        <f>LEFT('REPORTS PER EVALUATOR'!#REF!,1)</f>
        <v>#REF!</v>
      </c>
      <c r="AN153" s="93" t="e">
        <f>(RIGHT('REPORTS PER EVALUATOR'!#REF!,1))*1</f>
        <v>#REF!</v>
      </c>
      <c r="AO153" s="11" t="e">
        <f>LEFT('REPORTS PER EVALUATOR'!#REF!,1)</f>
        <v>#REF!</v>
      </c>
      <c r="AP153" s="93" t="e">
        <f>(RIGHT('REPORTS PER EVALUATOR'!#REF!,1))*1</f>
        <v>#REF!</v>
      </c>
      <c r="AQ153" s="11" t="e">
        <f>LEFT('REPORTS PER EVALUATOR'!#REF!,1)</f>
        <v>#REF!</v>
      </c>
      <c r="AR153" s="93" t="e">
        <f>(RIGHT('REPORTS PER EVALUATOR'!#REF!,1))*1</f>
        <v>#REF!</v>
      </c>
    </row>
    <row r="154" spans="2:44" x14ac:dyDescent="0.2">
      <c r="B154" s="19" t="str">
        <f t="shared" si="8"/>
        <v>F</v>
      </c>
      <c r="C154" s="18" t="str">
        <f t="shared" si="9"/>
        <v>I</v>
      </c>
      <c r="D154" s="18" t="s">
        <v>48</v>
      </c>
      <c r="E154" s="26" t="str">
        <f>LEFT('REPORTS PER EVALUATOR'!$AP$10,1)</f>
        <v>F</v>
      </c>
      <c r="F154" s="74">
        <f>(RIGHT('REPORTS PER EVALUATOR'!$AP$10,1))*1</f>
        <v>2</v>
      </c>
      <c r="G154" s="11" t="str">
        <f>LEFT('REPORTS PER EVALUATOR'!$AP$22,1)</f>
        <v>F</v>
      </c>
      <c r="H154" s="82">
        <f>(RIGHT('REPORTS PER EVALUATOR'!$AP$22,1))*1</f>
        <v>4</v>
      </c>
      <c r="I154" s="11" t="str">
        <f>LEFT('REPORTS PER EVALUATOR'!$AP$34,1)</f>
        <v>F</v>
      </c>
      <c r="J154" s="82">
        <f>(RIGHT('REPORTS PER EVALUATOR'!$AP$34,1))*1</f>
        <v>2</v>
      </c>
      <c r="K154" s="11" t="str">
        <f>LEFT('REPORTS PER EVALUATOR'!$AP$46,1)</f>
        <v>1</v>
      </c>
      <c r="L154" s="82">
        <f>(RIGHT('REPORTS PER EVALUATOR'!$AP$46,1))*1</f>
        <v>1</v>
      </c>
      <c r="M154" s="11" t="str">
        <f>LEFT('REPORTS PER EVALUATOR'!$AP$58,1)</f>
        <v>F</v>
      </c>
      <c r="N154" s="82">
        <f>(RIGHT('REPORTS PER EVALUATOR'!$AP$58,1))*1</f>
        <v>3</v>
      </c>
      <c r="O154" s="11" t="str">
        <f>LEFT('REPORTS PER EVALUATOR'!$AP$70,1)</f>
        <v>F</v>
      </c>
      <c r="P154" s="82">
        <f>(RIGHT('REPORTS PER EVALUATOR'!$AP$70,1))*1</f>
        <v>3</v>
      </c>
      <c r="Q154" s="11" t="str">
        <f>LEFT('REPORTS PER EVALUATOR'!$AP$82,1)</f>
        <v>F</v>
      </c>
      <c r="R154" s="82">
        <f>(RIGHT('REPORTS PER EVALUATOR'!$AP$82,1))*1</f>
        <v>4</v>
      </c>
      <c r="S154" s="11" t="str">
        <f>LEFT('REPORTS PER EVALUATOR'!$AP$94,1)</f>
        <v>F</v>
      </c>
      <c r="T154" s="82">
        <f>(RIGHT('REPORTS PER EVALUATOR'!$AP$94,1))*1</f>
        <v>2</v>
      </c>
      <c r="U154" s="11" t="str">
        <f>LEFT('REPORTS PER EVALUATOR'!$AP$106,1)</f>
        <v>F</v>
      </c>
      <c r="V154" s="82">
        <f>(RIGHT('REPORTS PER EVALUATOR'!$AP$106,1))*1</f>
        <v>2</v>
      </c>
      <c r="W154" s="11" t="str">
        <f>LEFT('REPORTS PER EVALUATOR'!$AP$118,1)</f>
        <v>I</v>
      </c>
      <c r="X154" s="82">
        <f>(RIGHT('REPORTS PER EVALUATOR'!$AP$118,1))*1</f>
        <v>2</v>
      </c>
      <c r="Y154" s="11" t="str">
        <f>LEFT('REPORTS PER EVALUATOR'!$AP$130,1)</f>
        <v>1</v>
      </c>
      <c r="Z154" s="93">
        <f>(RIGHT('REPORTS PER EVALUATOR'!$AP$130,1))*1</f>
        <v>1</v>
      </c>
      <c r="AA154" s="11" t="e">
        <f>LEFT('REPORTS PER EVALUATOR'!#REF!,1)</f>
        <v>#REF!</v>
      </c>
      <c r="AB154" s="93" t="e">
        <f>(RIGHT('REPORTS PER EVALUATOR'!#REF!,1))*1</f>
        <v>#REF!</v>
      </c>
      <c r="AC154" s="11" t="e">
        <f>LEFT('REPORTS PER EVALUATOR'!#REF!,1)</f>
        <v>#REF!</v>
      </c>
      <c r="AD154" s="93" t="e">
        <f>(RIGHT('REPORTS PER EVALUATOR'!#REF!,1))*1</f>
        <v>#REF!</v>
      </c>
      <c r="AE154" s="11" t="e">
        <f>LEFT('REPORTS PER EVALUATOR'!#REF!,1)</f>
        <v>#REF!</v>
      </c>
      <c r="AF154" s="93" t="e">
        <f>(RIGHT('REPORTS PER EVALUATOR'!#REF!,1))*1</f>
        <v>#REF!</v>
      </c>
      <c r="AG154" s="11" t="e">
        <f>LEFT('REPORTS PER EVALUATOR'!#REF!,1)</f>
        <v>#REF!</v>
      </c>
      <c r="AH154" s="93" t="e">
        <f>(RIGHT('REPORTS PER EVALUATOR'!#REF!,1))*1</f>
        <v>#REF!</v>
      </c>
      <c r="AI154" s="11" t="e">
        <f>LEFT('REPORTS PER EVALUATOR'!#REF!,1)</f>
        <v>#REF!</v>
      </c>
      <c r="AJ154" s="93" t="e">
        <f>(RIGHT('REPORTS PER EVALUATOR'!#REF!,1))*1</f>
        <v>#REF!</v>
      </c>
      <c r="AK154" s="11" t="e">
        <f>LEFT('REPORTS PER EVALUATOR'!#REF!,1)</f>
        <v>#REF!</v>
      </c>
      <c r="AL154" s="93" t="e">
        <f>(RIGHT('REPORTS PER EVALUATOR'!#REF!,1))*1</f>
        <v>#REF!</v>
      </c>
      <c r="AM154" s="11" t="e">
        <f>LEFT('REPORTS PER EVALUATOR'!#REF!,1)</f>
        <v>#REF!</v>
      </c>
      <c r="AN154" s="93" t="e">
        <f>(RIGHT('REPORTS PER EVALUATOR'!#REF!,1))*1</f>
        <v>#REF!</v>
      </c>
      <c r="AO154" s="11" t="e">
        <f>LEFT('REPORTS PER EVALUATOR'!#REF!,1)</f>
        <v>#REF!</v>
      </c>
      <c r="AP154" s="93" t="e">
        <f>(RIGHT('REPORTS PER EVALUATOR'!#REF!,1))*1</f>
        <v>#REF!</v>
      </c>
      <c r="AQ154" s="11" t="e">
        <f>LEFT('REPORTS PER EVALUATOR'!#REF!,1)</f>
        <v>#REF!</v>
      </c>
      <c r="AR154" s="93" t="e">
        <f>(RIGHT('REPORTS PER EVALUATOR'!#REF!,1))*1</f>
        <v>#REF!</v>
      </c>
    </row>
    <row r="155" spans="2:44" x14ac:dyDescent="0.2">
      <c r="B155" s="19" t="str">
        <f t="shared" si="8"/>
        <v>F</v>
      </c>
      <c r="C155" s="18" t="str">
        <f t="shared" si="9"/>
        <v>L</v>
      </c>
      <c r="D155" s="18" t="s">
        <v>49</v>
      </c>
      <c r="E155" s="26" t="str">
        <f>LEFT('REPORTS PER EVALUATOR'!$AQ$10,1)</f>
        <v>F</v>
      </c>
      <c r="F155" s="74">
        <f>(RIGHT('REPORTS PER EVALUATOR'!$AQ$10,1))*1</f>
        <v>5</v>
      </c>
      <c r="G155" s="11" t="str">
        <f>LEFT('REPORTS PER EVALUATOR'!$AQ$22,1)</f>
        <v>F</v>
      </c>
      <c r="H155" s="82">
        <f>(RIGHT('REPORTS PER EVALUATOR'!$AQ$22,1))*1</f>
        <v>4</v>
      </c>
      <c r="I155" s="11" t="str">
        <f>LEFT('REPORTS PER EVALUATOR'!$AQ$34,1)</f>
        <v>F</v>
      </c>
      <c r="J155" s="82">
        <f>(RIGHT('REPORTS PER EVALUATOR'!$AQ$34,1))*1</f>
        <v>5</v>
      </c>
      <c r="K155" s="11" t="str">
        <f>LEFT('REPORTS PER EVALUATOR'!$AQ$46,1)</f>
        <v>F</v>
      </c>
      <c r="L155" s="82">
        <f>(RIGHT('REPORTS PER EVALUATOR'!$AQ$46,1))*1</f>
        <v>5</v>
      </c>
      <c r="M155" s="11" t="str">
        <f>LEFT('REPORTS PER EVALUATOR'!$AQ$58,1)</f>
        <v>F</v>
      </c>
      <c r="N155" s="82">
        <f>(RIGHT('REPORTS PER EVALUATOR'!$AQ$58,1))*1</f>
        <v>2</v>
      </c>
      <c r="O155" s="11" t="str">
        <f>LEFT('REPORTS PER EVALUATOR'!$AQ$70,1)</f>
        <v>F</v>
      </c>
      <c r="P155" s="82">
        <f>(RIGHT('REPORTS PER EVALUATOR'!$AQ$70,1))*1</f>
        <v>3</v>
      </c>
      <c r="Q155" s="11" t="str">
        <f>LEFT('REPORTS PER EVALUATOR'!$AQ$82,1)</f>
        <v>F</v>
      </c>
      <c r="R155" s="82">
        <f>(RIGHT('REPORTS PER EVALUATOR'!$AQ$82,1))*1</f>
        <v>4</v>
      </c>
      <c r="S155" s="11" t="str">
        <f>LEFT('REPORTS PER EVALUATOR'!$AQ$94,1)</f>
        <v>L</v>
      </c>
      <c r="T155" s="82">
        <f>(RIGHT('REPORTS PER EVALUATOR'!$AQ$94,1))*1</f>
        <v>3</v>
      </c>
      <c r="U155" s="11" t="str">
        <f>LEFT('REPORTS PER EVALUATOR'!$AQ$106,1)</f>
        <v>L</v>
      </c>
      <c r="V155" s="82">
        <f>(RIGHT('REPORTS PER EVALUATOR'!$AQ$106,1))*1</f>
        <v>2</v>
      </c>
      <c r="W155" s="11" t="str">
        <f>LEFT('REPORTS PER EVALUATOR'!$AQ$118,1)</f>
        <v>1</v>
      </c>
      <c r="X155" s="82">
        <f>(RIGHT('REPORTS PER EVALUATOR'!$AQ$118,1))*1</f>
        <v>1</v>
      </c>
      <c r="Y155" s="11" t="str">
        <f>LEFT('REPORTS PER EVALUATOR'!$AQ$130,1)</f>
        <v>F</v>
      </c>
      <c r="Z155" s="93">
        <f>(RIGHT('REPORTS PER EVALUATOR'!$AQ$130,1))*1</f>
        <v>2</v>
      </c>
      <c r="AA155" s="11" t="e">
        <f>LEFT('REPORTS PER EVALUATOR'!#REF!,1)</f>
        <v>#REF!</v>
      </c>
      <c r="AB155" s="93" t="e">
        <f>(RIGHT('REPORTS PER EVALUATOR'!#REF!,1))*1</f>
        <v>#REF!</v>
      </c>
      <c r="AC155" s="11" t="e">
        <f>LEFT('REPORTS PER EVALUATOR'!#REF!,1)</f>
        <v>#REF!</v>
      </c>
      <c r="AD155" s="93" t="e">
        <f>(RIGHT('REPORTS PER EVALUATOR'!#REF!,1))*1</f>
        <v>#REF!</v>
      </c>
      <c r="AE155" s="11" t="e">
        <f>LEFT('REPORTS PER EVALUATOR'!#REF!,1)</f>
        <v>#REF!</v>
      </c>
      <c r="AF155" s="93" t="e">
        <f>(RIGHT('REPORTS PER EVALUATOR'!#REF!,1))*1</f>
        <v>#REF!</v>
      </c>
      <c r="AG155" s="11" t="e">
        <f>LEFT('REPORTS PER EVALUATOR'!#REF!,1)</f>
        <v>#REF!</v>
      </c>
      <c r="AH155" s="93" t="e">
        <f>(RIGHT('REPORTS PER EVALUATOR'!#REF!,1))*1</f>
        <v>#REF!</v>
      </c>
      <c r="AI155" s="11" t="e">
        <f>LEFT('REPORTS PER EVALUATOR'!#REF!,1)</f>
        <v>#REF!</v>
      </c>
      <c r="AJ155" s="93" t="e">
        <f>(RIGHT('REPORTS PER EVALUATOR'!#REF!,1))*1</f>
        <v>#REF!</v>
      </c>
      <c r="AK155" s="11" t="e">
        <f>LEFT('REPORTS PER EVALUATOR'!#REF!,1)</f>
        <v>#REF!</v>
      </c>
      <c r="AL155" s="93" t="e">
        <f>(RIGHT('REPORTS PER EVALUATOR'!#REF!,1))*1</f>
        <v>#REF!</v>
      </c>
      <c r="AM155" s="11" t="e">
        <f>LEFT('REPORTS PER EVALUATOR'!#REF!,1)</f>
        <v>#REF!</v>
      </c>
      <c r="AN155" s="93" t="e">
        <f>(RIGHT('REPORTS PER EVALUATOR'!#REF!,1))*1</f>
        <v>#REF!</v>
      </c>
      <c r="AO155" s="11" t="e">
        <f>LEFT('REPORTS PER EVALUATOR'!#REF!,1)</f>
        <v>#REF!</v>
      </c>
      <c r="AP155" s="93" t="e">
        <f>(RIGHT('REPORTS PER EVALUATOR'!#REF!,1))*1</f>
        <v>#REF!</v>
      </c>
      <c r="AQ155" s="11" t="e">
        <f>LEFT('REPORTS PER EVALUATOR'!#REF!,1)</f>
        <v>#REF!</v>
      </c>
      <c r="AR155" s="93" t="e">
        <f>(RIGHT('REPORTS PER EVALUATOR'!#REF!,1))*1</f>
        <v>#REF!</v>
      </c>
    </row>
    <row r="156" spans="2:44" x14ac:dyDescent="0.2">
      <c r="B156" s="19" t="str">
        <f t="shared" si="8"/>
        <v>F</v>
      </c>
      <c r="C156" s="18" t="str">
        <f t="shared" si="9"/>
        <v>M</v>
      </c>
      <c r="D156" s="18" t="s">
        <v>162</v>
      </c>
      <c r="E156" s="26" t="str">
        <f>LEFT('REPORTS PER EVALUATOR'!$AR$10,1)</f>
        <v/>
      </c>
      <c r="F156" s="74" t="e">
        <f>(RIGHT('REPORTS PER EVALUATOR'!$AR$10,1))*1</f>
        <v>#VALUE!</v>
      </c>
      <c r="G156" s="11" t="str">
        <f>LEFT('REPORTS PER EVALUATOR'!$AR$22,1)</f>
        <v/>
      </c>
      <c r="H156" s="82" t="e">
        <f>(RIGHT('REPORTS PER EVALUATOR'!$AR$22,1))*1</f>
        <v>#VALUE!</v>
      </c>
      <c r="I156" s="11" t="str">
        <f>LEFT('REPORTS PER EVALUATOR'!$AR$34,1)</f>
        <v/>
      </c>
      <c r="J156" s="82" t="e">
        <f>(RIGHT('REPORTS PER EVALUATOR'!$AR$34,1))*1</f>
        <v>#VALUE!</v>
      </c>
      <c r="K156" s="11" t="str">
        <f>LEFT('REPORTS PER EVALUATOR'!$AR$46,1)</f>
        <v/>
      </c>
      <c r="L156" s="82" t="e">
        <f>(RIGHT('REPORTS PER EVALUATOR'!$AR$46,1))*1</f>
        <v>#VALUE!</v>
      </c>
      <c r="M156" s="11" t="str">
        <f>LEFT('REPORTS PER EVALUATOR'!$AR$58,1)</f>
        <v/>
      </c>
      <c r="N156" s="82" t="e">
        <f>(RIGHT('REPORTS PER EVALUATOR'!$AR$58,1))*1</f>
        <v>#VALUE!</v>
      </c>
      <c r="O156" s="11" t="str">
        <f>LEFT('REPORTS PER EVALUATOR'!$AR$70,1)</f>
        <v/>
      </c>
      <c r="P156" s="82" t="e">
        <f>(RIGHT('REPORTS PER EVALUATOR'!$AR$70,1))*1</f>
        <v>#VALUE!</v>
      </c>
      <c r="Q156" s="11" t="str">
        <f>LEFT('REPORTS PER EVALUATOR'!$AR$82,1)</f>
        <v/>
      </c>
      <c r="R156" s="82" t="e">
        <f>(RIGHT('REPORTS PER EVALUATOR'!$AR$82,1))*1</f>
        <v>#VALUE!</v>
      </c>
      <c r="S156" s="11" t="str">
        <f>LEFT('REPORTS PER EVALUATOR'!$AR$94,1)</f>
        <v/>
      </c>
      <c r="T156" s="82" t="e">
        <f>(RIGHT('REPORTS PER EVALUATOR'!$AR$94,1))*1</f>
        <v>#VALUE!</v>
      </c>
      <c r="U156" s="11" t="str">
        <f>LEFT('REPORTS PER EVALUATOR'!$AR$106,1)</f>
        <v/>
      </c>
      <c r="V156" s="82" t="e">
        <f>(RIGHT('REPORTS PER EVALUATOR'!$AR$106,1))*1</f>
        <v>#VALUE!</v>
      </c>
      <c r="W156" s="11" t="str">
        <f>LEFT('REPORTS PER EVALUATOR'!$AR$118,1)</f>
        <v/>
      </c>
      <c r="X156" s="82" t="e">
        <f>(RIGHT('REPORTS PER EVALUATOR'!$AR$118,1))*1</f>
        <v>#VALUE!</v>
      </c>
      <c r="Y156" s="11" t="str">
        <f>LEFT('REPORTS PER EVALUATOR'!$AR$130,1)</f>
        <v/>
      </c>
      <c r="Z156" s="93" t="e">
        <f>(RIGHT('REPORTS PER EVALUATOR'!$AR$130,1))*1</f>
        <v>#VALUE!</v>
      </c>
      <c r="AA156" s="11" t="e">
        <f>LEFT('REPORTS PER EVALUATOR'!#REF!,1)</f>
        <v>#REF!</v>
      </c>
      <c r="AB156" s="93" t="e">
        <f>(RIGHT('REPORTS PER EVALUATOR'!#REF!,1))*1</f>
        <v>#REF!</v>
      </c>
      <c r="AC156" s="11" t="e">
        <f>LEFT('REPORTS PER EVALUATOR'!#REF!,1)</f>
        <v>#REF!</v>
      </c>
      <c r="AD156" s="93" t="e">
        <f>(RIGHT('REPORTS PER EVALUATOR'!#REF!,1))*1</f>
        <v>#REF!</v>
      </c>
      <c r="AE156" s="11" t="e">
        <f>LEFT('REPORTS PER EVALUATOR'!#REF!,1)</f>
        <v>#REF!</v>
      </c>
      <c r="AF156" s="93" t="e">
        <f>(RIGHT('REPORTS PER EVALUATOR'!#REF!,1))*1</f>
        <v>#REF!</v>
      </c>
      <c r="AG156" s="11" t="e">
        <f>LEFT('REPORTS PER EVALUATOR'!#REF!,1)</f>
        <v>#REF!</v>
      </c>
      <c r="AH156" s="93" t="e">
        <f>(RIGHT('REPORTS PER EVALUATOR'!#REF!,1))*1</f>
        <v>#REF!</v>
      </c>
      <c r="AI156" s="11" t="e">
        <f>LEFT('REPORTS PER EVALUATOR'!#REF!,1)</f>
        <v>#REF!</v>
      </c>
      <c r="AJ156" s="93" t="e">
        <f>(RIGHT('REPORTS PER EVALUATOR'!#REF!,1))*1</f>
        <v>#REF!</v>
      </c>
      <c r="AK156" s="11" t="e">
        <f>LEFT('REPORTS PER EVALUATOR'!#REF!,1)</f>
        <v>#REF!</v>
      </c>
      <c r="AL156" s="93" t="e">
        <f>(RIGHT('REPORTS PER EVALUATOR'!#REF!,1))*1</f>
        <v>#REF!</v>
      </c>
      <c r="AM156" s="11" t="e">
        <f>LEFT('REPORTS PER EVALUATOR'!#REF!,1)</f>
        <v>#REF!</v>
      </c>
      <c r="AN156" s="93" t="e">
        <f>(RIGHT('REPORTS PER EVALUATOR'!#REF!,1))*1</f>
        <v>#REF!</v>
      </c>
      <c r="AO156" s="11" t="e">
        <f>LEFT('REPORTS PER EVALUATOR'!#REF!,1)</f>
        <v>#REF!</v>
      </c>
      <c r="AP156" s="93" t="e">
        <f>(RIGHT('REPORTS PER EVALUATOR'!#REF!,1))*1</f>
        <v>#REF!</v>
      </c>
      <c r="AQ156" s="11" t="e">
        <f>LEFT('REPORTS PER EVALUATOR'!#REF!,1)</f>
        <v>#REF!</v>
      </c>
      <c r="AR156" s="93" t="e">
        <f>(RIGHT('REPORTS PER EVALUATOR'!#REF!,1))*1</f>
        <v>#REF!</v>
      </c>
    </row>
    <row r="157" spans="2:44" x14ac:dyDescent="0.2">
      <c r="B157" s="19" t="str">
        <f t="shared" si="8"/>
        <v>G</v>
      </c>
      <c r="C157" s="18" t="str">
        <f t="shared" si="9"/>
        <v>H</v>
      </c>
      <c r="D157" s="18" t="s">
        <v>50</v>
      </c>
      <c r="E157" s="57" t="str">
        <f>LEFT('REPORTS PER EVALUATOR'!$AO$11,1)</f>
        <v>H</v>
      </c>
      <c r="F157" s="73">
        <f>(RIGHT('REPORTS PER EVALUATOR'!$AO$11,1))*1</f>
        <v>5</v>
      </c>
      <c r="G157" s="58" t="str">
        <f>LEFT('REPORTS PER EVALUATOR'!$AO$23,1)</f>
        <v>H</v>
      </c>
      <c r="H157" s="81">
        <f>(RIGHT('REPORTS PER EVALUATOR'!$AO$23,1))*1</f>
        <v>2</v>
      </c>
      <c r="I157" s="58" t="str">
        <f>LEFT('REPORTS PER EVALUATOR'!$AO$35,1)</f>
        <v>1</v>
      </c>
      <c r="J157" s="81">
        <f>(RIGHT('REPORTS PER EVALUATOR'!$AO$35,1))*1</f>
        <v>1</v>
      </c>
      <c r="K157" s="58" t="str">
        <f>LEFT('REPORTS PER EVALUATOR'!$AO$47,1)</f>
        <v>G</v>
      </c>
      <c r="L157" s="81">
        <f>(RIGHT('REPORTS PER EVALUATOR'!$AO$47,1))*1</f>
        <v>4</v>
      </c>
      <c r="M157" s="58" t="str">
        <f>LEFT('REPORTS PER EVALUATOR'!$AO$59,1)</f>
        <v>H</v>
      </c>
      <c r="N157" s="81">
        <f>(RIGHT('REPORTS PER EVALUATOR'!$AO$59,1))*1</f>
        <v>2</v>
      </c>
      <c r="O157" s="58" t="str">
        <f>LEFT('REPORTS PER EVALUATOR'!$AO$71,1)</f>
        <v>H</v>
      </c>
      <c r="P157" s="81">
        <f>(RIGHT('REPORTS PER EVALUATOR'!$AO$71,1))*1</f>
        <v>3</v>
      </c>
      <c r="Q157" s="58" t="str">
        <f>LEFT('REPORTS PER EVALUATOR'!$AO$83,1)</f>
        <v>H</v>
      </c>
      <c r="R157" s="81">
        <f>(RIGHT('REPORTS PER EVALUATOR'!$AO$83,1))*1</f>
        <v>3</v>
      </c>
      <c r="S157" s="58" t="str">
        <f>LEFT('REPORTS PER EVALUATOR'!$AO$95,1)</f>
        <v>H</v>
      </c>
      <c r="T157" s="81">
        <f>(RIGHT('REPORTS PER EVALUATOR'!$AO$95,1))*1</f>
        <v>6</v>
      </c>
      <c r="U157" s="58" t="str">
        <f>LEFT('REPORTS PER EVALUATOR'!$AO$107,1)</f>
        <v>H</v>
      </c>
      <c r="V157" s="81">
        <f>(RIGHT('REPORTS PER EVALUATOR'!$AO$107,1))*1</f>
        <v>4</v>
      </c>
      <c r="W157" s="58" t="str">
        <f>LEFT('REPORTS PER EVALUATOR'!$AO$119,1)</f>
        <v>H</v>
      </c>
      <c r="X157" s="81">
        <f>(RIGHT('REPORTS PER EVALUATOR'!$AO$119,1))*1</f>
        <v>2</v>
      </c>
      <c r="Y157" s="58" t="str">
        <f>LEFT('REPORTS PER EVALUATOR'!$AO$131,1)</f>
        <v>H</v>
      </c>
      <c r="Z157" s="94">
        <f>(RIGHT('REPORTS PER EVALUATOR'!$AO$131,1))*1</f>
        <v>3</v>
      </c>
      <c r="AA157" s="58" t="e">
        <f>LEFT('REPORTS PER EVALUATOR'!#REF!,1)</f>
        <v>#REF!</v>
      </c>
      <c r="AB157" s="94" t="e">
        <f>(RIGHT('REPORTS PER EVALUATOR'!#REF!,1))*1</f>
        <v>#REF!</v>
      </c>
      <c r="AC157" s="58" t="e">
        <f>LEFT('REPORTS PER EVALUATOR'!#REF!,1)</f>
        <v>#REF!</v>
      </c>
      <c r="AD157" s="94" t="e">
        <f>(RIGHT('REPORTS PER EVALUATOR'!#REF!,1))*1</f>
        <v>#REF!</v>
      </c>
      <c r="AE157" s="58" t="e">
        <f>LEFT('REPORTS PER EVALUATOR'!#REF!,1)</f>
        <v>#REF!</v>
      </c>
      <c r="AF157" s="94" t="e">
        <f>(RIGHT('REPORTS PER EVALUATOR'!#REF!,1))*1</f>
        <v>#REF!</v>
      </c>
      <c r="AG157" s="58" t="e">
        <f>LEFT('REPORTS PER EVALUATOR'!#REF!,1)</f>
        <v>#REF!</v>
      </c>
      <c r="AH157" s="94" t="e">
        <f>(RIGHT('REPORTS PER EVALUATOR'!#REF!,1))*1</f>
        <v>#REF!</v>
      </c>
      <c r="AI157" s="58" t="e">
        <f>LEFT('REPORTS PER EVALUATOR'!#REF!,1)</f>
        <v>#REF!</v>
      </c>
      <c r="AJ157" s="94" t="e">
        <f>(RIGHT('REPORTS PER EVALUATOR'!#REF!,1))*1</f>
        <v>#REF!</v>
      </c>
      <c r="AK157" s="58" t="e">
        <f>LEFT('REPORTS PER EVALUATOR'!#REF!,1)</f>
        <v>#REF!</v>
      </c>
      <c r="AL157" s="94" t="e">
        <f>(RIGHT('REPORTS PER EVALUATOR'!#REF!,1))*1</f>
        <v>#REF!</v>
      </c>
      <c r="AM157" s="58" t="e">
        <f>LEFT('REPORTS PER EVALUATOR'!#REF!,1)</f>
        <v>#REF!</v>
      </c>
      <c r="AN157" s="94" t="e">
        <f>(RIGHT('REPORTS PER EVALUATOR'!#REF!,1))*1</f>
        <v>#REF!</v>
      </c>
      <c r="AO157" s="58" t="e">
        <f>LEFT('REPORTS PER EVALUATOR'!#REF!,1)</f>
        <v>#REF!</v>
      </c>
      <c r="AP157" s="94" t="e">
        <f>(RIGHT('REPORTS PER EVALUATOR'!#REF!,1))*1</f>
        <v>#REF!</v>
      </c>
      <c r="AQ157" s="58" t="e">
        <f>LEFT('REPORTS PER EVALUATOR'!#REF!,1)</f>
        <v>#REF!</v>
      </c>
      <c r="AR157" s="94" t="e">
        <f>(RIGHT('REPORTS PER EVALUATOR'!#REF!,1))*1</f>
        <v>#REF!</v>
      </c>
    </row>
    <row r="158" spans="2:44" x14ac:dyDescent="0.2">
      <c r="B158" s="19" t="str">
        <f t="shared" si="8"/>
        <v>G</v>
      </c>
      <c r="C158" s="18" t="str">
        <f t="shared" si="9"/>
        <v>I</v>
      </c>
      <c r="D158" s="18" t="s">
        <v>51</v>
      </c>
      <c r="E158" s="26" t="str">
        <f>LEFT('REPORTS PER EVALUATOR'!$AP$11,1)</f>
        <v>I</v>
      </c>
      <c r="F158" s="74">
        <f>(RIGHT('REPORTS PER EVALUATOR'!$AP$11,1))*1</f>
        <v>4</v>
      </c>
      <c r="G158" s="11" t="str">
        <f>LEFT('REPORTS PER EVALUATOR'!$AP$23,1)</f>
        <v>G</v>
      </c>
      <c r="H158" s="82">
        <f>(RIGHT('REPORTS PER EVALUATOR'!$AP$23,1))*1</f>
        <v>2</v>
      </c>
      <c r="I158" s="11" t="str">
        <f>LEFT('REPORTS PER EVALUATOR'!$AP$35,1)</f>
        <v>I</v>
      </c>
      <c r="J158" s="82">
        <f>(RIGHT('REPORTS PER EVALUATOR'!$AP$35,1))*1</f>
        <v>4</v>
      </c>
      <c r="K158" s="11" t="str">
        <f>LEFT('REPORTS PER EVALUATOR'!$AP$47,1)</f>
        <v>1</v>
      </c>
      <c r="L158" s="82">
        <f>(RIGHT('REPORTS PER EVALUATOR'!$AP$47,1))*1</f>
        <v>1</v>
      </c>
      <c r="M158" s="11" t="str">
        <f>LEFT('REPORTS PER EVALUATOR'!$AP$59,1)</f>
        <v>1</v>
      </c>
      <c r="N158" s="82">
        <f>(RIGHT('REPORTS PER EVALUATOR'!$AP$59,1))*1</f>
        <v>1</v>
      </c>
      <c r="O158" s="11" t="str">
        <f>LEFT('REPORTS PER EVALUATOR'!$AP$71,1)</f>
        <v>I</v>
      </c>
      <c r="P158" s="82">
        <f>(RIGHT('REPORTS PER EVALUATOR'!$AP$71,1))*1</f>
        <v>2</v>
      </c>
      <c r="Q158" s="11" t="str">
        <f>LEFT('REPORTS PER EVALUATOR'!$AP$83,1)</f>
        <v>1</v>
      </c>
      <c r="R158" s="82">
        <f>(RIGHT('REPORTS PER EVALUATOR'!$AP$83,1))*1</f>
        <v>1</v>
      </c>
      <c r="S158" s="11" t="str">
        <f>LEFT('REPORTS PER EVALUATOR'!$AP$95,1)</f>
        <v>I</v>
      </c>
      <c r="T158" s="82">
        <f>(RIGHT('REPORTS PER EVALUATOR'!$AP$95,1))*1</f>
        <v>6</v>
      </c>
      <c r="U158" s="11" t="str">
        <f>LEFT('REPORTS PER EVALUATOR'!$AP$107,1)</f>
        <v>I</v>
      </c>
      <c r="V158" s="82">
        <f>(RIGHT('REPORTS PER EVALUATOR'!$AP$107,1))*1</f>
        <v>2</v>
      </c>
      <c r="W158" s="11" t="str">
        <f>LEFT('REPORTS PER EVALUATOR'!$AP$119,1)</f>
        <v>I</v>
      </c>
      <c r="X158" s="82">
        <f>(RIGHT('REPORTS PER EVALUATOR'!$AP$119,1))*1</f>
        <v>2</v>
      </c>
      <c r="Y158" s="11" t="str">
        <f>LEFT('REPORTS PER EVALUATOR'!$AP$131,1)</f>
        <v>I</v>
      </c>
      <c r="Z158" s="93">
        <f>(RIGHT('REPORTS PER EVALUATOR'!$AP$131,1))*1</f>
        <v>3</v>
      </c>
      <c r="AA158" s="11" t="e">
        <f>LEFT('REPORTS PER EVALUATOR'!#REF!,1)</f>
        <v>#REF!</v>
      </c>
      <c r="AB158" s="93" t="e">
        <f>(RIGHT('REPORTS PER EVALUATOR'!#REF!,1))*1</f>
        <v>#REF!</v>
      </c>
      <c r="AC158" s="11" t="e">
        <f>LEFT('REPORTS PER EVALUATOR'!#REF!,1)</f>
        <v>#REF!</v>
      </c>
      <c r="AD158" s="93" t="e">
        <f>(RIGHT('REPORTS PER EVALUATOR'!#REF!,1))*1</f>
        <v>#REF!</v>
      </c>
      <c r="AE158" s="11" t="e">
        <f>LEFT('REPORTS PER EVALUATOR'!#REF!,1)</f>
        <v>#REF!</v>
      </c>
      <c r="AF158" s="93" t="e">
        <f>(RIGHT('REPORTS PER EVALUATOR'!#REF!,1))*1</f>
        <v>#REF!</v>
      </c>
      <c r="AG158" s="11" t="e">
        <f>LEFT('REPORTS PER EVALUATOR'!#REF!,1)</f>
        <v>#REF!</v>
      </c>
      <c r="AH158" s="93" t="e">
        <f>(RIGHT('REPORTS PER EVALUATOR'!#REF!,1))*1</f>
        <v>#REF!</v>
      </c>
      <c r="AI158" s="11" t="e">
        <f>LEFT('REPORTS PER EVALUATOR'!#REF!,1)</f>
        <v>#REF!</v>
      </c>
      <c r="AJ158" s="93" t="e">
        <f>(RIGHT('REPORTS PER EVALUATOR'!#REF!,1))*1</f>
        <v>#REF!</v>
      </c>
      <c r="AK158" s="11" t="e">
        <f>LEFT('REPORTS PER EVALUATOR'!#REF!,1)</f>
        <v>#REF!</v>
      </c>
      <c r="AL158" s="93" t="e">
        <f>(RIGHT('REPORTS PER EVALUATOR'!#REF!,1))*1</f>
        <v>#REF!</v>
      </c>
      <c r="AM158" s="11" t="e">
        <f>LEFT('REPORTS PER EVALUATOR'!#REF!,1)</f>
        <v>#REF!</v>
      </c>
      <c r="AN158" s="93" t="e">
        <f>(RIGHT('REPORTS PER EVALUATOR'!#REF!,1))*1</f>
        <v>#REF!</v>
      </c>
      <c r="AO158" s="11" t="e">
        <f>LEFT('REPORTS PER EVALUATOR'!#REF!,1)</f>
        <v>#REF!</v>
      </c>
      <c r="AP158" s="93" t="e">
        <f>(RIGHT('REPORTS PER EVALUATOR'!#REF!,1))*1</f>
        <v>#REF!</v>
      </c>
      <c r="AQ158" s="11" t="e">
        <f>LEFT('REPORTS PER EVALUATOR'!#REF!,1)</f>
        <v>#REF!</v>
      </c>
      <c r="AR158" s="93" t="e">
        <f>(RIGHT('REPORTS PER EVALUATOR'!#REF!,1))*1</f>
        <v>#REF!</v>
      </c>
    </row>
    <row r="159" spans="2:44" x14ac:dyDescent="0.2">
      <c r="B159" s="19" t="str">
        <f t="shared" si="8"/>
        <v>G</v>
      </c>
      <c r="C159" s="18" t="str">
        <f t="shared" si="9"/>
        <v>L</v>
      </c>
      <c r="D159" s="18" t="s">
        <v>52</v>
      </c>
      <c r="E159" s="26" t="str">
        <f>LEFT('REPORTS PER EVALUATOR'!$AQ$11,1)</f>
        <v>1</v>
      </c>
      <c r="F159" s="74">
        <f>(RIGHT('REPORTS PER EVALUATOR'!$AQ$11,1))*1</f>
        <v>1</v>
      </c>
      <c r="G159" s="11" t="str">
        <f>LEFT('REPORTS PER EVALUATOR'!$AQ$23,1)</f>
        <v>G</v>
      </c>
      <c r="H159" s="82">
        <f>(RIGHT('REPORTS PER EVALUATOR'!$AQ$23,1))*1</f>
        <v>2</v>
      </c>
      <c r="I159" s="11" t="str">
        <f>LEFT('REPORTS PER EVALUATOR'!$AQ$35,1)</f>
        <v>1</v>
      </c>
      <c r="J159" s="82">
        <f>(RIGHT('REPORTS PER EVALUATOR'!$AQ$35,1))*1</f>
        <v>1</v>
      </c>
      <c r="K159" s="11" t="str">
        <f>LEFT('REPORTS PER EVALUATOR'!$AQ$47,1)</f>
        <v>G</v>
      </c>
      <c r="L159" s="82">
        <f>(RIGHT('REPORTS PER EVALUATOR'!$AQ$47,1))*1</f>
        <v>5</v>
      </c>
      <c r="M159" s="11" t="str">
        <f>LEFT('REPORTS PER EVALUATOR'!$AQ$59,1)</f>
        <v>L</v>
      </c>
      <c r="N159" s="82">
        <f>(RIGHT('REPORTS PER EVALUATOR'!$AQ$59,1))*1</f>
        <v>2</v>
      </c>
      <c r="O159" s="11" t="str">
        <f>LEFT('REPORTS PER EVALUATOR'!$AQ$71,1)</f>
        <v>L</v>
      </c>
      <c r="P159" s="82">
        <f>(RIGHT('REPORTS PER EVALUATOR'!$AQ$71,1))*1</f>
        <v>2</v>
      </c>
      <c r="Q159" s="11" t="str">
        <f>LEFT('REPORTS PER EVALUATOR'!$AQ$83,1)</f>
        <v>1</v>
      </c>
      <c r="R159" s="82">
        <f>(RIGHT('REPORTS PER EVALUATOR'!$AQ$83,1))*1</f>
        <v>1</v>
      </c>
      <c r="S159" s="11" t="str">
        <f>LEFT('REPORTS PER EVALUATOR'!$AQ$95,1)</f>
        <v>L</v>
      </c>
      <c r="T159" s="82">
        <f>(RIGHT('REPORTS PER EVALUATOR'!$AQ$95,1))*1</f>
        <v>6</v>
      </c>
      <c r="U159" s="11" t="str">
        <f>LEFT('REPORTS PER EVALUATOR'!$AQ$107,1)</f>
        <v>L</v>
      </c>
      <c r="V159" s="82">
        <f>(RIGHT('REPORTS PER EVALUATOR'!$AQ$107,1))*1</f>
        <v>4</v>
      </c>
      <c r="W159" s="11" t="str">
        <f>LEFT('REPORTS PER EVALUATOR'!$AQ$119,1)</f>
        <v>1</v>
      </c>
      <c r="X159" s="82">
        <f>(RIGHT('REPORTS PER EVALUATOR'!$AQ$119,1))*1</f>
        <v>1</v>
      </c>
      <c r="Y159" s="11" t="str">
        <f>LEFT('REPORTS PER EVALUATOR'!$AQ$131,1)</f>
        <v>L</v>
      </c>
      <c r="Z159" s="93">
        <f>(RIGHT('REPORTS PER EVALUATOR'!$AQ$131,1))*1</f>
        <v>2</v>
      </c>
      <c r="AA159" s="11" t="e">
        <f>LEFT('REPORTS PER EVALUATOR'!#REF!,1)</f>
        <v>#REF!</v>
      </c>
      <c r="AB159" s="93" t="e">
        <f>(RIGHT('REPORTS PER EVALUATOR'!#REF!,1))*1</f>
        <v>#REF!</v>
      </c>
      <c r="AC159" s="11" t="e">
        <f>LEFT('REPORTS PER EVALUATOR'!#REF!,1)</f>
        <v>#REF!</v>
      </c>
      <c r="AD159" s="93" t="e">
        <f>(RIGHT('REPORTS PER EVALUATOR'!#REF!,1))*1</f>
        <v>#REF!</v>
      </c>
      <c r="AE159" s="11" t="e">
        <f>LEFT('REPORTS PER EVALUATOR'!#REF!,1)</f>
        <v>#REF!</v>
      </c>
      <c r="AF159" s="93" t="e">
        <f>(RIGHT('REPORTS PER EVALUATOR'!#REF!,1))*1</f>
        <v>#REF!</v>
      </c>
      <c r="AG159" s="11" t="e">
        <f>LEFT('REPORTS PER EVALUATOR'!#REF!,1)</f>
        <v>#REF!</v>
      </c>
      <c r="AH159" s="93" t="e">
        <f>(RIGHT('REPORTS PER EVALUATOR'!#REF!,1))*1</f>
        <v>#REF!</v>
      </c>
      <c r="AI159" s="11" t="e">
        <f>LEFT('REPORTS PER EVALUATOR'!#REF!,1)</f>
        <v>#REF!</v>
      </c>
      <c r="AJ159" s="93" t="e">
        <f>(RIGHT('REPORTS PER EVALUATOR'!#REF!,1))*1</f>
        <v>#REF!</v>
      </c>
      <c r="AK159" s="11" t="e">
        <f>LEFT('REPORTS PER EVALUATOR'!#REF!,1)</f>
        <v>#REF!</v>
      </c>
      <c r="AL159" s="93" t="e">
        <f>(RIGHT('REPORTS PER EVALUATOR'!#REF!,1))*1</f>
        <v>#REF!</v>
      </c>
      <c r="AM159" s="11" t="e">
        <f>LEFT('REPORTS PER EVALUATOR'!#REF!,1)</f>
        <v>#REF!</v>
      </c>
      <c r="AN159" s="93" t="e">
        <f>(RIGHT('REPORTS PER EVALUATOR'!#REF!,1))*1</f>
        <v>#REF!</v>
      </c>
      <c r="AO159" s="11" t="e">
        <f>LEFT('REPORTS PER EVALUATOR'!#REF!,1)</f>
        <v>#REF!</v>
      </c>
      <c r="AP159" s="93" t="e">
        <f>(RIGHT('REPORTS PER EVALUATOR'!#REF!,1))*1</f>
        <v>#REF!</v>
      </c>
      <c r="AQ159" s="11" t="e">
        <f>LEFT('REPORTS PER EVALUATOR'!#REF!,1)</f>
        <v>#REF!</v>
      </c>
      <c r="AR159" s="93" t="e">
        <f>(RIGHT('REPORTS PER EVALUATOR'!#REF!,1))*1</f>
        <v>#REF!</v>
      </c>
    </row>
    <row r="160" spans="2:44" x14ac:dyDescent="0.2">
      <c r="B160" s="19" t="str">
        <f t="shared" si="8"/>
        <v>G</v>
      </c>
      <c r="C160" s="18" t="str">
        <f t="shared" si="9"/>
        <v>M</v>
      </c>
      <c r="D160" s="18" t="s">
        <v>163</v>
      </c>
      <c r="E160" s="26" t="str">
        <f>LEFT('REPORTS PER EVALUATOR'!$AR$11,1)</f>
        <v/>
      </c>
      <c r="F160" s="74" t="e">
        <f>(RIGHT('REPORTS PER EVALUATOR'!$AR$11,1))*1</f>
        <v>#VALUE!</v>
      </c>
      <c r="G160" s="11" t="str">
        <f>LEFT('REPORTS PER EVALUATOR'!$AR$23,1)</f>
        <v/>
      </c>
      <c r="H160" s="82" t="e">
        <f>(RIGHT('REPORTS PER EVALUATOR'!$AR$23,1))*1</f>
        <v>#VALUE!</v>
      </c>
      <c r="I160" s="11" t="str">
        <f>LEFT('REPORTS PER EVALUATOR'!$AR$35,1)</f>
        <v/>
      </c>
      <c r="J160" s="82" t="e">
        <f>(RIGHT('REPORTS PER EVALUATOR'!$AR$35,1))*1</f>
        <v>#VALUE!</v>
      </c>
      <c r="K160" s="11" t="str">
        <f>LEFT('REPORTS PER EVALUATOR'!$AR$47,1)</f>
        <v/>
      </c>
      <c r="L160" s="82" t="e">
        <f>(RIGHT('REPORTS PER EVALUATOR'!$AR$47,1))*1</f>
        <v>#VALUE!</v>
      </c>
      <c r="M160" s="11" t="str">
        <f>LEFT('REPORTS PER EVALUATOR'!$AR$59,1)</f>
        <v/>
      </c>
      <c r="N160" s="82" t="e">
        <f>(RIGHT('REPORTS PER EVALUATOR'!$AR$59,1))*1</f>
        <v>#VALUE!</v>
      </c>
      <c r="O160" s="11" t="str">
        <f>LEFT('REPORTS PER EVALUATOR'!$AR$71,1)</f>
        <v/>
      </c>
      <c r="P160" s="82" t="e">
        <f>(RIGHT('REPORTS PER EVALUATOR'!$AR$71,1))*1</f>
        <v>#VALUE!</v>
      </c>
      <c r="Q160" s="11" t="str">
        <f>LEFT('REPORTS PER EVALUATOR'!$AR$83,1)</f>
        <v/>
      </c>
      <c r="R160" s="82" t="e">
        <f>(RIGHT('REPORTS PER EVALUATOR'!$AR$83,1))*1</f>
        <v>#VALUE!</v>
      </c>
      <c r="S160" s="11" t="str">
        <f>LEFT('REPORTS PER EVALUATOR'!$AR$95,1)</f>
        <v/>
      </c>
      <c r="T160" s="82" t="e">
        <f>(RIGHT('REPORTS PER EVALUATOR'!$AR$95,1))*1</f>
        <v>#VALUE!</v>
      </c>
      <c r="U160" s="11" t="str">
        <f>LEFT('REPORTS PER EVALUATOR'!$AR$107,1)</f>
        <v/>
      </c>
      <c r="V160" s="82" t="e">
        <f>(RIGHT('REPORTS PER EVALUATOR'!$AR$107,1))*1</f>
        <v>#VALUE!</v>
      </c>
      <c r="W160" s="11" t="str">
        <f>LEFT('REPORTS PER EVALUATOR'!$AR$119,1)</f>
        <v/>
      </c>
      <c r="X160" s="82" t="e">
        <f>(RIGHT('REPORTS PER EVALUATOR'!$AR$119,1))*1</f>
        <v>#VALUE!</v>
      </c>
      <c r="Y160" s="11" t="str">
        <f>LEFT('REPORTS PER EVALUATOR'!$AR$131,1)</f>
        <v/>
      </c>
      <c r="Z160" s="93" t="e">
        <f>(RIGHT('REPORTS PER EVALUATOR'!$AR$131,1))*1</f>
        <v>#VALUE!</v>
      </c>
      <c r="AA160" s="11" t="e">
        <f>LEFT('REPORTS PER EVALUATOR'!#REF!,1)</f>
        <v>#REF!</v>
      </c>
      <c r="AB160" s="93" t="e">
        <f>(RIGHT('REPORTS PER EVALUATOR'!#REF!,1))*1</f>
        <v>#REF!</v>
      </c>
      <c r="AC160" s="11" t="e">
        <f>LEFT('REPORTS PER EVALUATOR'!#REF!,1)</f>
        <v>#REF!</v>
      </c>
      <c r="AD160" s="93" t="e">
        <f>(RIGHT('REPORTS PER EVALUATOR'!#REF!,1))*1</f>
        <v>#REF!</v>
      </c>
      <c r="AE160" s="11" t="e">
        <f>LEFT('REPORTS PER EVALUATOR'!#REF!,1)</f>
        <v>#REF!</v>
      </c>
      <c r="AF160" s="93" t="e">
        <f>(RIGHT('REPORTS PER EVALUATOR'!#REF!,1))*1</f>
        <v>#REF!</v>
      </c>
      <c r="AG160" s="11" t="e">
        <f>LEFT('REPORTS PER EVALUATOR'!#REF!,1)</f>
        <v>#REF!</v>
      </c>
      <c r="AH160" s="93" t="e">
        <f>(RIGHT('REPORTS PER EVALUATOR'!#REF!,1))*1</f>
        <v>#REF!</v>
      </c>
      <c r="AI160" s="11" t="e">
        <f>LEFT('REPORTS PER EVALUATOR'!#REF!,1)</f>
        <v>#REF!</v>
      </c>
      <c r="AJ160" s="93" t="e">
        <f>(RIGHT('REPORTS PER EVALUATOR'!#REF!,1))*1</f>
        <v>#REF!</v>
      </c>
      <c r="AK160" s="11" t="e">
        <f>LEFT('REPORTS PER EVALUATOR'!#REF!,1)</f>
        <v>#REF!</v>
      </c>
      <c r="AL160" s="93" t="e">
        <f>(RIGHT('REPORTS PER EVALUATOR'!#REF!,1))*1</f>
        <v>#REF!</v>
      </c>
      <c r="AM160" s="11" t="e">
        <f>LEFT('REPORTS PER EVALUATOR'!#REF!,1)</f>
        <v>#REF!</v>
      </c>
      <c r="AN160" s="93" t="e">
        <f>(RIGHT('REPORTS PER EVALUATOR'!#REF!,1))*1</f>
        <v>#REF!</v>
      </c>
      <c r="AO160" s="11" t="e">
        <f>LEFT('REPORTS PER EVALUATOR'!#REF!,1)</f>
        <v>#REF!</v>
      </c>
      <c r="AP160" s="93" t="e">
        <f>(RIGHT('REPORTS PER EVALUATOR'!#REF!,1))*1</f>
        <v>#REF!</v>
      </c>
      <c r="AQ160" s="11" t="e">
        <f>LEFT('REPORTS PER EVALUATOR'!#REF!,1)</f>
        <v>#REF!</v>
      </c>
      <c r="AR160" s="93" t="e">
        <f>(RIGHT('REPORTS PER EVALUATOR'!#REF!,1))*1</f>
        <v>#REF!</v>
      </c>
    </row>
    <row r="161" spans="2:44" x14ac:dyDescent="0.2">
      <c r="B161" s="19" t="str">
        <f t="shared" si="8"/>
        <v>H</v>
      </c>
      <c r="C161" s="18" t="str">
        <f t="shared" si="9"/>
        <v>I</v>
      </c>
      <c r="D161" s="18" t="s">
        <v>53</v>
      </c>
      <c r="E161" s="57" t="str">
        <f>LEFT('REPORTS PER EVALUATOR'!$AP$12,1)</f>
        <v>1</v>
      </c>
      <c r="F161" s="73">
        <f>(RIGHT('REPORTS PER EVALUATOR'!$AP$12,1))*1</f>
        <v>1</v>
      </c>
      <c r="G161" s="58" t="str">
        <f>LEFT('REPORTS PER EVALUATOR'!$AP$24,1)</f>
        <v>H</v>
      </c>
      <c r="H161" s="81">
        <f>(RIGHT('REPORTS PER EVALUATOR'!$AP$24,1))*1</f>
        <v>3</v>
      </c>
      <c r="I161" s="58" t="str">
        <f>LEFT('REPORTS PER EVALUATOR'!$AP$36,1)</f>
        <v>I</v>
      </c>
      <c r="J161" s="81">
        <f>(RIGHT('REPORTS PER EVALUATOR'!$AP$36,1))*1</f>
        <v>4</v>
      </c>
      <c r="K161" s="58" t="str">
        <f>LEFT('REPORTS PER EVALUATOR'!$AP$48,1)</f>
        <v>I</v>
      </c>
      <c r="L161" s="81">
        <f>(RIGHT('REPORTS PER EVALUATOR'!$AP$48,1))*1</f>
        <v>4</v>
      </c>
      <c r="M161" s="58" t="str">
        <f>LEFT('REPORTS PER EVALUATOR'!$AP$60,1)</f>
        <v>H</v>
      </c>
      <c r="N161" s="81">
        <f>(RIGHT('REPORTS PER EVALUATOR'!$AP$60,1))*1</f>
        <v>2</v>
      </c>
      <c r="O161" s="58" t="str">
        <f>LEFT('REPORTS PER EVALUATOR'!$AP$72,1)</f>
        <v>1</v>
      </c>
      <c r="P161" s="81">
        <f>(RIGHT('REPORTS PER EVALUATOR'!$AP$72,1))*1</f>
        <v>1</v>
      </c>
      <c r="Q161" s="58" t="str">
        <f>LEFT('REPORTS PER EVALUATOR'!$AP$84,1)</f>
        <v>H</v>
      </c>
      <c r="R161" s="81">
        <f>(RIGHT('REPORTS PER EVALUATOR'!$AP$84,1))*1</f>
        <v>2</v>
      </c>
      <c r="S161" s="58" t="str">
        <f>LEFT('REPORTS PER EVALUATOR'!$AP$96,1)</f>
        <v>H</v>
      </c>
      <c r="T161" s="81">
        <f>(RIGHT('REPORTS PER EVALUATOR'!$AP$96,1))*1</f>
        <v>4</v>
      </c>
      <c r="U161" s="58" t="str">
        <f>LEFT('REPORTS PER EVALUATOR'!$AP$108,1)</f>
        <v>H</v>
      </c>
      <c r="V161" s="81">
        <f>(RIGHT('REPORTS PER EVALUATOR'!$AP$108,1))*1</f>
        <v>3</v>
      </c>
      <c r="W161" s="58" t="str">
        <f>LEFT('REPORTS PER EVALUATOR'!$AP$120,1)</f>
        <v>1</v>
      </c>
      <c r="X161" s="81">
        <f>(RIGHT('REPORTS PER EVALUATOR'!$AP$120,1))*1</f>
        <v>1</v>
      </c>
      <c r="Y161" s="58" t="str">
        <f>LEFT('REPORTS PER EVALUATOR'!$AP$132,1)</f>
        <v>1</v>
      </c>
      <c r="Z161" s="94">
        <f>(RIGHT('REPORTS PER EVALUATOR'!$AP$132,1))*1</f>
        <v>1</v>
      </c>
      <c r="AA161" s="58" t="e">
        <f>LEFT('REPORTS PER EVALUATOR'!#REF!,1)</f>
        <v>#REF!</v>
      </c>
      <c r="AB161" s="94" t="e">
        <f>(RIGHT('REPORTS PER EVALUATOR'!#REF!,1))*1</f>
        <v>#REF!</v>
      </c>
      <c r="AC161" s="58" t="e">
        <f>LEFT('REPORTS PER EVALUATOR'!#REF!,1)</f>
        <v>#REF!</v>
      </c>
      <c r="AD161" s="94" t="e">
        <f>(RIGHT('REPORTS PER EVALUATOR'!#REF!,1))*1</f>
        <v>#REF!</v>
      </c>
      <c r="AE161" s="58" t="e">
        <f>LEFT('REPORTS PER EVALUATOR'!#REF!,1)</f>
        <v>#REF!</v>
      </c>
      <c r="AF161" s="94" t="e">
        <f>(RIGHT('REPORTS PER EVALUATOR'!#REF!,1))*1</f>
        <v>#REF!</v>
      </c>
      <c r="AG161" s="58" t="e">
        <f>LEFT('REPORTS PER EVALUATOR'!#REF!,1)</f>
        <v>#REF!</v>
      </c>
      <c r="AH161" s="94" t="e">
        <f>(RIGHT('REPORTS PER EVALUATOR'!#REF!,1))*1</f>
        <v>#REF!</v>
      </c>
      <c r="AI161" s="58" t="e">
        <f>LEFT('REPORTS PER EVALUATOR'!#REF!,1)</f>
        <v>#REF!</v>
      </c>
      <c r="AJ161" s="94" t="e">
        <f>(RIGHT('REPORTS PER EVALUATOR'!#REF!,1))*1</f>
        <v>#REF!</v>
      </c>
      <c r="AK161" s="58" t="e">
        <f>LEFT('REPORTS PER EVALUATOR'!#REF!,1)</f>
        <v>#REF!</v>
      </c>
      <c r="AL161" s="94" t="e">
        <f>(RIGHT('REPORTS PER EVALUATOR'!#REF!,1))*1</f>
        <v>#REF!</v>
      </c>
      <c r="AM161" s="58" t="e">
        <f>LEFT('REPORTS PER EVALUATOR'!#REF!,1)</f>
        <v>#REF!</v>
      </c>
      <c r="AN161" s="94" t="e">
        <f>(RIGHT('REPORTS PER EVALUATOR'!#REF!,1))*1</f>
        <v>#REF!</v>
      </c>
      <c r="AO161" s="58" t="e">
        <f>LEFT('REPORTS PER EVALUATOR'!#REF!,1)</f>
        <v>#REF!</v>
      </c>
      <c r="AP161" s="94" t="e">
        <f>(RIGHT('REPORTS PER EVALUATOR'!#REF!,1))*1</f>
        <v>#REF!</v>
      </c>
      <c r="AQ161" s="58" t="e">
        <f>LEFT('REPORTS PER EVALUATOR'!#REF!,1)</f>
        <v>#REF!</v>
      </c>
      <c r="AR161" s="94" t="e">
        <f>(RIGHT('REPORTS PER EVALUATOR'!#REF!,1))*1</f>
        <v>#REF!</v>
      </c>
    </row>
    <row r="162" spans="2:44" x14ac:dyDescent="0.2">
      <c r="B162" s="19" t="str">
        <f t="shared" si="8"/>
        <v>H</v>
      </c>
      <c r="C162" s="18" t="str">
        <f t="shared" si="9"/>
        <v>L</v>
      </c>
      <c r="D162" s="18" t="s">
        <v>19</v>
      </c>
      <c r="E162" s="26" t="str">
        <f>LEFT('REPORTS PER EVALUATOR'!$AQ$12,1)</f>
        <v>H</v>
      </c>
      <c r="F162" s="74">
        <f>(RIGHT('REPORTS PER EVALUATOR'!$AQ$12,1))*1</f>
        <v>5</v>
      </c>
      <c r="G162" s="11" t="str">
        <f>LEFT('REPORTS PER EVALUATOR'!$AQ$24,1)</f>
        <v>H</v>
      </c>
      <c r="H162" s="82">
        <f>(RIGHT('REPORTS PER EVALUATOR'!$AQ$24,1))*1</f>
        <v>3</v>
      </c>
      <c r="I162" s="11" t="str">
        <f>LEFT('REPORTS PER EVALUATOR'!$AQ$36,1)</f>
        <v>1</v>
      </c>
      <c r="J162" s="82">
        <f>(RIGHT('REPORTS PER EVALUATOR'!$AQ$36,1))*1</f>
        <v>1</v>
      </c>
      <c r="K162" s="11" t="str">
        <f>LEFT('REPORTS PER EVALUATOR'!$AQ$48,1)</f>
        <v>H</v>
      </c>
      <c r="L162" s="82">
        <f>(RIGHT('REPORTS PER EVALUATOR'!$AQ$48,1))*1</f>
        <v>2</v>
      </c>
      <c r="M162" s="11" t="str">
        <f>LEFT('REPORTS PER EVALUATOR'!$AQ$60,1)</f>
        <v>H</v>
      </c>
      <c r="N162" s="82">
        <f>(RIGHT('REPORTS PER EVALUATOR'!$AQ$60,1))*1</f>
        <v>2</v>
      </c>
      <c r="O162" s="11" t="str">
        <f>LEFT('REPORTS PER EVALUATOR'!$AQ$72,1)</f>
        <v>1</v>
      </c>
      <c r="P162" s="82">
        <f>(RIGHT('REPORTS PER EVALUATOR'!$AQ$72,1))*1</f>
        <v>1</v>
      </c>
      <c r="Q162" s="11" t="str">
        <f>LEFT('REPORTS PER EVALUATOR'!$AQ$84,1)</f>
        <v>H</v>
      </c>
      <c r="R162" s="82">
        <f>(RIGHT('REPORTS PER EVALUATOR'!$AQ$84,1))*1</f>
        <v>3</v>
      </c>
      <c r="S162" s="11" t="str">
        <f>LEFT('REPORTS PER EVALUATOR'!$AQ$96,1)</f>
        <v>1</v>
      </c>
      <c r="T162" s="82">
        <f>(RIGHT('REPORTS PER EVALUATOR'!$AQ$96,1))*1</f>
        <v>1</v>
      </c>
      <c r="U162" s="11" t="str">
        <f>LEFT('REPORTS PER EVALUATOR'!$AQ$108,1)</f>
        <v>1</v>
      </c>
      <c r="V162" s="82">
        <f>(RIGHT('REPORTS PER EVALUATOR'!$AQ$108,1))*1</f>
        <v>1</v>
      </c>
      <c r="W162" s="11" t="str">
        <f>LEFT('REPORTS PER EVALUATOR'!$AQ$120,1)</f>
        <v>H</v>
      </c>
      <c r="X162" s="82">
        <f>(RIGHT('REPORTS PER EVALUATOR'!$AQ$120,1))*1</f>
        <v>2</v>
      </c>
      <c r="Y162" s="11" t="str">
        <f>LEFT('REPORTS PER EVALUATOR'!$AQ$132,1)</f>
        <v>H</v>
      </c>
      <c r="Z162" s="93">
        <f>(RIGHT('REPORTS PER EVALUATOR'!$AQ$132,1))*1</f>
        <v>2</v>
      </c>
      <c r="AA162" s="11" t="e">
        <f>LEFT('REPORTS PER EVALUATOR'!#REF!,1)</f>
        <v>#REF!</v>
      </c>
      <c r="AB162" s="93" t="e">
        <f>(RIGHT('REPORTS PER EVALUATOR'!#REF!,1))*1</f>
        <v>#REF!</v>
      </c>
      <c r="AC162" s="11" t="e">
        <f>LEFT('REPORTS PER EVALUATOR'!#REF!,1)</f>
        <v>#REF!</v>
      </c>
      <c r="AD162" s="93" t="e">
        <f>(RIGHT('REPORTS PER EVALUATOR'!#REF!,1))*1</f>
        <v>#REF!</v>
      </c>
      <c r="AE162" s="11" t="e">
        <f>LEFT('REPORTS PER EVALUATOR'!#REF!,1)</f>
        <v>#REF!</v>
      </c>
      <c r="AF162" s="93" t="e">
        <f>(RIGHT('REPORTS PER EVALUATOR'!#REF!,1))*1</f>
        <v>#REF!</v>
      </c>
      <c r="AG162" s="11" t="e">
        <f>LEFT('REPORTS PER EVALUATOR'!#REF!,1)</f>
        <v>#REF!</v>
      </c>
      <c r="AH162" s="93" t="e">
        <f>(RIGHT('REPORTS PER EVALUATOR'!#REF!,1))*1</f>
        <v>#REF!</v>
      </c>
      <c r="AI162" s="11" t="e">
        <f>LEFT('REPORTS PER EVALUATOR'!#REF!,1)</f>
        <v>#REF!</v>
      </c>
      <c r="AJ162" s="93" t="e">
        <f>(RIGHT('REPORTS PER EVALUATOR'!#REF!,1))*1</f>
        <v>#REF!</v>
      </c>
      <c r="AK162" s="11" t="e">
        <f>LEFT('REPORTS PER EVALUATOR'!#REF!,1)</f>
        <v>#REF!</v>
      </c>
      <c r="AL162" s="93" t="e">
        <f>(RIGHT('REPORTS PER EVALUATOR'!#REF!,1))*1</f>
        <v>#REF!</v>
      </c>
      <c r="AM162" s="11" t="e">
        <f>LEFT('REPORTS PER EVALUATOR'!#REF!,1)</f>
        <v>#REF!</v>
      </c>
      <c r="AN162" s="93" t="e">
        <f>(RIGHT('REPORTS PER EVALUATOR'!#REF!,1))*1</f>
        <v>#REF!</v>
      </c>
      <c r="AO162" s="11" t="e">
        <f>LEFT('REPORTS PER EVALUATOR'!#REF!,1)</f>
        <v>#REF!</v>
      </c>
      <c r="AP162" s="93" t="e">
        <f>(RIGHT('REPORTS PER EVALUATOR'!#REF!,1))*1</f>
        <v>#REF!</v>
      </c>
      <c r="AQ162" s="11" t="e">
        <f>LEFT('REPORTS PER EVALUATOR'!#REF!,1)</f>
        <v>#REF!</v>
      </c>
      <c r="AR162" s="93" t="e">
        <f>(RIGHT('REPORTS PER EVALUATOR'!#REF!,1))*1</f>
        <v>#REF!</v>
      </c>
    </row>
    <row r="163" spans="2:44" x14ac:dyDescent="0.2">
      <c r="B163" s="19" t="str">
        <f t="shared" si="8"/>
        <v>H</v>
      </c>
      <c r="C163" s="18" t="str">
        <f t="shared" si="9"/>
        <v>M</v>
      </c>
      <c r="D163" s="18" t="s">
        <v>164</v>
      </c>
      <c r="E163" s="26" t="str">
        <f>LEFT('REPORTS PER EVALUATOR'!$AR$12,1)</f>
        <v/>
      </c>
      <c r="F163" s="74" t="e">
        <f>(RIGHT('REPORTS PER EVALUATOR'!$AR$12,1))*1</f>
        <v>#VALUE!</v>
      </c>
      <c r="G163" s="11" t="str">
        <f>LEFT('REPORTS PER EVALUATOR'!$AR$24,1)</f>
        <v/>
      </c>
      <c r="H163" s="82" t="e">
        <f>(RIGHT('REPORTS PER EVALUATOR'!$AR$24,1))*1</f>
        <v>#VALUE!</v>
      </c>
      <c r="I163" s="11" t="str">
        <f>LEFT('REPORTS PER EVALUATOR'!$AR$36,1)</f>
        <v/>
      </c>
      <c r="J163" s="82" t="e">
        <f>(RIGHT('REPORTS PER EVALUATOR'!$AR$36,1))*1</f>
        <v>#VALUE!</v>
      </c>
      <c r="K163" s="11" t="str">
        <f>LEFT('REPORTS PER EVALUATOR'!$AR$48,1)</f>
        <v/>
      </c>
      <c r="L163" s="82" t="e">
        <f>(RIGHT('REPORTS PER EVALUATOR'!$AR$48,1))*1</f>
        <v>#VALUE!</v>
      </c>
      <c r="M163" s="11" t="str">
        <f>LEFT('REPORTS PER EVALUATOR'!$AR$60,1)</f>
        <v/>
      </c>
      <c r="N163" s="82" t="e">
        <f>(RIGHT('REPORTS PER EVALUATOR'!$AR$60,1))*1</f>
        <v>#VALUE!</v>
      </c>
      <c r="O163" s="11" t="str">
        <f>LEFT('REPORTS PER EVALUATOR'!$AR$72,1)</f>
        <v/>
      </c>
      <c r="P163" s="82" t="e">
        <f>(RIGHT('REPORTS PER EVALUATOR'!$AR$72,1))*1</f>
        <v>#VALUE!</v>
      </c>
      <c r="Q163" s="11" t="str">
        <f>LEFT('REPORTS PER EVALUATOR'!$AR$84,1)</f>
        <v/>
      </c>
      <c r="R163" s="82" t="e">
        <f>(RIGHT('REPORTS PER EVALUATOR'!$AR$84,1))*1</f>
        <v>#VALUE!</v>
      </c>
      <c r="S163" s="11" t="str">
        <f>LEFT('REPORTS PER EVALUATOR'!$AR$96,1)</f>
        <v/>
      </c>
      <c r="T163" s="82" t="e">
        <f>(RIGHT('REPORTS PER EVALUATOR'!$AR$96,1))*1</f>
        <v>#VALUE!</v>
      </c>
      <c r="U163" s="11" t="str">
        <f>LEFT('REPORTS PER EVALUATOR'!$AR$108,1)</f>
        <v/>
      </c>
      <c r="V163" s="82" t="e">
        <f>(RIGHT('REPORTS PER EVALUATOR'!$AR$108,1))*1</f>
        <v>#VALUE!</v>
      </c>
      <c r="W163" s="11" t="str">
        <f>LEFT('REPORTS PER EVALUATOR'!$AR$120,1)</f>
        <v/>
      </c>
      <c r="X163" s="82" t="e">
        <f>(RIGHT('REPORTS PER EVALUATOR'!$AR$120,1))*1</f>
        <v>#VALUE!</v>
      </c>
      <c r="Y163" s="11" t="str">
        <f>LEFT('REPORTS PER EVALUATOR'!$AR$132,1)</f>
        <v/>
      </c>
      <c r="Z163" s="93" t="e">
        <f>(RIGHT('REPORTS PER EVALUATOR'!$AR$132,1))*1</f>
        <v>#VALUE!</v>
      </c>
      <c r="AA163" s="11" t="e">
        <f>LEFT('REPORTS PER EVALUATOR'!#REF!,1)</f>
        <v>#REF!</v>
      </c>
      <c r="AB163" s="93" t="e">
        <f>(RIGHT('REPORTS PER EVALUATOR'!#REF!,1))*1</f>
        <v>#REF!</v>
      </c>
      <c r="AC163" s="11" t="e">
        <f>LEFT('REPORTS PER EVALUATOR'!#REF!,1)</f>
        <v>#REF!</v>
      </c>
      <c r="AD163" s="93" t="e">
        <f>(RIGHT('REPORTS PER EVALUATOR'!#REF!,1))*1</f>
        <v>#REF!</v>
      </c>
      <c r="AE163" s="11" t="e">
        <f>LEFT('REPORTS PER EVALUATOR'!#REF!,1)</f>
        <v>#REF!</v>
      </c>
      <c r="AF163" s="93" t="e">
        <f>(RIGHT('REPORTS PER EVALUATOR'!#REF!,1))*1</f>
        <v>#REF!</v>
      </c>
      <c r="AG163" s="11" t="e">
        <f>LEFT('REPORTS PER EVALUATOR'!#REF!,1)</f>
        <v>#REF!</v>
      </c>
      <c r="AH163" s="93" t="e">
        <f>(RIGHT('REPORTS PER EVALUATOR'!#REF!,1))*1</f>
        <v>#REF!</v>
      </c>
      <c r="AI163" s="11" t="e">
        <f>LEFT('REPORTS PER EVALUATOR'!#REF!,1)</f>
        <v>#REF!</v>
      </c>
      <c r="AJ163" s="93" t="e">
        <f>(RIGHT('REPORTS PER EVALUATOR'!#REF!,1))*1</f>
        <v>#REF!</v>
      </c>
      <c r="AK163" s="11" t="e">
        <f>LEFT('REPORTS PER EVALUATOR'!#REF!,1)</f>
        <v>#REF!</v>
      </c>
      <c r="AL163" s="93" t="e">
        <f>(RIGHT('REPORTS PER EVALUATOR'!#REF!,1))*1</f>
        <v>#REF!</v>
      </c>
      <c r="AM163" s="11" t="e">
        <f>LEFT('REPORTS PER EVALUATOR'!#REF!,1)</f>
        <v>#REF!</v>
      </c>
      <c r="AN163" s="93" t="e">
        <f>(RIGHT('REPORTS PER EVALUATOR'!#REF!,1))*1</f>
        <v>#REF!</v>
      </c>
      <c r="AO163" s="11" t="e">
        <f>LEFT('REPORTS PER EVALUATOR'!#REF!,1)</f>
        <v>#REF!</v>
      </c>
      <c r="AP163" s="93" t="e">
        <f>(RIGHT('REPORTS PER EVALUATOR'!#REF!,1))*1</f>
        <v>#REF!</v>
      </c>
      <c r="AQ163" s="11" t="e">
        <f>LEFT('REPORTS PER EVALUATOR'!#REF!,1)</f>
        <v>#REF!</v>
      </c>
      <c r="AR163" s="93" t="e">
        <f>(RIGHT('REPORTS PER EVALUATOR'!#REF!,1))*1</f>
        <v>#REF!</v>
      </c>
    </row>
    <row r="164" spans="2:44" x14ac:dyDescent="0.2">
      <c r="B164" s="19" t="str">
        <f t="shared" si="8"/>
        <v>I</v>
      </c>
      <c r="C164" s="18" t="str">
        <f t="shared" si="9"/>
        <v>L</v>
      </c>
      <c r="D164" s="18" t="s">
        <v>54</v>
      </c>
      <c r="E164" s="57" t="str">
        <f>LEFT('REPORTS PER EVALUATOR'!$AQ$13,1)</f>
        <v>I</v>
      </c>
      <c r="F164" s="73">
        <f>(RIGHT('REPORTS PER EVALUATOR'!$AQ$13,1))*1</f>
        <v>5</v>
      </c>
      <c r="G164" s="58" t="str">
        <f>LEFT('REPORTS PER EVALUATOR'!$AQ$25,1)</f>
        <v>1</v>
      </c>
      <c r="H164" s="81">
        <f>(RIGHT('REPORTS PER EVALUATOR'!$AQ$25,1))*1</f>
        <v>1</v>
      </c>
      <c r="I164" s="58" t="str">
        <f>LEFT('REPORTS PER EVALUATOR'!$AQ$37,1)</f>
        <v>I</v>
      </c>
      <c r="J164" s="81">
        <f>(RIGHT('REPORTS PER EVALUATOR'!$AQ$37,1))*1</f>
        <v>4</v>
      </c>
      <c r="K164" s="58" t="str">
        <f>LEFT('REPORTS PER EVALUATOR'!$AQ$49,1)</f>
        <v>I</v>
      </c>
      <c r="L164" s="81">
        <f>(RIGHT('REPORTS PER EVALUATOR'!$AQ$49,1))*1</f>
        <v>5</v>
      </c>
      <c r="M164" s="58" t="str">
        <f>LEFT('REPORTS PER EVALUATOR'!$AQ$61,1)</f>
        <v>L</v>
      </c>
      <c r="N164" s="81">
        <f>(RIGHT('REPORTS PER EVALUATOR'!$AQ$61,1))*1</f>
        <v>2</v>
      </c>
      <c r="O164" s="58" t="str">
        <f>LEFT('REPORTS PER EVALUATOR'!$AQ$73,1)</f>
        <v>1</v>
      </c>
      <c r="P164" s="81">
        <f>(RIGHT('REPORTS PER EVALUATOR'!$AQ$73,1))*1</f>
        <v>1</v>
      </c>
      <c r="Q164" s="58" t="str">
        <f>LEFT('REPORTS PER EVALUATOR'!$AQ$85,1)</f>
        <v>1</v>
      </c>
      <c r="R164" s="81">
        <f>(RIGHT('REPORTS PER EVALUATOR'!$AQ$85,1))*1</f>
        <v>1</v>
      </c>
      <c r="S164" s="58" t="str">
        <f>LEFT('REPORTS PER EVALUATOR'!$AQ$97,1)</f>
        <v>L</v>
      </c>
      <c r="T164" s="81">
        <f>(RIGHT('REPORTS PER EVALUATOR'!$AQ$97,1))*1</f>
        <v>4</v>
      </c>
      <c r="U164" s="58" t="str">
        <f>LEFT('REPORTS PER EVALUATOR'!$AQ$109,1)</f>
        <v>L</v>
      </c>
      <c r="V164" s="81">
        <f>(RIGHT('REPORTS PER EVALUATOR'!$AQ$109,1))*1</f>
        <v>3</v>
      </c>
      <c r="W164" s="58" t="str">
        <f>LEFT('REPORTS PER EVALUATOR'!$AQ$121,1)</f>
        <v>I</v>
      </c>
      <c r="X164" s="81">
        <f>(RIGHT('REPORTS PER EVALUATOR'!$AQ$121,1))*1</f>
        <v>2</v>
      </c>
      <c r="Y164" s="58" t="str">
        <f>LEFT('REPORTS PER EVALUATOR'!$AQ$133,1)</f>
        <v>I</v>
      </c>
      <c r="Z164" s="94">
        <f>(RIGHT('REPORTS PER EVALUATOR'!$AQ$133,1))*1</f>
        <v>2</v>
      </c>
      <c r="AA164" s="58" t="e">
        <f>LEFT('REPORTS PER EVALUATOR'!#REF!,1)</f>
        <v>#REF!</v>
      </c>
      <c r="AB164" s="94" t="e">
        <f>(RIGHT('REPORTS PER EVALUATOR'!#REF!,1))*1</f>
        <v>#REF!</v>
      </c>
      <c r="AC164" s="58" t="e">
        <f>LEFT('REPORTS PER EVALUATOR'!#REF!,1)</f>
        <v>#REF!</v>
      </c>
      <c r="AD164" s="94" t="e">
        <f>(RIGHT('REPORTS PER EVALUATOR'!#REF!,1))*1</f>
        <v>#REF!</v>
      </c>
      <c r="AE164" s="58" t="e">
        <f>LEFT('REPORTS PER EVALUATOR'!#REF!,1)</f>
        <v>#REF!</v>
      </c>
      <c r="AF164" s="94" t="e">
        <f>(RIGHT('REPORTS PER EVALUATOR'!#REF!,1))*1</f>
        <v>#REF!</v>
      </c>
      <c r="AG164" s="58" t="e">
        <f>LEFT('REPORTS PER EVALUATOR'!#REF!,1)</f>
        <v>#REF!</v>
      </c>
      <c r="AH164" s="94" t="e">
        <f>(RIGHT('REPORTS PER EVALUATOR'!#REF!,1))*1</f>
        <v>#REF!</v>
      </c>
      <c r="AI164" s="58" t="e">
        <f>LEFT('REPORTS PER EVALUATOR'!#REF!,1)</f>
        <v>#REF!</v>
      </c>
      <c r="AJ164" s="94" t="e">
        <f>(RIGHT('REPORTS PER EVALUATOR'!#REF!,1))*1</f>
        <v>#REF!</v>
      </c>
      <c r="AK164" s="58" t="e">
        <f>LEFT('REPORTS PER EVALUATOR'!#REF!,1)</f>
        <v>#REF!</v>
      </c>
      <c r="AL164" s="94" t="e">
        <f>(RIGHT('REPORTS PER EVALUATOR'!#REF!,1))*1</f>
        <v>#REF!</v>
      </c>
      <c r="AM164" s="58" t="e">
        <f>LEFT('REPORTS PER EVALUATOR'!#REF!,1)</f>
        <v>#REF!</v>
      </c>
      <c r="AN164" s="94" t="e">
        <f>(RIGHT('REPORTS PER EVALUATOR'!#REF!,1))*1</f>
        <v>#REF!</v>
      </c>
      <c r="AO164" s="58" t="e">
        <f>LEFT('REPORTS PER EVALUATOR'!#REF!,1)</f>
        <v>#REF!</v>
      </c>
      <c r="AP164" s="94" t="e">
        <f>(RIGHT('REPORTS PER EVALUATOR'!#REF!,1))*1</f>
        <v>#REF!</v>
      </c>
      <c r="AQ164" s="58" t="e">
        <f>LEFT('REPORTS PER EVALUATOR'!#REF!,1)</f>
        <v>#REF!</v>
      </c>
      <c r="AR164" s="94" t="e">
        <f>(RIGHT('REPORTS PER EVALUATOR'!#REF!,1))*1</f>
        <v>#REF!</v>
      </c>
    </row>
    <row r="165" spans="2:44" x14ac:dyDescent="0.2">
      <c r="B165" s="19" t="str">
        <f t="shared" si="8"/>
        <v>I</v>
      </c>
      <c r="C165" s="18" t="str">
        <f t="shared" si="9"/>
        <v>M</v>
      </c>
      <c r="D165" s="126" t="s">
        <v>165</v>
      </c>
      <c r="E165" s="26" t="str">
        <f>LEFT('REPORTS PER EVALUATOR'!$AR$13,1)</f>
        <v/>
      </c>
      <c r="F165" s="74" t="e">
        <f>(RIGHT('REPORTS PER EVALUATOR'!$AR$13,1))*1</f>
        <v>#VALUE!</v>
      </c>
      <c r="G165" s="11" t="str">
        <f>LEFT('REPORTS PER EVALUATOR'!$AR$25,1)</f>
        <v/>
      </c>
      <c r="H165" s="82" t="e">
        <f>(RIGHT('REPORTS PER EVALUATOR'!$AR$25,1))*1</f>
        <v>#VALUE!</v>
      </c>
      <c r="I165" s="11" t="str">
        <f>LEFT('REPORTS PER EVALUATOR'!$AR$37,1)</f>
        <v/>
      </c>
      <c r="J165" s="82" t="e">
        <f>(RIGHT('REPORTS PER EVALUATOR'!$AR$37,1))*1</f>
        <v>#VALUE!</v>
      </c>
      <c r="K165" s="11" t="str">
        <f>LEFT('REPORTS PER EVALUATOR'!$AR$49,1)</f>
        <v/>
      </c>
      <c r="L165" s="82" t="e">
        <f>(RIGHT('REPORTS PER EVALUATOR'!$AR$49,1))*1</f>
        <v>#VALUE!</v>
      </c>
      <c r="M165" s="11" t="str">
        <f>LEFT('REPORTS PER EVALUATOR'!$AR$61,1)</f>
        <v/>
      </c>
      <c r="N165" s="82" t="e">
        <f>(RIGHT('REPORTS PER EVALUATOR'!$AR$61,1))*1</f>
        <v>#VALUE!</v>
      </c>
      <c r="O165" s="11" t="str">
        <f>LEFT('REPORTS PER EVALUATOR'!$AR$73,1)</f>
        <v/>
      </c>
      <c r="P165" s="82" t="e">
        <f>(RIGHT('REPORTS PER EVALUATOR'!$AR$73,1))*1</f>
        <v>#VALUE!</v>
      </c>
      <c r="Q165" s="11" t="str">
        <f>LEFT('REPORTS PER EVALUATOR'!$AR$85,1)</f>
        <v/>
      </c>
      <c r="R165" s="82" t="e">
        <f>(RIGHT('REPORTS PER EVALUATOR'!$AR$85,1))*1</f>
        <v>#VALUE!</v>
      </c>
      <c r="S165" s="11" t="str">
        <f>LEFT('REPORTS PER EVALUATOR'!$AR$97,1)</f>
        <v/>
      </c>
      <c r="T165" s="82" t="e">
        <f>(RIGHT('REPORTS PER EVALUATOR'!$AR$97,1))*1</f>
        <v>#VALUE!</v>
      </c>
      <c r="U165" s="11" t="str">
        <f>LEFT('REPORTS PER EVALUATOR'!$AR$109,1)</f>
        <v/>
      </c>
      <c r="V165" s="82" t="e">
        <f>(RIGHT('REPORTS PER EVALUATOR'!$AR$109,1))*1</f>
        <v>#VALUE!</v>
      </c>
      <c r="W165" s="11" t="str">
        <f>LEFT('REPORTS PER EVALUATOR'!$AR$121,1)</f>
        <v/>
      </c>
      <c r="X165" s="82" t="e">
        <f>(RIGHT('REPORTS PER EVALUATOR'!$AR$121,1))*1</f>
        <v>#VALUE!</v>
      </c>
      <c r="Y165" s="11" t="str">
        <f>LEFT('REPORTS PER EVALUATOR'!$AR$133,1)</f>
        <v/>
      </c>
      <c r="Z165" s="93" t="e">
        <f>(RIGHT('REPORTS PER EVALUATOR'!$AR$133,1))*1</f>
        <v>#VALUE!</v>
      </c>
      <c r="AA165" s="11" t="e">
        <f>LEFT('REPORTS PER EVALUATOR'!#REF!,1)</f>
        <v>#REF!</v>
      </c>
      <c r="AB165" s="93" t="e">
        <f>(RIGHT('REPORTS PER EVALUATOR'!#REF!,1))*1</f>
        <v>#REF!</v>
      </c>
      <c r="AC165" s="11" t="e">
        <f>LEFT('REPORTS PER EVALUATOR'!#REF!,1)</f>
        <v>#REF!</v>
      </c>
      <c r="AD165" s="93" t="e">
        <f>(RIGHT('REPORTS PER EVALUATOR'!#REF!,1))*1</f>
        <v>#REF!</v>
      </c>
      <c r="AE165" s="11" t="e">
        <f>LEFT('REPORTS PER EVALUATOR'!#REF!,1)</f>
        <v>#REF!</v>
      </c>
      <c r="AF165" s="93" t="e">
        <f>(RIGHT('REPORTS PER EVALUATOR'!#REF!,1))*1</f>
        <v>#REF!</v>
      </c>
      <c r="AG165" s="11" t="e">
        <f>LEFT('REPORTS PER EVALUATOR'!#REF!,1)</f>
        <v>#REF!</v>
      </c>
      <c r="AH165" s="93" t="e">
        <f>(RIGHT('REPORTS PER EVALUATOR'!#REF!,1))*1</f>
        <v>#REF!</v>
      </c>
      <c r="AI165" s="11" t="e">
        <f>LEFT('REPORTS PER EVALUATOR'!#REF!,1)</f>
        <v>#REF!</v>
      </c>
      <c r="AJ165" s="93" t="e">
        <f>(RIGHT('REPORTS PER EVALUATOR'!#REF!,1))*1</f>
        <v>#REF!</v>
      </c>
      <c r="AK165" s="11" t="e">
        <f>LEFT('REPORTS PER EVALUATOR'!#REF!,1)</f>
        <v>#REF!</v>
      </c>
      <c r="AL165" s="93" t="e">
        <f>(RIGHT('REPORTS PER EVALUATOR'!#REF!,1))*1</f>
        <v>#REF!</v>
      </c>
      <c r="AM165" s="11" t="e">
        <f>LEFT('REPORTS PER EVALUATOR'!#REF!,1)</f>
        <v>#REF!</v>
      </c>
      <c r="AN165" s="93" t="e">
        <f>(RIGHT('REPORTS PER EVALUATOR'!#REF!,1))*1</f>
        <v>#REF!</v>
      </c>
      <c r="AO165" s="11" t="e">
        <f>LEFT('REPORTS PER EVALUATOR'!#REF!,1)</f>
        <v>#REF!</v>
      </c>
      <c r="AP165" s="93" t="e">
        <f>(RIGHT('REPORTS PER EVALUATOR'!#REF!,1))*1</f>
        <v>#REF!</v>
      </c>
      <c r="AQ165" s="11" t="e">
        <f>LEFT('REPORTS PER EVALUATOR'!#REF!,1)</f>
        <v>#REF!</v>
      </c>
      <c r="AR165" s="93" t="e">
        <f>(RIGHT('REPORTS PER EVALUATOR'!#REF!,1))*1</f>
        <v>#REF!</v>
      </c>
    </row>
    <row r="166" spans="2:44" x14ac:dyDescent="0.2">
      <c r="B166" s="20" t="str">
        <f t="shared" si="8"/>
        <v>L</v>
      </c>
      <c r="C166" s="10" t="str">
        <f t="shared" si="9"/>
        <v>M</v>
      </c>
      <c r="D166" s="127" t="s">
        <v>166</v>
      </c>
      <c r="E166" s="128" t="str">
        <f>LEFT('REPORTS PER EVALUATOR'!$AR$14,1)</f>
        <v/>
      </c>
      <c r="F166" s="130" t="e">
        <f>(RIGHT('REPORTS PER EVALUATOR'!$AR$14,1))*1</f>
        <v>#VALUE!</v>
      </c>
      <c r="G166" s="129" t="str">
        <f>LEFT('REPORTS PER EVALUATOR'!$AR$26,1)</f>
        <v/>
      </c>
      <c r="H166" s="130" t="e">
        <f>(RIGHT('REPORTS PER EVALUATOR'!$AR$26,1))*1</f>
        <v>#VALUE!</v>
      </c>
      <c r="I166" s="129" t="str">
        <f>LEFT('REPORTS PER EVALUATOR'!$AR$38,1)</f>
        <v/>
      </c>
      <c r="J166" s="130" t="e">
        <f>(RIGHT('REPORTS PER EVALUATOR'!$AR$38,1))*1</f>
        <v>#VALUE!</v>
      </c>
      <c r="K166" s="129" t="str">
        <f>LEFT('REPORTS PER EVALUATOR'!$AR$50,1)</f>
        <v/>
      </c>
      <c r="L166" s="130" t="e">
        <f>(RIGHT('REPORTS PER EVALUATOR'!$AR$50,1))*1</f>
        <v>#VALUE!</v>
      </c>
      <c r="M166" s="129" t="str">
        <f>LEFT('REPORTS PER EVALUATOR'!$AR$62,1)</f>
        <v/>
      </c>
      <c r="N166" s="130" t="e">
        <f>(RIGHT('REPORTS PER EVALUATOR'!$AR$62,1))*1</f>
        <v>#VALUE!</v>
      </c>
      <c r="O166" s="129" t="str">
        <f>LEFT('REPORTS PER EVALUATOR'!$AR$74,1)</f>
        <v/>
      </c>
      <c r="P166" s="130" t="e">
        <f>(RIGHT('REPORTS PER EVALUATOR'!$AR$74,1))*1</f>
        <v>#VALUE!</v>
      </c>
      <c r="Q166" s="129" t="str">
        <f>LEFT('REPORTS PER EVALUATOR'!$AR$86,1)</f>
        <v/>
      </c>
      <c r="R166" s="130" t="e">
        <f>(RIGHT('REPORTS PER EVALUATOR'!$AR$86,1))*1</f>
        <v>#VALUE!</v>
      </c>
      <c r="S166" s="129" t="str">
        <f>LEFT('REPORTS PER EVALUATOR'!$AR$98,1)</f>
        <v/>
      </c>
      <c r="T166" s="130" t="e">
        <f>(RIGHT('REPORTS PER EVALUATOR'!$AR$98,1))*1</f>
        <v>#VALUE!</v>
      </c>
      <c r="U166" s="129" t="str">
        <f>LEFT('REPORTS PER EVALUATOR'!$AR$110,1)</f>
        <v/>
      </c>
      <c r="V166" s="130" t="e">
        <f>(RIGHT('REPORTS PER EVALUATOR'!$AR$110,1))*1</f>
        <v>#VALUE!</v>
      </c>
      <c r="W166" s="129" t="str">
        <f>LEFT('REPORTS PER EVALUATOR'!$AR$122,1)</f>
        <v/>
      </c>
      <c r="X166" s="130" t="e">
        <f>(RIGHT('REPORTS PER EVALUATOR'!$AR$122,1))*1</f>
        <v>#VALUE!</v>
      </c>
      <c r="Y166" s="129" t="str">
        <f>LEFT('REPORTS PER EVALUATOR'!$AR$134,1)</f>
        <v/>
      </c>
      <c r="Z166" s="131" t="e">
        <f>(RIGHT('REPORTS PER EVALUATOR'!$AR$134,1))*1</f>
        <v>#VALUE!</v>
      </c>
      <c r="AA166" s="129" t="e">
        <f>LEFT('REPORTS PER EVALUATOR'!#REF!,1)</f>
        <v>#REF!</v>
      </c>
      <c r="AB166" s="131" t="e">
        <f>(RIGHT('REPORTS PER EVALUATOR'!#REF!,1))*1</f>
        <v>#REF!</v>
      </c>
      <c r="AC166" s="129" t="e">
        <f>LEFT('REPORTS PER EVALUATOR'!#REF!,1)</f>
        <v>#REF!</v>
      </c>
      <c r="AD166" s="131" t="e">
        <f>(RIGHT('REPORTS PER EVALUATOR'!#REF!,1))*1</f>
        <v>#REF!</v>
      </c>
      <c r="AE166" s="129" t="e">
        <f>LEFT('REPORTS PER EVALUATOR'!#REF!,1)</f>
        <v>#REF!</v>
      </c>
      <c r="AF166" s="131" t="e">
        <f>(RIGHT('REPORTS PER EVALUATOR'!#REF!,1))*1</f>
        <v>#REF!</v>
      </c>
      <c r="AG166" s="129" t="e">
        <f>LEFT('REPORTS PER EVALUATOR'!#REF!,1)</f>
        <v>#REF!</v>
      </c>
      <c r="AH166" s="131" t="e">
        <f>(RIGHT('REPORTS PER EVALUATOR'!#REF!,1))*1</f>
        <v>#REF!</v>
      </c>
      <c r="AI166" s="129" t="e">
        <f>LEFT('REPORTS PER EVALUATOR'!#REF!,1)</f>
        <v>#REF!</v>
      </c>
      <c r="AJ166" s="131" t="e">
        <f>(RIGHT('REPORTS PER EVALUATOR'!#REF!,1))*1</f>
        <v>#REF!</v>
      </c>
      <c r="AK166" s="129" t="e">
        <f>LEFT('REPORTS PER EVALUATOR'!#REF!,1)</f>
        <v>#REF!</v>
      </c>
      <c r="AL166" s="131" t="e">
        <f>(RIGHT('REPORTS PER EVALUATOR'!#REF!,1))*1</f>
        <v>#REF!</v>
      </c>
      <c r="AM166" s="129" t="e">
        <f>LEFT('REPORTS PER EVALUATOR'!#REF!,1)</f>
        <v>#REF!</v>
      </c>
      <c r="AN166" s="131" t="e">
        <f>(RIGHT('REPORTS PER EVALUATOR'!#REF!,1))*1</f>
        <v>#REF!</v>
      </c>
      <c r="AO166" s="129" t="e">
        <f>LEFT('REPORTS PER EVALUATOR'!#REF!,1)</f>
        <v>#REF!</v>
      </c>
      <c r="AP166" s="131" t="e">
        <f>(RIGHT('REPORTS PER EVALUATOR'!#REF!,1))*1</f>
        <v>#REF!</v>
      </c>
      <c r="AQ166" s="129" t="e">
        <f>LEFT('REPORTS PER EVALUATOR'!#REF!,1)</f>
        <v>#REF!</v>
      </c>
      <c r="AR166" s="131" t="e">
        <f>(RIGHT('REPORTS PER EVALUATOR'!#REF!,1))*1</f>
        <v>#REF!</v>
      </c>
    </row>
  </sheetData>
  <autoFilter ref="A1:XFB164" xr:uid="{00000000-0009-0000-0000-000002000000}"/>
  <mergeCells count="3">
    <mergeCell ref="A2:A18"/>
    <mergeCell ref="A57:A73"/>
    <mergeCell ref="A112:A12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dimension ref="A1:AO65"/>
  <sheetViews>
    <sheetView workbookViewId="0">
      <selection sqref="A1:A4"/>
    </sheetView>
  </sheetViews>
  <sheetFormatPr baseColWidth="10" defaultColWidth="8.83203125" defaultRowHeight="15" x14ac:dyDescent="0.2"/>
  <cols>
    <col min="2" max="4" width="9.1640625" style="12"/>
    <col min="5" max="6" width="9.1640625" style="7"/>
    <col min="7" max="7" width="9.6640625" style="7" bestFit="1" customWidth="1"/>
    <col min="8" max="8" width="9.1640625" style="7"/>
    <col min="9" max="9" width="9.6640625" style="7" bestFit="1" customWidth="1"/>
    <col min="10" max="10" width="9.1640625" style="7"/>
    <col min="11" max="11" width="9.6640625" style="7" bestFit="1" customWidth="1"/>
    <col min="12" max="12" width="9.1640625" style="7"/>
    <col min="13" max="13" width="9.6640625" style="7" bestFit="1" customWidth="1"/>
    <col min="14" max="14" width="9.1640625" style="7"/>
    <col min="15" max="15" width="9.6640625" style="7" bestFit="1" customWidth="1"/>
    <col min="16" max="41" width="9.1640625" style="7"/>
  </cols>
  <sheetData>
    <row r="1" spans="1:41" x14ac:dyDescent="0.2">
      <c r="A1" s="216" t="s">
        <v>1</v>
      </c>
      <c r="B1" s="13" t="s">
        <v>55</v>
      </c>
      <c r="C1" s="14" t="s">
        <v>58</v>
      </c>
      <c r="D1" s="13" t="s">
        <v>55</v>
      </c>
      <c r="E1" s="14" t="s">
        <v>60</v>
      </c>
      <c r="F1" s="13" t="s">
        <v>55</v>
      </c>
      <c r="G1" s="14" t="s">
        <v>141</v>
      </c>
      <c r="H1" s="13" t="s">
        <v>55</v>
      </c>
      <c r="I1" s="14" t="s">
        <v>143</v>
      </c>
      <c r="J1" s="13" t="s">
        <v>55</v>
      </c>
      <c r="K1" s="14" t="s">
        <v>145</v>
      </c>
      <c r="L1" s="13" t="s">
        <v>55</v>
      </c>
      <c r="M1" s="14" t="s">
        <v>147</v>
      </c>
      <c r="N1" s="13" t="s">
        <v>55</v>
      </c>
      <c r="O1" s="14" t="s">
        <v>149</v>
      </c>
      <c r="P1" s="13" t="s">
        <v>55</v>
      </c>
      <c r="Q1" s="14" t="s">
        <v>62</v>
      </c>
      <c r="R1" s="13" t="s">
        <v>55</v>
      </c>
      <c r="S1" s="14" t="s">
        <v>64</v>
      </c>
      <c r="T1" s="13" t="s">
        <v>55</v>
      </c>
      <c r="U1" s="14" t="s">
        <v>66</v>
      </c>
      <c r="V1" s="13" t="s">
        <v>55</v>
      </c>
      <c r="W1" s="14" t="s">
        <v>68</v>
      </c>
      <c r="X1" s="13" t="s">
        <v>55</v>
      </c>
      <c r="Y1" s="14" t="s">
        <v>70</v>
      </c>
      <c r="Z1" s="13" t="s">
        <v>55</v>
      </c>
      <c r="AA1" s="14" t="s">
        <v>72</v>
      </c>
      <c r="AB1" s="13" t="s">
        <v>55</v>
      </c>
      <c r="AC1" s="14" t="s">
        <v>74</v>
      </c>
      <c r="AD1" s="13" t="s">
        <v>55</v>
      </c>
      <c r="AE1" s="14" t="s">
        <v>76</v>
      </c>
      <c r="AF1" s="13" t="s">
        <v>55</v>
      </c>
      <c r="AG1" s="14" t="s">
        <v>78</v>
      </c>
      <c r="AH1" s="13" t="s">
        <v>55</v>
      </c>
      <c r="AI1" s="14" t="s">
        <v>80</v>
      </c>
      <c r="AJ1" s="13" t="s">
        <v>55</v>
      </c>
      <c r="AK1" s="14" t="s">
        <v>82</v>
      </c>
      <c r="AL1" s="13" t="s">
        <v>55</v>
      </c>
      <c r="AM1" s="14" t="s">
        <v>84</v>
      </c>
      <c r="AN1" s="13" t="s">
        <v>55</v>
      </c>
      <c r="AO1" s="15" t="s">
        <v>86</v>
      </c>
    </row>
    <row r="2" spans="1:41" x14ac:dyDescent="0.2">
      <c r="A2" s="216"/>
      <c r="B2" s="16" t="s">
        <v>1</v>
      </c>
      <c r="C2" s="10">
        <v>1</v>
      </c>
      <c r="D2" s="16" t="s">
        <v>1</v>
      </c>
      <c r="E2" s="10">
        <v>1</v>
      </c>
      <c r="F2" s="16" t="s">
        <v>1</v>
      </c>
      <c r="G2" s="10">
        <v>1</v>
      </c>
      <c r="H2" s="16" t="s">
        <v>1</v>
      </c>
      <c r="I2" s="10">
        <v>1</v>
      </c>
      <c r="J2" s="16" t="s">
        <v>1</v>
      </c>
      <c r="K2" s="10">
        <v>1</v>
      </c>
      <c r="L2" s="16" t="s">
        <v>1</v>
      </c>
      <c r="M2" s="10">
        <v>1</v>
      </c>
      <c r="N2" s="16" t="s">
        <v>1</v>
      </c>
      <c r="O2" s="10">
        <v>1</v>
      </c>
      <c r="P2" s="16" t="s">
        <v>1</v>
      </c>
      <c r="Q2" s="10">
        <v>1</v>
      </c>
      <c r="R2" s="16" t="s">
        <v>1</v>
      </c>
      <c r="S2" s="10">
        <v>1</v>
      </c>
      <c r="T2" s="16" t="s">
        <v>1</v>
      </c>
      <c r="U2" s="10">
        <v>1</v>
      </c>
      <c r="V2" s="16" t="s">
        <v>1</v>
      </c>
      <c r="W2" s="10">
        <v>1</v>
      </c>
      <c r="X2" s="16" t="s">
        <v>1</v>
      </c>
      <c r="Y2" s="10">
        <v>1</v>
      </c>
      <c r="Z2" s="16" t="s">
        <v>1</v>
      </c>
      <c r="AA2" s="10">
        <v>1</v>
      </c>
      <c r="AB2" s="16" t="s">
        <v>1</v>
      </c>
      <c r="AC2" s="10">
        <v>1</v>
      </c>
      <c r="AD2" s="16" t="s">
        <v>1</v>
      </c>
      <c r="AE2" s="10">
        <v>1</v>
      </c>
      <c r="AF2" s="16" t="s">
        <v>1</v>
      </c>
      <c r="AG2" s="10">
        <v>1</v>
      </c>
      <c r="AH2" s="16" t="s">
        <v>1</v>
      </c>
      <c r="AI2" s="10">
        <v>1</v>
      </c>
      <c r="AJ2" s="16" t="s">
        <v>1</v>
      </c>
      <c r="AK2" s="10">
        <v>1</v>
      </c>
      <c r="AL2" s="16" t="s">
        <v>1</v>
      </c>
      <c r="AM2" s="10">
        <v>1</v>
      </c>
      <c r="AN2" s="16" t="s">
        <v>1</v>
      </c>
      <c r="AO2" s="17">
        <v>1</v>
      </c>
    </row>
    <row r="3" spans="1:41" x14ac:dyDescent="0.2">
      <c r="A3" s="216"/>
      <c r="B3" s="13" t="s">
        <v>56</v>
      </c>
      <c r="C3" s="14" t="s">
        <v>58</v>
      </c>
      <c r="D3" s="13" t="s">
        <v>56</v>
      </c>
      <c r="E3" s="14" t="s">
        <v>60</v>
      </c>
      <c r="F3" s="13" t="s">
        <v>56</v>
      </c>
      <c r="G3" s="14" t="s">
        <v>141</v>
      </c>
      <c r="H3" s="13" t="s">
        <v>56</v>
      </c>
      <c r="I3" s="14" t="s">
        <v>143</v>
      </c>
      <c r="J3" s="13" t="s">
        <v>56</v>
      </c>
      <c r="K3" s="14" t="s">
        <v>145</v>
      </c>
      <c r="L3" s="13" t="s">
        <v>56</v>
      </c>
      <c r="M3" s="14" t="s">
        <v>147</v>
      </c>
      <c r="N3" s="13" t="s">
        <v>56</v>
      </c>
      <c r="O3" s="14" t="s">
        <v>149</v>
      </c>
      <c r="P3" s="13" t="s">
        <v>56</v>
      </c>
      <c r="Q3" s="14" t="s">
        <v>62</v>
      </c>
      <c r="R3" s="13" t="s">
        <v>56</v>
      </c>
      <c r="S3" s="14" t="s">
        <v>64</v>
      </c>
      <c r="T3" s="13" t="s">
        <v>56</v>
      </c>
      <c r="U3" s="14" t="s">
        <v>66</v>
      </c>
      <c r="V3" s="13" t="s">
        <v>56</v>
      </c>
      <c r="W3" s="14" t="s">
        <v>68</v>
      </c>
      <c r="X3" s="13" t="s">
        <v>56</v>
      </c>
      <c r="Y3" s="14" t="s">
        <v>70</v>
      </c>
      <c r="Z3" s="13" t="s">
        <v>56</v>
      </c>
      <c r="AA3" s="14" t="s">
        <v>72</v>
      </c>
      <c r="AB3" s="13" t="s">
        <v>56</v>
      </c>
      <c r="AC3" s="14" t="s">
        <v>74</v>
      </c>
      <c r="AD3" s="13" t="s">
        <v>56</v>
      </c>
      <c r="AE3" s="14" t="s">
        <v>76</v>
      </c>
      <c r="AF3" s="13" t="s">
        <v>56</v>
      </c>
      <c r="AG3" s="14" t="s">
        <v>78</v>
      </c>
      <c r="AH3" s="13" t="s">
        <v>56</v>
      </c>
      <c r="AI3" s="14" t="s">
        <v>80</v>
      </c>
      <c r="AJ3" s="13" t="s">
        <v>56</v>
      </c>
      <c r="AK3" s="14" t="s">
        <v>82</v>
      </c>
      <c r="AL3" s="13" t="s">
        <v>56</v>
      </c>
      <c r="AM3" s="14" t="s">
        <v>84</v>
      </c>
      <c r="AN3" s="13" t="s">
        <v>56</v>
      </c>
      <c r="AO3" s="15" t="s">
        <v>86</v>
      </c>
    </row>
    <row r="4" spans="1:41" x14ac:dyDescent="0.2">
      <c r="A4" s="216"/>
      <c r="B4" s="16" t="s">
        <v>1</v>
      </c>
      <c r="C4" s="10">
        <v>1</v>
      </c>
      <c r="D4" s="16" t="s">
        <v>1</v>
      </c>
      <c r="E4" s="10">
        <v>1</v>
      </c>
      <c r="F4" s="16" t="s">
        <v>1</v>
      </c>
      <c r="G4" s="10">
        <v>1</v>
      </c>
      <c r="H4" s="16" t="s">
        <v>1</v>
      </c>
      <c r="I4" s="10">
        <v>1</v>
      </c>
      <c r="J4" s="16" t="s">
        <v>1</v>
      </c>
      <c r="K4" s="10">
        <v>1</v>
      </c>
      <c r="L4" s="16" t="s">
        <v>1</v>
      </c>
      <c r="M4" s="10">
        <v>1</v>
      </c>
      <c r="N4" s="16" t="s">
        <v>1</v>
      </c>
      <c r="O4" s="10">
        <v>1</v>
      </c>
      <c r="P4" s="16" t="s">
        <v>1</v>
      </c>
      <c r="Q4" s="10">
        <v>1</v>
      </c>
      <c r="R4" s="16" t="s">
        <v>1</v>
      </c>
      <c r="S4" s="10">
        <v>1</v>
      </c>
      <c r="T4" s="16" t="s">
        <v>1</v>
      </c>
      <c r="U4" s="10">
        <v>1</v>
      </c>
      <c r="V4" s="16" t="s">
        <v>1</v>
      </c>
      <c r="W4" s="10">
        <v>1</v>
      </c>
      <c r="X4" s="16" t="s">
        <v>1</v>
      </c>
      <c r="Y4" s="10">
        <v>1</v>
      </c>
      <c r="Z4" s="16" t="s">
        <v>1</v>
      </c>
      <c r="AA4" s="10">
        <v>1</v>
      </c>
      <c r="AB4" s="16" t="s">
        <v>1</v>
      </c>
      <c r="AC4" s="10">
        <v>1</v>
      </c>
      <c r="AD4" s="16" t="s">
        <v>1</v>
      </c>
      <c r="AE4" s="10">
        <v>1</v>
      </c>
      <c r="AF4" s="16" t="s">
        <v>1</v>
      </c>
      <c r="AG4" s="10">
        <v>1</v>
      </c>
      <c r="AH4" s="16" t="s">
        <v>1</v>
      </c>
      <c r="AI4" s="10">
        <v>1</v>
      </c>
      <c r="AJ4" s="16" t="s">
        <v>1</v>
      </c>
      <c r="AK4" s="10">
        <v>1</v>
      </c>
      <c r="AL4" s="16" t="s">
        <v>1</v>
      </c>
      <c r="AM4" s="10">
        <v>1</v>
      </c>
      <c r="AN4" s="16" t="s">
        <v>1</v>
      </c>
      <c r="AO4" s="17">
        <v>1</v>
      </c>
    </row>
    <row r="5" spans="1:41" x14ac:dyDescent="0.2">
      <c r="C5" s="104">
        <f>DCOUNTA(SUPPORTO_punti!$B$1:$AR$166,C1,B3:C4)+DCOUNTA(SUPPORTO_punti!$B$1:$AR$166,C1,B1:C2)</f>
        <v>8</v>
      </c>
      <c r="D5" s="18"/>
      <c r="E5" s="104">
        <f>DCOUNTA(SUPPORTO_punti!$B$1:$AR$166,E1,D3:E4)+DCOUNTA(SUPPORTO_punti!$B$1:$AR$166,E1,D1:E2)</f>
        <v>2</v>
      </c>
      <c r="F5" s="18"/>
      <c r="G5" s="104">
        <f>DCOUNTA(SUPPORTO_punti!$B$1:$AR$166,G1,F3:G4)+DCOUNTA(SUPPORTO_punti!$B$1:$AR$166,G1,F1:G2)</f>
        <v>5</v>
      </c>
      <c r="H5" s="18"/>
      <c r="I5" s="104">
        <f>DCOUNTA(SUPPORTO_punti!$B$1:$AR$166,I1,H3:I4)+DCOUNTA(SUPPORTO_punti!$B$1:$AR$166,I1,H1:I2)</f>
        <v>9</v>
      </c>
      <c r="J5" s="18"/>
      <c r="K5" s="104">
        <f>DCOUNTA(SUPPORTO_punti!$B$1:$AR$166,K1,J3:K4)+DCOUNTA(SUPPORTO_punti!$B$1:$AR$166,K1,J1:K2)</f>
        <v>7</v>
      </c>
      <c r="L5" s="18"/>
      <c r="M5" s="104">
        <f>DCOUNTA(SUPPORTO_punti!$B$1:$AR$166,M1,L3:M4)+DCOUNTA(SUPPORTO_punti!$B$1:$AR$166,M1,L1:M2)</f>
        <v>8</v>
      </c>
      <c r="N5" s="18"/>
      <c r="O5" s="104">
        <f>DCOUNTA(SUPPORTO_punti!$B$1:$AR$166,O1,N3:O4)+DCOUNTA(SUPPORTO_punti!$B$1:$AR$166,O1,N1:O2)</f>
        <v>1</v>
      </c>
      <c r="P5"/>
      <c r="Q5" s="104">
        <f>DCOUNTA(SUPPORTO_punti!$B$1:$AR$166,Q1,P3:Q4)+DCOUNTA(SUPPORTO_punti!$B$1:$AR$166,Q1,P1:Q2)</f>
        <v>7</v>
      </c>
      <c r="R5"/>
      <c r="S5" s="104">
        <f>DCOUNTA(SUPPORTO_punti!$B$1:$AR$166,S1,R3:S4)+DCOUNTA(SUPPORTO_punti!$B$1:$AR$166,S1,R1:S2)</f>
        <v>7</v>
      </c>
      <c r="T5"/>
      <c r="U5" s="104">
        <f>DCOUNTA(SUPPORTO_punti!$B$1:$AR$166,U1,T3:U4)+DCOUNTA(SUPPORTO_punti!$B$1:$AR$166,U1,T1:U2)</f>
        <v>12</v>
      </c>
      <c r="V5"/>
      <c r="W5" s="104">
        <f>DCOUNTA(SUPPORTO_punti!$B$1:$AR$166,W1,V3:W4)+DCOUNTA(SUPPORTO_punti!$B$1:$AR$166,W1,V1:W2)</f>
        <v>9</v>
      </c>
      <c r="X5"/>
      <c r="Y5" s="104">
        <f>DCOUNTA(SUPPORTO_punti!$B$1:$AR$166,Y1,X3:Y4)+DCOUNTA(SUPPORTO_punti!$B$1:$AR$166,Y1,X1:Y2)</f>
        <v>0</v>
      </c>
      <c r="Z5"/>
      <c r="AA5" s="104">
        <f>DCOUNTA(SUPPORTO_punti!$B$1:$AR$166,AA1,Z3:AA4)+DCOUNTA(SUPPORTO_punti!$B$1:$AR$166,AA1,Z1:AA2)</f>
        <v>0</v>
      </c>
      <c r="AB5"/>
      <c r="AC5" s="104">
        <f>DCOUNTA(SUPPORTO_punti!$B$1:$AR$166,AC1,AB3:AC4)+DCOUNTA(SUPPORTO_punti!$B$1:$AR$166,AC1,AB1:AC2)</f>
        <v>0</v>
      </c>
      <c r="AD5"/>
      <c r="AE5" s="104">
        <f>DCOUNTA(SUPPORTO_punti!$B$1:$AR$166,AE1,AD3:AE4)+DCOUNTA(SUPPORTO_punti!$B$1:$AR$166,AE1,AD1:AE2)</f>
        <v>0</v>
      </c>
      <c r="AF5"/>
      <c r="AG5" s="104">
        <f>DCOUNTA(SUPPORTO_punti!$B$1:$AR$166,AG1,AF3:AG4)+DCOUNTA(SUPPORTO_punti!$B$1:$AR$166,AG1,AF1:AG2)</f>
        <v>0</v>
      </c>
      <c r="AH5"/>
      <c r="AI5" s="104">
        <f>DCOUNTA(SUPPORTO_punti!$B$1:$AR$166,AI1,AH3:AI4)+DCOUNTA(SUPPORTO_punti!$B$1:$AR$166,AI1,AH1:AI2)</f>
        <v>0</v>
      </c>
      <c r="AJ5"/>
      <c r="AK5" s="104">
        <f>DCOUNTA(SUPPORTO_punti!$B$1:$AR$166,AK1,AJ3:AK4)+DCOUNTA(SUPPORTO_punti!$B$1:$AR$166,AK1,AJ1:AK2)</f>
        <v>0</v>
      </c>
      <c r="AL5"/>
      <c r="AM5" s="104">
        <f>DCOUNTA(SUPPORTO_punti!$B$1:$AR$166,AM1,AL3:AM4)+DCOUNTA(SUPPORTO_punti!$B$1:$AR$166,AM1,AL1:AM2)</f>
        <v>0</v>
      </c>
      <c r="AN5"/>
      <c r="AO5" s="104">
        <f>DCOUNTA(SUPPORTO_punti!$B$1:$AR$166,AO1,AN3:AO4)+DCOUNTA(SUPPORTO_punti!$B$1:$AR$166,AO1,AN1:AO2)</f>
        <v>0</v>
      </c>
    </row>
    <row r="6" spans="1:41" x14ac:dyDescent="0.2">
      <c r="C6" s="18"/>
      <c r="D6" s="18"/>
      <c r="E6" s="18"/>
      <c r="F6" s="18"/>
      <c r="G6" s="18"/>
      <c r="H6" s="18"/>
      <c r="I6" s="18"/>
      <c r="J6" s="18"/>
      <c r="K6" s="18"/>
      <c r="L6" s="18"/>
      <c r="M6" s="18"/>
      <c r="N6" s="18"/>
      <c r="O6" s="18"/>
      <c r="P6"/>
      <c r="Q6" s="18"/>
      <c r="R6"/>
      <c r="S6" s="18"/>
      <c r="T6"/>
      <c r="U6" s="18"/>
      <c r="V6"/>
      <c r="W6" s="18"/>
      <c r="X6"/>
      <c r="Y6" s="18"/>
      <c r="Z6"/>
      <c r="AA6" s="18"/>
      <c r="AB6"/>
      <c r="AC6" s="18"/>
      <c r="AD6"/>
      <c r="AE6" s="18"/>
      <c r="AF6"/>
      <c r="AG6" s="18"/>
      <c r="AH6"/>
      <c r="AI6" s="18"/>
      <c r="AJ6"/>
      <c r="AK6" s="18"/>
      <c r="AL6"/>
      <c r="AM6" s="18"/>
      <c r="AN6"/>
      <c r="AO6" s="18"/>
    </row>
    <row r="7" spans="1:41" x14ac:dyDescent="0.2">
      <c r="A7" s="216" t="s">
        <v>2</v>
      </c>
      <c r="B7" s="13" t="s">
        <v>55</v>
      </c>
      <c r="C7" s="14" t="s">
        <v>58</v>
      </c>
      <c r="D7" s="13" t="s">
        <v>55</v>
      </c>
      <c r="E7" s="14" t="s">
        <v>60</v>
      </c>
      <c r="F7" s="13" t="s">
        <v>55</v>
      </c>
      <c r="G7" s="14" t="s">
        <v>141</v>
      </c>
      <c r="H7" s="13" t="s">
        <v>55</v>
      </c>
      <c r="I7" s="14" t="s">
        <v>143</v>
      </c>
      <c r="J7" s="13" t="s">
        <v>55</v>
      </c>
      <c r="K7" s="14" t="s">
        <v>145</v>
      </c>
      <c r="L7" s="13" t="s">
        <v>55</v>
      </c>
      <c r="M7" s="14" t="s">
        <v>147</v>
      </c>
      <c r="N7" s="13" t="s">
        <v>55</v>
      </c>
      <c r="O7" s="14" t="s">
        <v>149</v>
      </c>
      <c r="P7" s="13" t="s">
        <v>55</v>
      </c>
      <c r="Q7" s="14" t="s">
        <v>62</v>
      </c>
      <c r="R7" s="13" t="s">
        <v>55</v>
      </c>
      <c r="S7" s="14" t="s">
        <v>64</v>
      </c>
      <c r="T7" s="13" t="s">
        <v>55</v>
      </c>
      <c r="U7" s="14" t="s">
        <v>66</v>
      </c>
      <c r="V7" s="13" t="s">
        <v>55</v>
      </c>
      <c r="W7" s="14" t="s">
        <v>68</v>
      </c>
      <c r="X7" s="13" t="s">
        <v>55</v>
      </c>
      <c r="Y7" s="14" t="s">
        <v>70</v>
      </c>
      <c r="Z7" s="13" t="s">
        <v>55</v>
      </c>
      <c r="AA7" s="14" t="s">
        <v>72</v>
      </c>
      <c r="AB7" s="13" t="s">
        <v>55</v>
      </c>
      <c r="AC7" s="14" t="s">
        <v>74</v>
      </c>
      <c r="AD7" s="13" t="s">
        <v>55</v>
      </c>
      <c r="AE7" s="14" t="s">
        <v>76</v>
      </c>
      <c r="AF7" s="13" t="s">
        <v>55</v>
      </c>
      <c r="AG7" s="14" t="s">
        <v>78</v>
      </c>
      <c r="AH7" s="13" t="s">
        <v>55</v>
      </c>
      <c r="AI7" s="14" t="s">
        <v>80</v>
      </c>
      <c r="AJ7" s="13" t="s">
        <v>55</v>
      </c>
      <c r="AK7" s="14" t="s">
        <v>82</v>
      </c>
      <c r="AL7" s="13" t="s">
        <v>55</v>
      </c>
      <c r="AM7" s="14" t="s">
        <v>84</v>
      </c>
      <c r="AN7" s="13" t="s">
        <v>55</v>
      </c>
      <c r="AO7" s="15" t="s">
        <v>86</v>
      </c>
    </row>
    <row r="8" spans="1:41" x14ac:dyDescent="0.2">
      <c r="A8" s="216"/>
      <c r="B8" s="16" t="s">
        <v>2</v>
      </c>
      <c r="C8" s="10">
        <v>1</v>
      </c>
      <c r="D8" s="16" t="s">
        <v>2</v>
      </c>
      <c r="E8" s="10">
        <v>1</v>
      </c>
      <c r="F8" s="16" t="s">
        <v>2</v>
      </c>
      <c r="G8" s="10">
        <v>1</v>
      </c>
      <c r="H8" s="16" t="s">
        <v>2</v>
      </c>
      <c r="I8" s="10">
        <v>1</v>
      </c>
      <c r="J8" s="16" t="s">
        <v>2</v>
      </c>
      <c r="K8" s="10">
        <v>1</v>
      </c>
      <c r="L8" s="16" t="s">
        <v>2</v>
      </c>
      <c r="M8" s="10">
        <v>1</v>
      </c>
      <c r="N8" s="16" t="s">
        <v>2</v>
      </c>
      <c r="O8" s="10">
        <v>1</v>
      </c>
      <c r="P8" s="16" t="s">
        <v>2</v>
      </c>
      <c r="Q8" s="10">
        <v>1</v>
      </c>
      <c r="R8" s="16" t="s">
        <v>2</v>
      </c>
      <c r="S8" s="10">
        <v>1</v>
      </c>
      <c r="T8" s="16" t="s">
        <v>2</v>
      </c>
      <c r="U8" s="10">
        <v>1</v>
      </c>
      <c r="V8" s="16" t="s">
        <v>2</v>
      </c>
      <c r="W8" s="10">
        <v>1</v>
      </c>
      <c r="X8" s="16" t="s">
        <v>2</v>
      </c>
      <c r="Y8" s="10">
        <v>1</v>
      </c>
      <c r="Z8" s="16" t="s">
        <v>2</v>
      </c>
      <c r="AA8" s="10">
        <v>1</v>
      </c>
      <c r="AB8" s="16" t="s">
        <v>2</v>
      </c>
      <c r="AC8" s="10">
        <v>1</v>
      </c>
      <c r="AD8" s="16" t="s">
        <v>2</v>
      </c>
      <c r="AE8" s="10">
        <v>1</v>
      </c>
      <c r="AF8" s="16" t="s">
        <v>2</v>
      </c>
      <c r="AG8" s="10">
        <v>1</v>
      </c>
      <c r="AH8" s="16" t="s">
        <v>2</v>
      </c>
      <c r="AI8" s="10">
        <v>1</v>
      </c>
      <c r="AJ8" s="16" t="s">
        <v>2</v>
      </c>
      <c r="AK8" s="10">
        <v>1</v>
      </c>
      <c r="AL8" s="16" t="s">
        <v>2</v>
      </c>
      <c r="AM8" s="10">
        <v>1</v>
      </c>
      <c r="AN8" s="16" t="s">
        <v>2</v>
      </c>
      <c r="AO8" s="17">
        <v>1</v>
      </c>
    </row>
    <row r="9" spans="1:41" x14ac:dyDescent="0.2">
      <c r="A9" s="216"/>
      <c r="B9" s="13" t="s">
        <v>56</v>
      </c>
      <c r="C9" s="14" t="s">
        <v>58</v>
      </c>
      <c r="D9" s="13" t="s">
        <v>56</v>
      </c>
      <c r="E9" s="14" t="s">
        <v>60</v>
      </c>
      <c r="F9" s="13" t="s">
        <v>56</v>
      </c>
      <c r="G9" s="14" t="s">
        <v>141</v>
      </c>
      <c r="H9" s="13" t="s">
        <v>56</v>
      </c>
      <c r="I9" s="14" t="s">
        <v>143</v>
      </c>
      <c r="J9" s="13" t="s">
        <v>56</v>
      </c>
      <c r="K9" s="14" t="s">
        <v>145</v>
      </c>
      <c r="L9" s="13" t="s">
        <v>56</v>
      </c>
      <c r="M9" s="14" t="s">
        <v>147</v>
      </c>
      <c r="N9" s="13" t="s">
        <v>56</v>
      </c>
      <c r="O9" s="14" t="s">
        <v>149</v>
      </c>
      <c r="P9" s="13" t="s">
        <v>56</v>
      </c>
      <c r="Q9" s="14" t="s">
        <v>62</v>
      </c>
      <c r="R9" s="13" t="s">
        <v>56</v>
      </c>
      <c r="S9" s="14" t="s">
        <v>64</v>
      </c>
      <c r="T9" s="13" t="s">
        <v>56</v>
      </c>
      <c r="U9" s="14" t="s">
        <v>66</v>
      </c>
      <c r="V9" s="13" t="s">
        <v>56</v>
      </c>
      <c r="W9" s="14" t="s">
        <v>68</v>
      </c>
      <c r="X9" s="13" t="s">
        <v>56</v>
      </c>
      <c r="Y9" s="14" t="s">
        <v>70</v>
      </c>
      <c r="Z9" s="13" t="s">
        <v>56</v>
      </c>
      <c r="AA9" s="14" t="s">
        <v>72</v>
      </c>
      <c r="AB9" s="13" t="s">
        <v>56</v>
      </c>
      <c r="AC9" s="14" t="s">
        <v>74</v>
      </c>
      <c r="AD9" s="13" t="s">
        <v>56</v>
      </c>
      <c r="AE9" s="14" t="s">
        <v>76</v>
      </c>
      <c r="AF9" s="13" t="s">
        <v>56</v>
      </c>
      <c r="AG9" s="14" t="s">
        <v>78</v>
      </c>
      <c r="AH9" s="13" t="s">
        <v>56</v>
      </c>
      <c r="AI9" s="14" t="s">
        <v>80</v>
      </c>
      <c r="AJ9" s="13" t="s">
        <v>56</v>
      </c>
      <c r="AK9" s="14" t="s">
        <v>82</v>
      </c>
      <c r="AL9" s="13" t="s">
        <v>56</v>
      </c>
      <c r="AM9" s="14" t="s">
        <v>84</v>
      </c>
      <c r="AN9" s="13" t="s">
        <v>56</v>
      </c>
      <c r="AO9" s="15" t="s">
        <v>86</v>
      </c>
    </row>
    <row r="10" spans="1:41" x14ac:dyDescent="0.2">
      <c r="A10" s="216"/>
      <c r="B10" s="16" t="s">
        <v>2</v>
      </c>
      <c r="C10" s="10">
        <v>1</v>
      </c>
      <c r="D10" s="16" t="s">
        <v>2</v>
      </c>
      <c r="E10" s="10">
        <v>1</v>
      </c>
      <c r="F10" s="16" t="s">
        <v>2</v>
      </c>
      <c r="G10" s="10">
        <v>1</v>
      </c>
      <c r="H10" s="16" t="s">
        <v>2</v>
      </c>
      <c r="I10" s="10">
        <v>1</v>
      </c>
      <c r="J10" s="16" t="s">
        <v>2</v>
      </c>
      <c r="K10" s="10">
        <v>1</v>
      </c>
      <c r="L10" s="16" t="s">
        <v>2</v>
      </c>
      <c r="M10" s="10">
        <v>1</v>
      </c>
      <c r="N10" s="16" t="s">
        <v>2</v>
      </c>
      <c r="O10" s="10">
        <v>1</v>
      </c>
      <c r="P10" s="16" t="s">
        <v>2</v>
      </c>
      <c r="Q10" s="10">
        <v>1</v>
      </c>
      <c r="R10" s="16" t="s">
        <v>2</v>
      </c>
      <c r="S10" s="10">
        <v>1</v>
      </c>
      <c r="T10" s="16" t="s">
        <v>2</v>
      </c>
      <c r="U10" s="10">
        <v>1</v>
      </c>
      <c r="V10" s="16" t="s">
        <v>2</v>
      </c>
      <c r="W10" s="10">
        <v>1</v>
      </c>
      <c r="X10" s="16" t="s">
        <v>2</v>
      </c>
      <c r="Y10" s="10">
        <v>1</v>
      </c>
      <c r="Z10" s="16" t="s">
        <v>2</v>
      </c>
      <c r="AA10" s="10">
        <v>1</v>
      </c>
      <c r="AB10" s="16" t="s">
        <v>2</v>
      </c>
      <c r="AC10" s="10">
        <v>1</v>
      </c>
      <c r="AD10" s="16" t="s">
        <v>2</v>
      </c>
      <c r="AE10" s="10">
        <v>1</v>
      </c>
      <c r="AF10" s="16" t="s">
        <v>2</v>
      </c>
      <c r="AG10" s="10">
        <v>1</v>
      </c>
      <c r="AH10" s="16" t="s">
        <v>2</v>
      </c>
      <c r="AI10" s="10">
        <v>1</v>
      </c>
      <c r="AJ10" s="16" t="s">
        <v>2</v>
      </c>
      <c r="AK10" s="10">
        <v>1</v>
      </c>
      <c r="AL10" s="16" t="s">
        <v>2</v>
      </c>
      <c r="AM10" s="10">
        <v>1</v>
      </c>
      <c r="AN10" s="16" t="s">
        <v>2</v>
      </c>
      <c r="AO10" s="17">
        <v>1</v>
      </c>
    </row>
    <row r="11" spans="1:41" x14ac:dyDescent="0.2">
      <c r="C11" s="104">
        <f>DCOUNTA(SUPPORTO_punti!$B$1:$AR$166,C7,B9:C10)+DCOUNTA(SUPPORTO_punti!$B$1:$AR$166,C7,B7:C8)</f>
        <v>9</v>
      </c>
      <c r="D11" s="18"/>
      <c r="E11" s="104">
        <f>DCOUNTA(SUPPORTO_punti!$B$1:$AR$166,E7,D9:E10)+DCOUNTA(SUPPORTO_punti!$B$1:$AR$166,E7,D7:E8)</f>
        <v>3</v>
      </c>
      <c r="F11" s="18"/>
      <c r="G11" s="104">
        <f>DCOUNTA(SUPPORTO_punti!$B$1:$AR$166,G7,F9:G10)+DCOUNTA(SUPPORTO_punti!$B$1:$AR$166,G7,F7:G8)</f>
        <v>5</v>
      </c>
      <c r="H11" s="18"/>
      <c r="I11" s="104">
        <f>DCOUNTA(SUPPORTO_punti!$B$1:$AR$166,I7,H9:I10)+DCOUNTA(SUPPORTO_punti!$B$1:$AR$166,I7,H7:I8)</f>
        <v>3</v>
      </c>
      <c r="J11" s="18"/>
      <c r="K11" s="104">
        <f>DCOUNTA(SUPPORTO_punti!$B$1:$AR$166,K7,J9:K10)+DCOUNTA(SUPPORTO_punti!$B$1:$AR$166,K7,J7:K8)</f>
        <v>9</v>
      </c>
      <c r="L11" s="18"/>
      <c r="M11" s="104">
        <f>DCOUNTA(SUPPORTO_punti!$B$1:$AR$166,M7,L9:M10)+DCOUNTA(SUPPORTO_punti!$B$1:$AR$166,M7,L7:M8)</f>
        <v>12</v>
      </c>
      <c r="N11" s="18"/>
      <c r="O11" s="104">
        <f>DCOUNTA(SUPPORTO_punti!$B$1:$AR$166,O7,N9:O10)+DCOUNTA(SUPPORTO_punti!$B$1:$AR$166,O7,N7:O8)</f>
        <v>7</v>
      </c>
      <c r="P11"/>
      <c r="Q11" s="104">
        <f>DCOUNTA(SUPPORTO_punti!$B$1:$AR$166,Q7,P9:Q10)+DCOUNTA(SUPPORTO_punti!$B$1:$AR$166,Q7,P7:Q8)</f>
        <v>7</v>
      </c>
      <c r="R11"/>
      <c r="S11" s="104">
        <f>DCOUNTA(SUPPORTO_punti!$B$1:$AR$166,S7,R9:S10)+DCOUNTA(SUPPORTO_punti!$B$1:$AR$166,S7,R7:S8)</f>
        <v>3</v>
      </c>
      <c r="T11"/>
      <c r="U11" s="104">
        <f>DCOUNTA(SUPPORTO_punti!$B$1:$AR$166,U7,T9:U10)+DCOUNTA(SUPPORTO_punti!$B$1:$AR$166,U7,T7:U8)</f>
        <v>9</v>
      </c>
      <c r="V11"/>
      <c r="W11" s="104">
        <f>DCOUNTA(SUPPORTO_punti!$B$1:$AR$166,W7,V9:W10)+DCOUNTA(SUPPORTO_punti!$B$1:$AR$166,W7,V7:W8)</f>
        <v>10</v>
      </c>
      <c r="X11"/>
      <c r="Y11" s="104">
        <f>DCOUNTA(SUPPORTO_punti!$B$1:$AR$166,Y7,X9:Y10)+DCOUNTA(SUPPORTO_punti!$B$1:$AR$166,Y7,X7:Y8)</f>
        <v>0</v>
      </c>
      <c r="Z11"/>
      <c r="AA11" s="104">
        <f>DCOUNTA(SUPPORTO_punti!$B$1:$AR$166,AA7,Z9:AA10)+DCOUNTA(SUPPORTO_punti!$B$1:$AR$166,AA7,Z7:AA8)</f>
        <v>0</v>
      </c>
      <c r="AB11"/>
      <c r="AC11" s="104">
        <f>DCOUNTA(SUPPORTO_punti!$B$1:$AR$166,AC7,AB9:AC10)+DCOUNTA(SUPPORTO_punti!$B$1:$AR$166,AC7,AB7:AC8)</f>
        <v>0</v>
      </c>
      <c r="AD11"/>
      <c r="AE11" s="104">
        <f>DCOUNTA(SUPPORTO_punti!$B$1:$AR$166,AE7,AD9:AE10)+DCOUNTA(SUPPORTO_punti!$B$1:$AR$166,AE7,AD7:AE8)</f>
        <v>0</v>
      </c>
      <c r="AF11"/>
      <c r="AG11" s="104">
        <f>DCOUNTA(SUPPORTO_punti!$B$1:$AR$166,AG7,AF9:AG10)+DCOUNTA(SUPPORTO_punti!$B$1:$AR$166,AG7,AF7:AG8)</f>
        <v>0</v>
      </c>
      <c r="AH11"/>
      <c r="AI11" s="104">
        <f>DCOUNTA(SUPPORTO_punti!$B$1:$AR$166,AI7,AH9:AI10)+DCOUNTA(SUPPORTO_punti!$B$1:$AR$166,AI7,AH7:AI8)</f>
        <v>0</v>
      </c>
      <c r="AJ11"/>
      <c r="AK11" s="104">
        <f>DCOUNTA(SUPPORTO_punti!$B$1:$AR$166,AK7,AJ9:AK10)+DCOUNTA(SUPPORTO_punti!$B$1:$AR$166,AK7,AJ7:AK8)</f>
        <v>0</v>
      </c>
      <c r="AL11"/>
      <c r="AM11" s="104">
        <f>DCOUNTA(SUPPORTO_punti!$B$1:$AR$166,AM7,AL9:AM10)+DCOUNTA(SUPPORTO_punti!$B$1:$AR$166,AM7,AL7:AM8)</f>
        <v>0</v>
      </c>
      <c r="AN11"/>
      <c r="AO11" s="104">
        <f>DCOUNTA(SUPPORTO_punti!$B$1:$AR$166,AO7,AN9:AO10)+DCOUNTA(SUPPORTO_punti!$B$1:$AR$166,AO7,AN7:AO8)</f>
        <v>0</v>
      </c>
    </row>
    <row r="12" spans="1:41" x14ac:dyDescent="0.2">
      <c r="C12" s="18"/>
      <c r="D12" s="18"/>
      <c r="E12" s="18"/>
      <c r="F12" s="18"/>
      <c r="G12" s="18"/>
      <c r="H12" s="18"/>
      <c r="I12" s="18"/>
      <c r="J12" s="18"/>
      <c r="K12" s="18"/>
      <c r="L12" s="18"/>
      <c r="M12" s="18"/>
      <c r="N12" s="18"/>
      <c r="O12" s="18"/>
      <c r="P12"/>
      <c r="Q12" s="18"/>
      <c r="R12"/>
      <c r="S12" s="18"/>
      <c r="T12"/>
      <c r="U12" s="18"/>
      <c r="V12"/>
      <c r="W12" s="18"/>
      <c r="X12"/>
      <c r="Y12" s="18"/>
      <c r="Z12"/>
      <c r="AA12" s="18"/>
      <c r="AB12"/>
      <c r="AC12" s="18"/>
      <c r="AD12"/>
      <c r="AE12" s="18"/>
      <c r="AF12"/>
      <c r="AG12" s="18"/>
      <c r="AH12"/>
      <c r="AI12" s="18"/>
      <c r="AJ12"/>
      <c r="AK12" s="18"/>
      <c r="AL12"/>
      <c r="AM12" s="18"/>
      <c r="AN12"/>
      <c r="AO12" s="18"/>
    </row>
    <row r="13" spans="1:41" x14ac:dyDescent="0.2">
      <c r="A13" s="216" t="s">
        <v>3</v>
      </c>
      <c r="B13" s="13" t="s">
        <v>55</v>
      </c>
      <c r="C13" s="14" t="s">
        <v>58</v>
      </c>
      <c r="D13" s="13" t="s">
        <v>55</v>
      </c>
      <c r="E13" s="14" t="s">
        <v>60</v>
      </c>
      <c r="F13" s="13" t="s">
        <v>55</v>
      </c>
      <c r="G13" s="14" t="s">
        <v>141</v>
      </c>
      <c r="H13" s="13" t="s">
        <v>55</v>
      </c>
      <c r="I13" s="14" t="s">
        <v>143</v>
      </c>
      <c r="J13" s="13" t="s">
        <v>55</v>
      </c>
      <c r="K13" s="14" t="s">
        <v>145</v>
      </c>
      <c r="L13" s="13" t="s">
        <v>55</v>
      </c>
      <c r="M13" s="14" t="s">
        <v>147</v>
      </c>
      <c r="N13" s="13" t="s">
        <v>55</v>
      </c>
      <c r="O13" s="14" t="s">
        <v>149</v>
      </c>
      <c r="P13" s="13" t="s">
        <v>55</v>
      </c>
      <c r="Q13" s="14" t="s">
        <v>62</v>
      </c>
      <c r="R13" s="13" t="s">
        <v>55</v>
      </c>
      <c r="S13" s="14" t="s">
        <v>64</v>
      </c>
      <c r="T13" s="13" t="s">
        <v>55</v>
      </c>
      <c r="U13" s="14" t="s">
        <v>66</v>
      </c>
      <c r="V13" s="13" t="s">
        <v>55</v>
      </c>
      <c r="W13" s="14" t="s">
        <v>68</v>
      </c>
      <c r="X13" s="13" t="s">
        <v>55</v>
      </c>
      <c r="Y13" s="14" t="s">
        <v>70</v>
      </c>
      <c r="Z13" s="13" t="s">
        <v>55</v>
      </c>
      <c r="AA13" s="14" t="s">
        <v>72</v>
      </c>
      <c r="AB13" s="13" t="s">
        <v>55</v>
      </c>
      <c r="AC13" s="14" t="s">
        <v>74</v>
      </c>
      <c r="AD13" s="13" t="s">
        <v>55</v>
      </c>
      <c r="AE13" s="14" t="s">
        <v>76</v>
      </c>
      <c r="AF13" s="13" t="s">
        <v>55</v>
      </c>
      <c r="AG13" s="14" t="s">
        <v>78</v>
      </c>
      <c r="AH13" s="13" t="s">
        <v>55</v>
      </c>
      <c r="AI13" s="14" t="s">
        <v>80</v>
      </c>
      <c r="AJ13" s="13" t="s">
        <v>55</v>
      </c>
      <c r="AK13" s="14" t="s">
        <v>82</v>
      </c>
      <c r="AL13" s="13" t="s">
        <v>55</v>
      </c>
      <c r="AM13" s="14" t="s">
        <v>84</v>
      </c>
      <c r="AN13" s="13" t="s">
        <v>55</v>
      </c>
      <c r="AO13" s="15" t="s">
        <v>86</v>
      </c>
    </row>
    <row r="14" spans="1:41" x14ac:dyDescent="0.2">
      <c r="A14" s="216"/>
      <c r="B14" s="16" t="s">
        <v>3</v>
      </c>
      <c r="C14" s="10">
        <v>1</v>
      </c>
      <c r="D14" s="16" t="s">
        <v>3</v>
      </c>
      <c r="E14" s="10">
        <v>1</v>
      </c>
      <c r="F14" s="16" t="s">
        <v>3</v>
      </c>
      <c r="G14" s="10">
        <v>1</v>
      </c>
      <c r="H14" s="16" t="s">
        <v>3</v>
      </c>
      <c r="I14" s="10">
        <v>1</v>
      </c>
      <c r="J14" s="16" t="s">
        <v>3</v>
      </c>
      <c r="K14" s="10">
        <v>1</v>
      </c>
      <c r="L14" s="16" t="s">
        <v>3</v>
      </c>
      <c r="M14" s="10">
        <v>1</v>
      </c>
      <c r="N14" s="16" t="s">
        <v>3</v>
      </c>
      <c r="O14" s="10">
        <v>1</v>
      </c>
      <c r="P14" s="16" t="s">
        <v>3</v>
      </c>
      <c r="Q14" s="10">
        <v>1</v>
      </c>
      <c r="R14" s="16" t="s">
        <v>3</v>
      </c>
      <c r="S14" s="10">
        <v>1</v>
      </c>
      <c r="T14" s="16" t="s">
        <v>3</v>
      </c>
      <c r="U14" s="10">
        <v>1</v>
      </c>
      <c r="V14" s="16" t="s">
        <v>3</v>
      </c>
      <c r="W14" s="10">
        <v>1</v>
      </c>
      <c r="X14" s="16" t="s">
        <v>3</v>
      </c>
      <c r="Y14" s="10">
        <v>1</v>
      </c>
      <c r="Z14" s="16" t="s">
        <v>3</v>
      </c>
      <c r="AA14" s="10">
        <v>1</v>
      </c>
      <c r="AB14" s="16" t="s">
        <v>3</v>
      </c>
      <c r="AC14" s="10">
        <v>1</v>
      </c>
      <c r="AD14" s="16" t="s">
        <v>3</v>
      </c>
      <c r="AE14" s="10">
        <v>1</v>
      </c>
      <c r="AF14" s="16" t="s">
        <v>3</v>
      </c>
      <c r="AG14" s="10">
        <v>1</v>
      </c>
      <c r="AH14" s="16" t="s">
        <v>3</v>
      </c>
      <c r="AI14" s="10">
        <v>1</v>
      </c>
      <c r="AJ14" s="16" t="s">
        <v>3</v>
      </c>
      <c r="AK14" s="10">
        <v>1</v>
      </c>
      <c r="AL14" s="16" t="s">
        <v>3</v>
      </c>
      <c r="AM14" s="10">
        <v>1</v>
      </c>
      <c r="AN14" s="16" t="s">
        <v>3</v>
      </c>
      <c r="AO14" s="17">
        <v>1</v>
      </c>
    </row>
    <row r="15" spans="1:41" x14ac:dyDescent="0.2">
      <c r="A15" s="216"/>
      <c r="B15" s="13" t="s">
        <v>56</v>
      </c>
      <c r="C15" s="14" t="s">
        <v>58</v>
      </c>
      <c r="D15" s="13" t="s">
        <v>56</v>
      </c>
      <c r="E15" s="14" t="s">
        <v>60</v>
      </c>
      <c r="F15" s="13" t="s">
        <v>56</v>
      </c>
      <c r="G15" s="14" t="s">
        <v>141</v>
      </c>
      <c r="H15" s="13" t="s">
        <v>56</v>
      </c>
      <c r="I15" s="14" t="s">
        <v>143</v>
      </c>
      <c r="J15" s="13" t="s">
        <v>56</v>
      </c>
      <c r="K15" s="14" t="s">
        <v>145</v>
      </c>
      <c r="L15" s="13" t="s">
        <v>56</v>
      </c>
      <c r="M15" s="14" t="s">
        <v>147</v>
      </c>
      <c r="N15" s="13" t="s">
        <v>56</v>
      </c>
      <c r="O15" s="14" t="s">
        <v>149</v>
      </c>
      <c r="P15" s="13" t="s">
        <v>56</v>
      </c>
      <c r="Q15" s="14" t="s">
        <v>62</v>
      </c>
      <c r="R15" s="13" t="s">
        <v>56</v>
      </c>
      <c r="S15" s="14" t="s">
        <v>64</v>
      </c>
      <c r="T15" s="13" t="s">
        <v>56</v>
      </c>
      <c r="U15" s="14" t="s">
        <v>66</v>
      </c>
      <c r="V15" s="13" t="s">
        <v>56</v>
      </c>
      <c r="W15" s="14" t="s">
        <v>68</v>
      </c>
      <c r="X15" s="13" t="s">
        <v>56</v>
      </c>
      <c r="Y15" s="14" t="s">
        <v>70</v>
      </c>
      <c r="Z15" s="13" t="s">
        <v>56</v>
      </c>
      <c r="AA15" s="14" t="s">
        <v>72</v>
      </c>
      <c r="AB15" s="13" t="s">
        <v>56</v>
      </c>
      <c r="AC15" s="14" t="s">
        <v>74</v>
      </c>
      <c r="AD15" s="13" t="s">
        <v>56</v>
      </c>
      <c r="AE15" s="14" t="s">
        <v>76</v>
      </c>
      <c r="AF15" s="13" t="s">
        <v>56</v>
      </c>
      <c r="AG15" s="14" t="s">
        <v>78</v>
      </c>
      <c r="AH15" s="13" t="s">
        <v>56</v>
      </c>
      <c r="AI15" s="14" t="s">
        <v>80</v>
      </c>
      <c r="AJ15" s="13" t="s">
        <v>56</v>
      </c>
      <c r="AK15" s="14" t="s">
        <v>82</v>
      </c>
      <c r="AL15" s="13" t="s">
        <v>56</v>
      </c>
      <c r="AM15" s="14" t="s">
        <v>84</v>
      </c>
      <c r="AN15" s="13" t="s">
        <v>56</v>
      </c>
      <c r="AO15" s="15" t="s">
        <v>86</v>
      </c>
    </row>
    <row r="16" spans="1:41" x14ac:dyDescent="0.2">
      <c r="A16" s="216"/>
      <c r="B16" s="16" t="s">
        <v>3</v>
      </c>
      <c r="C16" s="10">
        <v>1</v>
      </c>
      <c r="D16" s="16" t="s">
        <v>3</v>
      </c>
      <c r="E16" s="10">
        <v>1</v>
      </c>
      <c r="F16" s="16" t="s">
        <v>3</v>
      </c>
      <c r="G16" s="10">
        <v>1</v>
      </c>
      <c r="H16" s="16" t="s">
        <v>3</v>
      </c>
      <c r="I16" s="10">
        <v>1</v>
      </c>
      <c r="J16" s="16" t="s">
        <v>3</v>
      </c>
      <c r="K16" s="10">
        <v>1</v>
      </c>
      <c r="L16" s="16" t="s">
        <v>3</v>
      </c>
      <c r="M16" s="10">
        <v>1</v>
      </c>
      <c r="N16" s="16" t="s">
        <v>3</v>
      </c>
      <c r="O16" s="10">
        <v>1</v>
      </c>
      <c r="P16" s="16" t="s">
        <v>3</v>
      </c>
      <c r="Q16" s="10">
        <v>1</v>
      </c>
      <c r="R16" s="16" t="s">
        <v>3</v>
      </c>
      <c r="S16" s="10">
        <v>1</v>
      </c>
      <c r="T16" s="16" t="s">
        <v>3</v>
      </c>
      <c r="U16" s="10">
        <v>1</v>
      </c>
      <c r="V16" s="16" t="s">
        <v>3</v>
      </c>
      <c r="W16" s="10">
        <v>1</v>
      </c>
      <c r="X16" s="16" t="s">
        <v>3</v>
      </c>
      <c r="Y16" s="10">
        <v>1</v>
      </c>
      <c r="Z16" s="16" t="s">
        <v>3</v>
      </c>
      <c r="AA16" s="10">
        <v>1</v>
      </c>
      <c r="AB16" s="16" t="s">
        <v>3</v>
      </c>
      <c r="AC16" s="10">
        <v>1</v>
      </c>
      <c r="AD16" s="16" t="s">
        <v>3</v>
      </c>
      <c r="AE16" s="10">
        <v>1</v>
      </c>
      <c r="AF16" s="16" t="s">
        <v>3</v>
      </c>
      <c r="AG16" s="10">
        <v>1</v>
      </c>
      <c r="AH16" s="16" t="s">
        <v>3</v>
      </c>
      <c r="AI16" s="10">
        <v>1</v>
      </c>
      <c r="AJ16" s="16" t="s">
        <v>3</v>
      </c>
      <c r="AK16" s="10">
        <v>1</v>
      </c>
      <c r="AL16" s="16" t="s">
        <v>3</v>
      </c>
      <c r="AM16" s="10">
        <v>1</v>
      </c>
      <c r="AN16" s="16" t="s">
        <v>3</v>
      </c>
      <c r="AO16" s="17">
        <v>1</v>
      </c>
    </row>
    <row r="17" spans="1:41" x14ac:dyDescent="0.2">
      <c r="C17" s="104">
        <f>DCOUNTA(SUPPORTO_punti!$B$1:$AR$166,C13,B15:C16)+DCOUNTA(SUPPORTO_punti!$B$1:$AR$166,C13,B13:C14)</f>
        <v>2</v>
      </c>
      <c r="D17" s="18"/>
      <c r="E17" s="104">
        <f>DCOUNTA(SUPPORTO_punti!$B$1:$AR$166,E13,D15:E16)+DCOUNTA(SUPPORTO_punti!$B$1:$AR$166,E13,D13:E14)</f>
        <v>2</v>
      </c>
      <c r="F17" s="18"/>
      <c r="G17" s="104">
        <f>DCOUNTA(SUPPORTO_punti!$B$1:$AR$166,G13,F15:G16)+DCOUNTA(SUPPORTO_punti!$B$1:$AR$166,G13,F13:G14)</f>
        <v>3</v>
      </c>
      <c r="H17" s="18"/>
      <c r="I17" s="104">
        <f>DCOUNTA(SUPPORTO_punti!$B$1:$AR$166,I13,H15:I16)+DCOUNTA(SUPPORTO_punti!$B$1:$AR$166,I13,H13:I14)</f>
        <v>4</v>
      </c>
      <c r="J17" s="18"/>
      <c r="K17" s="104">
        <f>DCOUNTA(SUPPORTO_punti!$B$1:$AR$166,K13,J15:K16)+DCOUNTA(SUPPORTO_punti!$B$1:$AR$166,K13,J13:K14)</f>
        <v>0</v>
      </c>
      <c r="L17" s="18"/>
      <c r="M17" s="104">
        <f>DCOUNTA(SUPPORTO_punti!$B$1:$AR$166,M13,L15:M16)+DCOUNTA(SUPPORTO_punti!$B$1:$AR$166,M13,L13:M14)</f>
        <v>1</v>
      </c>
      <c r="N17" s="18"/>
      <c r="O17" s="104">
        <f>DCOUNTA(SUPPORTO_punti!$B$1:$AR$166,O13,N15:O16)+DCOUNTA(SUPPORTO_punti!$B$1:$AR$166,O13,N13:O14)</f>
        <v>4</v>
      </c>
      <c r="P17"/>
      <c r="Q17" s="104">
        <f>DCOUNTA(SUPPORTO_punti!$B$1:$AR$166,Q13,P15:Q16)+DCOUNTA(SUPPORTO_punti!$B$1:$AR$166,Q13,P13:Q14)</f>
        <v>7</v>
      </c>
      <c r="R17"/>
      <c r="S17" s="104">
        <f>DCOUNTA(SUPPORTO_punti!$B$1:$AR$166,S13,R15:S16)+DCOUNTA(SUPPORTO_punti!$B$1:$AR$166,S13,R13:S14)</f>
        <v>7</v>
      </c>
      <c r="T17"/>
      <c r="U17" s="104">
        <f>DCOUNTA(SUPPORTO_punti!$B$1:$AR$166,U13,T15:U16)+DCOUNTA(SUPPORTO_punti!$B$1:$AR$166,U13,T13:U14)</f>
        <v>4</v>
      </c>
      <c r="V17"/>
      <c r="W17" s="104">
        <f>DCOUNTA(SUPPORTO_punti!$B$1:$AR$166,W13,V15:W16)+DCOUNTA(SUPPORTO_punti!$B$1:$AR$166,W13,V13:W14)</f>
        <v>7</v>
      </c>
      <c r="X17"/>
      <c r="Y17" s="104">
        <f>DCOUNTA(SUPPORTO_punti!$B$1:$AR$166,Y13,X15:Y16)+DCOUNTA(SUPPORTO_punti!$B$1:$AR$166,Y13,X13:Y14)</f>
        <v>0</v>
      </c>
      <c r="Z17"/>
      <c r="AA17" s="104">
        <f>DCOUNTA(SUPPORTO_punti!$B$1:$AR$166,AA13,Z15:AA16)+DCOUNTA(SUPPORTO_punti!$B$1:$AR$166,AA13,Z13:AA14)</f>
        <v>0</v>
      </c>
      <c r="AB17"/>
      <c r="AC17" s="104">
        <f>DCOUNTA(SUPPORTO_punti!$B$1:$AR$166,AC13,AB15:AC16)+DCOUNTA(SUPPORTO_punti!$B$1:$AR$166,AC13,AB13:AC14)</f>
        <v>0</v>
      </c>
      <c r="AD17"/>
      <c r="AE17" s="104">
        <f>DCOUNTA(SUPPORTO_punti!$B$1:$AR$166,AE13,AD15:AE16)+DCOUNTA(SUPPORTO_punti!$B$1:$AR$166,AE13,AD13:AE14)</f>
        <v>0</v>
      </c>
      <c r="AF17"/>
      <c r="AG17" s="104">
        <f>DCOUNTA(SUPPORTO_punti!$B$1:$AR$166,AG13,AF15:AG16)+DCOUNTA(SUPPORTO_punti!$B$1:$AR$166,AG13,AF13:AG14)</f>
        <v>0</v>
      </c>
      <c r="AH17"/>
      <c r="AI17" s="104">
        <f>DCOUNTA(SUPPORTO_punti!$B$1:$AR$166,AI13,AH15:AI16)+DCOUNTA(SUPPORTO_punti!$B$1:$AR$166,AI13,AH13:AI14)</f>
        <v>0</v>
      </c>
      <c r="AJ17"/>
      <c r="AK17" s="104">
        <f>DCOUNTA(SUPPORTO_punti!$B$1:$AR$166,AK13,AJ15:AK16)+DCOUNTA(SUPPORTO_punti!$B$1:$AR$166,AK13,AJ13:AK14)</f>
        <v>0</v>
      </c>
      <c r="AL17"/>
      <c r="AM17" s="104">
        <f>DCOUNTA(SUPPORTO_punti!$B$1:$AR$166,AM13,AL15:AM16)+DCOUNTA(SUPPORTO_punti!$B$1:$AR$166,AM13,AL13:AM14)</f>
        <v>0</v>
      </c>
      <c r="AN17"/>
      <c r="AO17" s="104">
        <f>DCOUNTA(SUPPORTO_punti!$B$1:$AR$166,AO13,AN15:AO16)+DCOUNTA(SUPPORTO_punti!$B$1:$AR$166,AO13,AN13:AO14)</f>
        <v>0</v>
      </c>
    </row>
    <row r="19" spans="1:41" x14ac:dyDescent="0.2">
      <c r="A19" s="216" t="s">
        <v>0</v>
      </c>
      <c r="B19" s="13" t="s">
        <v>55</v>
      </c>
      <c r="C19" s="14" t="s">
        <v>58</v>
      </c>
      <c r="D19" s="13" t="s">
        <v>55</v>
      </c>
      <c r="E19" s="14" t="s">
        <v>60</v>
      </c>
      <c r="F19" s="13" t="s">
        <v>55</v>
      </c>
      <c r="G19" s="14" t="s">
        <v>141</v>
      </c>
      <c r="H19" s="13" t="s">
        <v>55</v>
      </c>
      <c r="I19" s="14" t="s">
        <v>143</v>
      </c>
      <c r="J19" s="13" t="s">
        <v>55</v>
      </c>
      <c r="K19" s="14" t="s">
        <v>145</v>
      </c>
      <c r="L19" s="13" t="s">
        <v>55</v>
      </c>
      <c r="M19" s="14" t="s">
        <v>147</v>
      </c>
      <c r="N19" s="13" t="s">
        <v>55</v>
      </c>
      <c r="O19" s="14" t="s">
        <v>149</v>
      </c>
      <c r="P19" s="13" t="s">
        <v>55</v>
      </c>
      <c r="Q19" s="14" t="s">
        <v>62</v>
      </c>
      <c r="R19" s="13" t="s">
        <v>55</v>
      </c>
      <c r="S19" s="14" t="s">
        <v>64</v>
      </c>
      <c r="T19" s="13" t="s">
        <v>55</v>
      </c>
      <c r="U19" s="14" t="s">
        <v>66</v>
      </c>
      <c r="V19" s="13" t="s">
        <v>55</v>
      </c>
      <c r="W19" s="14" t="s">
        <v>68</v>
      </c>
      <c r="X19" s="13" t="s">
        <v>55</v>
      </c>
      <c r="Y19" s="14" t="s">
        <v>70</v>
      </c>
      <c r="Z19" s="13" t="s">
        <v>55</v>
      </c>
      <c r="AA19" s="14" t="s">
        <v>72</v>
      </c>
      <c r="AB19" s="13" t="s">
        <v>55</v>
      </c>
      <c r="AC19" s="14" t="s">
        <v>74</v>
      </c>
      <c r="AD19" s="13" t="s">
        <v>55</v>
      </c>
      <c r="AE19" s="14" t="s">
        <v>76</v>
      </c>
      <c r="AF19" s="13" t="s">
        <v>55</v>
      </c>
      <c r="AG19" s="14" t="s">
        <v>78</v>
      </c>
      <c r="AH19" s="13" t="s">
        <v>55</v>
      </c>
      <c r="AI19" s="14" t="s">
        <v>80</v>
      </c>
      <c r="AJ19" s="13" t="s">
        <v>55</v>
      </c>
      <c r="AK19" s="14" t="s">
        <v>82</v>
      </c>
      <c r="AL19" s="13" t="s">
        <v>55</v>
      </c>
      <c r="AM19" s="14" t="s">
        <v>84</v>
      </c>
      <c r="AN19" s="13" t="s">
        <v>55</v>
      </c>
      <c r="AO19" s="15" t="s">
        <v>86</v>
      </c>
    </row>
    <row r="20" spans="1:41" x14ac:dyDescent="0.2">
      <c r="A20" s="216"/>
      <c r="B20" s="16" t="s">
        <v>0</v>
      </c>
      <c r="C20" s="10">
        <v>1</v>
      </c>
      <c r="D20" s="16" t="s">
        <v>0</v>
      </c>
      <c r="E20" s="10">
        <v>1</v>
      </c>
      <c r="F20" s="16" t="s">
        <v>0</v>
      </c>
      <c r="G20" s="10">
        <v>1</v>
      </c>
      <c r="H20" s="16" t="s">
        <v>0</v>
      </c>
      <c r="I20" s="10">
        <v>1</v>
      </c>
      <c r="J20" s="16" t="s">
        <v>0</v>
      </c>
      <c r="K20" s="10">
        <v>1</v>
      </c>
      <c r="L20" s="16" t="s">
        <v>0</v>
      </c>
      <c r="M20" s="10">
        <v>1</v>
      </c>
      <c r="N20" s="16" t="s">
        <v>0</v>
      </c>
      <c r="O20" s="10">
        <v>1</v>
      </c>
      <c r="P20" s="16" t="s">
        <v>0</v>
      </c>
      <c r="Q20" s="10">
        <v>1</v>
      </c>
      <c r="R20" s="16" t="s">
        <v>0</v>
      </c>
      <c r="S20" s="10">
        <v>1</v>
      </c>
      <c r="T20" s="16" t="s">
        <v>0</v>
      </c>
      <c r="U20" s="10">
        <v>1</v>
      </c>
      <c r="V20" s="16" t="s">
        <v>0</v>
      </c>
      <c r="W20" s="10">
        <v>1</v>
      </c>
      <c r="X20" s="16" t="s">
        <v>0</v>
      </c>
      <c r="Y20" s="10">
        <v>1</v>
      </c>
      <c r="Z20" s="16" t="s">
        <v>0</v>
      </c>
      <c r="AA20" s="10">
        <v>1</v>
      </c>
      <c r="AB20" s="16" t="s">
        <v>0</v>
      </c>
      <c r="AC20" s="10">
        <v>1</v>
      </c>
      <c r="AD20" s="16" t="s">
        <v>0</v>
      </c>
      <c r="AE20" s="10">
        <v>1</v>
      </c>
      <c r="AF20" s="16" t="s">
        <v>0</v>
      </c>
      <c r="AG20" s="10">
        <v>1</v>
      </c>
      <c r="AH20" s="16" t="s">
        <v>0</v>
      </c>
      <c r="AI20" s="10">
        <v>1</v>
      </c>
      <c r="AJ20" s="16" t="s">
        <v>0</v>
      </c>
      <c r="AK20" s="10">
        <v>1</v>
      </c>
      <c r="AL20" s="16" t="s">
        <v>0</v>
      </c>
      <c r="AM20" s="10">
        <v>1</v>
      </c>
      <c r="AN20" s="16" t="s">
        <v>0</v>
      </c>
      <c r="AO20" s="17">
        <v>1</v>
      </c>
    </row>
    <row r="21" spans="1:41" x14ac:dyDescent="0.2">
      <c r="A21" s="216"/>
      <c r="B21" s="13" t="s">
        <v>56</v>
      </c>
      <c r="C21" s="14" t="s">
        <v>58</v>
      </c>
      <c r="D21" s="13" t="s">
        <v>56</v>
      </c>
      <c r="E21" s="14" t="s">
        <v>60</v>
      </c>
      <c r="F21" s="13" t="s">
        <v>56</v>
      </c>
      <c r="G21" s="14" t="s">
        <v>141</v>
      </c>
      <c r="H21" s="13" t="s">
        <v>56</v>
      </c>
      <c r="I21" s="14" t="s">
        <v>143</v>
      </c>
      <c r="J21" s="13" t="s">
        <v>56</v>
      </c>
      <c r="K21" s="14" t="s">
        <v>145</v>
      </c>
      <c r="L21" s="13" t="s">
        <v>56</v>
      </c>
      <c r="M21" s="14" t="s">
        <v>147</v>
      </c>
      <c r="N21" s="13" t="s">
        <v>56</v>
      </c>
      <c r="O21" s="14" t="s">
        <v>149</v>
      </c>
      <c r="P21" s="13" t="s">
        <v>56</v>
      </c>
      <c r="Q21" s="14" t="s">
        <v>62</v>
      </c>
      <c r="R21" s="13" t="s">
        <v>56</v>
      </c>
      <c r="S21" s="14" t="s">
        <v>64</v>
      </c>
      <c r="T21" s="13" t="s">
        <v>56</v>
      </c>
      <c r="U21" s="14" t="s">
        <v>66</v>
      </c>
      <c r="V21" s="13" t="s">
        <v>56</v>
      </c>
      <c r="W21" s="14" t="s">
        <v>68</v>
      </c>
      <c r="X21" s="13" t="s">
        <v>56</v>
      </c>
      <c r="Y21" s="14" t="s">
        <v>70</v>
      </c>
      <c r="Z21" s="13" t="s">
        <v>56</v>
      </c>
      <c r="AA21" s="14" t="s">
        <v>72</v>
      </c>
      <c r="AB21" s="13" t="s">
        <v>56</v>
      </c>
      <c r="AC21" s="14" t="s">
        <v>74</v>
      </c>
      <c r="AD21" s="13" t="s">
        <v>56</v>
      </c>
      <c r="AE21" s="14" t="s">
        <v>76</v>
      </c>
      <c r="AF21" s="13" t="s">
        <v>56</v>
      </c>
      <c r="AG21" s="14" t="s">
        <v>78</v>
      </c>
      <c r="AH21" s="13" t="s">
        <v>56</v>
      </c>
      <c r="AI21" s="14" t="s">
        <v>80</v>
      </c>
      <c r="AJ21" s="13" t="s">
        <v>56</v>
      </c>
      <c r="AK21" s="14" t="s">
        <v>82</v>
      </c>
      <c r="AL21" s="13" t="s">
        <v>56</v>
      </c>
      <c r="AM21" s="14" t="s">
        <v>84</v>
      </c>
      <c r="AN21" s="13" t="s">
        <v>56</v>
      </c>
      <c r="AO21" s="15" t="s">
        <v>86</v>
      </c>
    </row>
    <row r="22" spans="1:41" x14ac:dyDescent="0.2">
      <c r="A22" s="216"/>
      <c r="B22" s="16" t="s">
        <v>0</v>
      </c>
      <c r="C22" s="10">
        <v>1</v>
      </c>
      <c r="D22" s="16" t="s">
        <v>0</v>
      </c>
      <c r="E22" s="10">
        <v>1</v>
      </c>
      <c r="F22" s="16" t="s">
        <v>0</v>
      </c>
      <c r="G22" s="10">
        <v>1</v>
      </c>
      <c r="H22" s="16" t="s">
        <v>0</v>
      </c>
      <c r="I22" s="10">
        <v>1</v>
      </c>
      <c r="J22" s="16" t="s">
        <v>0</v>
      </c>
      <c r="K22" s="10">
        <v>1</v>
      </c>
      <c r="L22" s="16" t="s">
        <v>0</v>
      </c>
      <c r="M22" s="10">
        <v>1</v>
      </c>
      <c r="N22" s="16" t="s">
        <v>0</v>
      </c>
      <c r="O22" s="10">
        <v>1</v>
      </c>
      <c r="P22" s="16" t="s">
        <v>0</v>
      </c>
      <c r="Q22" s="10">
        <v>1</v>
      </c>
      <c r="R22" s="16" t="s">
        <v>0</v>
      </c>
      <c r="S22" s="10">
        <v>1</v>
      </c>
      <c r="T22" s="16" t="s">
        <v>0</v>
      </c>
      <c r="U22" s="10">
        <v>1</v>
      </c>
      <c r="V22" s="16" t="s">
        <v>0</v>
      </c>
      <c r="W22" s="10">
        <v>1</v>
      </c>
      <c r="X22" s="16" t="s">
        <v>0</v>
      </c>
      <c r="Y22" s="10">
        <v>1</v>
      </c>
      <c r="Z22" s="16" t="s">
        <v>0</v>
      </c>
      <c r="AA22" s="10">
        <v>1</v>
      </c>
      <c r="AB22" s="16" t="s">
        <v>0</v>
      </c>
      <c r="AC22" s="10">
        <v>1</v>
      </c>
      <c r="AD22" s="16" t="s">
        <v>0</v>
      </c>
      <c r="AE22" s="10">
        <v>1</v>
      </c>
      <c r="AF22" s="16" t="s">
        <v>0</v>
      </c>
      <c r="AG22" s="10">
        <v>1</v>
      </c>
      <c r="AH22" s="16" t="s">
        <v>0</v>
      </c>
      <c r="AI22" s="10">
        <v>1</v>
      </c>
      <c r="AJ22" s="16" t="s">
        <v>0</v>
      </c>
      <c r="AK22" s="10">
        <v>1</v>
      </c>
      <c r="AL22" s="16" t="s">
        <v>0</v>
      </c>
      <c r="AM22" s="10">
        <v>1</v>
      </c>
      <c r="AN22" s="16" t="s">
        <v>0</v>
      </c>
      <c r="AO22" s="17">
        <v>1</v>
      </c>
    </row>
    <row r="23" spans="1:41" x14ac:dyDescent="0.2">
      <c r="C23" s="104">
        <f>DCOUNTA(SUPPORTO_punti!$B$1:$AR$166,C19,B21:C22)+DCOUNTA(SUPPORTO_punti!$B$1:$AR$166,C19,B19:C20)</f>
        <v>3</v>
      </c>
      <c r="D23" s="18"/>
      <c r="E23" s="104">
        <f>DCOUNTA(SUPPORTO_punti!$B$1:$AR$166,E19,D21:E22)+DCOUNTA(SUPPORTO_punti!$B$1:$AR$166,E19,D19:E20)</f>
        <v>7</v>
      </c>
      <c r="F23" s="18"/>
      <c r="G23" s="104">
        <f>DCOUNTA(SUPPORTO_punti!$B$1:$AR$166,G19,F21:G22)+DCOUNTA(SUPPORTO_punti!$B$1:$AR$166,G19,F19:G20)</f>
        <v>7</v>
      </c>
      <c r="H23" s="18"/>
      <c r="I23" s="104">
        <f>DCOUNTA(SUPPORTO_punti!$B$1:$AR$166,I19,H21:I22)+DCOUNTA(SUPPORTO_punti!$B$1:$AR$166,I19,H19:I20)</f>
        <v>9</v>
      </c>
      <c r="J23" s="18"/>
      <c r="K23" s="104">
        <f>DCOUNTA(SUPPORTO_punti!$B$1:$AR$166,K19,J21:K22)+DCOUNTA(SUPPORTO_punti!$B$1:$AR$166,K19,J19:K20)</f>
        <v>4</v>
      </c>
      <c r="L23" s="18"/>
      <c r="M23" s="104">
        <f>DCOUNTA(SUPPORTO_punti!$B$1:$AR$166,M19,L21:M22)+DCOUNTA(SUPPORTO_punti!$B$1:$AR$166,M19,L19:M20)</f>
        <v>4</v>
      </c>
      <c r="N23" s="18"/>
      <c r="O23" s="104">
        <f>DCOUNTA(SUPPORTO_punti!$B$1:$AR$166,O19,N21:O22)+DCOUNTA(SUPPORTO_punti!$B$1:$AR$166,O19,N19:O20)</f>
        <v>3</v>
      </c>
      <c r="P23"/>
      <c r="Q23" s="104">
        <f>DCOUNTA(SUPPORTO_punti!$B$1:$AR$166,Q19,P21:Q22)+DCOUNTA(SUPPORTO_punti!$B$1:$AR$166,Q19,P19:Q20)</f>
        <v>4</v>
      </c>
      <c r="R23"/>
      <c r="S23" s="104">
        <f>DCOUNTA(SUPPORTO_punti!$B$1:$AR$166,S19,R21:S22)+DCOUNTA(SUPPORTO_punti!$B$1:$AR$166,S19,R19:S20)</f>
        <v>3</v>
      </c>
      <c r="T23"/>
      <c r="U23" s="104">
        <f>DCOUNTA(SUPPORTO_punti!$B$1:$AR$166,U19,T21:U22)+DCOUNTA(SUPPORTO_punti!$B$1:$AR$166,U19,T19:U20)</f>
        <v>10</v>
      </c>
      <c r="V23"/>
      <c r="W23" s="104">
        <f>DCOUNTA(SUPPORTO_punti!$B$1:$AR$166,W19,V21:W22)+DCOUNTA(SUPPORTO_punti!$B$1:$AR$166,W19,V19:W20)</f>
        <v>10</v>
      </c>
      <c r="X23"/>
      <c r="Y23" s="104">
        <f>DCOUNTA(SUPPORTO_punti!$B$1:$AR$166,Y19,X21:Y22)+DCOUNTA(SUPPORTO_punti!$B$1:$AR$166,Y19,X19:Y20)</f>
        <v>0</v>
      </c>
      <c r="Z23"/>
      <c r="AA23" s="104">
        <f>DCOUNTA(SUPPORTO_punti!$B$1:$AR$166,AA19,Z21:AA22)+DCOUNTA(SUPPORTO_punti!$B$1:$AR$166,AA19,Z19:AA20)</f>
        <v>0</v>
      </c>
      <c r="AB23"/>
      <c r="AC23" s="104">
        <f>DCOUNTA(SUPPORTO_punti!$B$1:$AR$166,AC19,AB21:AC22)+DCOUNTA(SUPPORTO_punti!$B$1:$AR$166,AC19,AB19:AC20)</f>
        <v>0</v>
      </c>
      <c r="AD23"/>
      <c r="AE23" s="104">
        <f>DCOUNTA(SUPPORTO_punti!$B$1:$AR$166,AE19,AD21:AE22)+DCOUNTA(SUPPORTO_punti!$B$1:$AR$166,AE19,AD19:AE20)</f>
        <v>0</v>
      </c>
      <c r="AF23"/>
      <c r="AG23" s="104">
        <f>DCOUNTA(SUPPORTO_punti!$B$1:$AR$166,AG19,AF21:AG22)+DCOUNTA(SUPPORTO_punti!$B$1:$AR$166,AG19,AF19:AG20)</f>
        <v>0</v>
      </c>
      <c r="AH23"/>
      <c r="AI23" s="104">
        <f>DCOUNTA(SUPPORTO_punti!$B$1:$AR$166,AI19,AH21:AI22)+DCOUNTA(SUPPORTO_punti!$B$1:$AR$166,AI19,AH19:AI20)</f>
        <v>0</v>
      </c>
      <c r="AJ23"/>
      <c r="AK23" s="104">
        <f>DCOUNTA(SUPPORTO_punti!$B$1:$AR$166,AK19,AJ21:AK22)+DCOUNTA(SUPPORTO_punti!$B$1:$AR$166,AK19,AJ19:AK20)</f>
        <v>0</v>
      </c>
      <c r="AL23"/>
      <c r="AM23" s="104">
        <f>DCOUNTA(SUPPORTO_punti!$B$1:$AR$166,AM19,AL21:AM22)+DCOUNTA(SUPPORTO_punti!$B$1:$AR$166,AM19,AL19:AM20)</f>
        <v>0</v>
      </c>
      <c r="AN23"/>
      <c r="AO23" s="104">
        <f>DCOUNTA(SUPPORTO_punti!$B$1:$AR$166,AO19,AN21:AO22)+DCOUNTA(SUPPORTO_punti!$B$1:$AR$166,AO19,AN19:AO20)</f>
        <v>0</v>
      </c>
    </row>
    <row r="25" spans="1:41" x14ac:dyDescent="0.2">
      <c r="A25" s="216" t="s">
        <v>4</v>
      </c>
      <c r="B25" s="13" t="s">
        <v>55</v>
      </c>
      <c r="C25" s="14" t="s">
        <v>58</v>
      </c>
      <c r="D25" s="13" t="s">
        <v>55</v>
      </c>
      <c r="E25" s="14" t="s">
        <v>60</v>
      </c>
      <c r="F25" s="13" t="s">
        <v>55</v>
      </c>
      <c r="G25" s="14" t="s">
        <v>141</v>
      </c>
      <c r="H25" s="13" t="s">
        <v>55</v>
      </c>
      <c r="I25" s="14" t="s">
        <v>143</v>
      </c>
      <c r="J25" s="13" t="s">
        <v>55</v>
      </c>
      <c r="K25" s="14" t="s">
        <v>145</v>
      </c>
      <c r="L25" s="13" t="s">
        <v>55</v>
      </c>
      <c r="M25" s="14" t="s">
        <v>147</v>
      </c>
      <c r="N25" s="13" t="s">
        <v>55</v>
      </c>
      <c r="O25" s="14" t="s">
        <v>149</v>
      </c>
      <c r="P25" s="13" t="s">
        <v>55</v>
      </c>
      <c r="Q25" s="14" t="s">
        <v>62</v>
      </c>
      <c r="R25" s="13" t="s">
        <v>55</v>
      </c>
      <c r="S25" s="14" t="s">
        <v>64</v>
      </c>
      <c r="T25" s="13" t="s">
        <v>55</v>
      </c>
      <c r="U25" s="14" t="s">
        <v>66</v>
      </c>
      <c r="V25" s="13" t="s">
        <v>55</v>
      </c>
      <c r="W25" s="14" t="s">
        <v>68</v>
      </c>
      <c r="X25" s="13" t="s">
        <v>55</v>
      </c>
      <c r="Y25" s="14" t="s">
        <v>70</v>
      </c>
      <c r="Z25" s="13" t="s">
        <v>55</v>
      </c>
      <c r="AA25" s="14" t="s">
        <v>72</v>
      </c>
      <c r="AB25" s="13" t="s">
        <v>55</v>
      </c>
      <c r="AC25" s="14" t="s">
        <v>74</v>
      </c>
      <c r="AD25" s="13" t="s">
        <v>55</v>
      </c>
      <c r="AE25" s="14" t="s">
        <v>76</v>
      </c>
      <c r="AF25" s="13" t="s">
        <v>55</v>
      </c>
      <c r="AG25" s="14" t="s">
        <v>78</v>
      </c>
      <c r="AH25" s="13" t="s">
        <v>55</v>
      </c>
      <c r="AI25" s="14" t="s">
        <v>80</v>
      </c>
      <c r="AJ25" s="13" t="s">
        <v>55</v>
      </c>
      <c r="AK25" s="14" t="s">
        <v>82</v>
      </c>
      <c r="AL25" s="13" t="s">
        <v>55</v>
      </c>
      <c r="AM25" s="14" t="s">
        <v>84</v>
      </c>
      <c r="AN25" s="13" t="s">
        <v>55</v>
      </c>
      <c r="AO25" s="15" t="s">
        <v>86</v>
      </c>
    </row>
    <row r="26" spans="1:41" x14ac:dyDescent="0.2">
      <c r="A26" s="216"/>
      <c r="B26" s="16" t="s">
        <v>4</v>
      </c>
      <c r="C26" s="10">
        <v>1</v>
      </c>
      <c r="D26" s="16" t="s">
        <v>4</v>
      </c>
      <c r="E26" s="10">
        <v>1</v>
      </c>
      <c r="F26" s="16" t="s">
        <v>4</v>
      </c>
      <c r="G26" s="10">
        <v>1</v>
      </c>
      <c r="H26" s="16" t="s">
        <v>4</v>
      </c>
      <c r="I26" s="10">
        <v>1</v>
      </c>
      <c r="J26" s="16" t="s">
        <v>4</v>
      </c>
      <c r="K26" s="10">
        <v>1</v>
      </c>
      <c r="L26" s="16" t="s">
        <v>4</v>
      </c>
      <c r="M26" s="10">
        <v>1</v>
      </c>
      <c r="N26" s="16" t="s">
        <v>4</v>
      </c>
      <c r="O26" s="10">
        <v>1</v>
      </c>
      <c r="P26" s="16" t="s">
        <v>4</v>
      </c>
      <c r="Q26" s="10">
        <v>1</v>
      </c>
      <c r="R26" s="16" t="s">
        <v>4</v>
      </c>
      <c r="S26" s="10">
        <v>1</v>
      </c>
      <c r="T26" s="16" t="s">
        <v>4</v>
      </c>
      <c r="U26" s="10">
        <v>1</v>
      </c>
      <c r="V26" s="16" t="s">
        <v>4</v>
      </c>
      <c r="W26" s="10">
        <v>1</v>
      </c>
      <c r="X26" s="16" t="s">
        <v>4</v>
      </c>
      <c r="Y26" s="10">
        <v>1</v>
      </c>
      <c r="Z26" s="16" t="s">
        <v>4</v>
      </c>
      <c r="AA26" s="10">
        <v>1</v>
      </c>
      <c r="AB26" s="16" t="s">
        <v>4</v>
      </c>
      <c r="AC26" s="10">
        <v>1</v>
      </c>
      <c r="AD26" s="16" t="s">
        <v>4</v>
      </c>
      <c r="AE26" s="10">
        <v>1</v>
      </c>
      <c r="AF26" s="16" t="s">
        <v>4</v>
      </c>
      <c r="AG26" s="10">
        <v>1</v>
      </c>
      <c r="AH26" s="16" t="s">
        <v>4</v>
      </c>
      <c r="AI26" s="10">
        <v>1</v>
      </c>
      <c r="AJ26" s="16" t="s">
        <v>4</v>
      </c>
      <c r="AK26" s="10">
        <v>1</v>
      </c>
      <c r="AL26" s="16" t="s">
        <v>4</v>
      </c>
      <c r="AM26" s="10">
        <v>1</v>
      </c>
      <c r="AN26" s="16" t="s">
        <v>4</v>
      </c>
      <c r="AO26" s="17">
        <v>1</v>
      </c>
    </row>
    <row r="27" spans="1:41" x14ac:dyDescent="0.2">
      <c r="A27" s="216"/>
      <c r="B27" s="13" t="s">
        <v>56</v>
      </c>
      <c r="C27" s="14" t="s">
        <v>58</v>
      </c>
      <c r="D27" s="13" t="s">
        <v>56</v>
      </c>
      <c r="E27" s="14" t="s">
        <v>60</v>
      </c>
      <c r="F27" s="13" t="s">
        <v>56</v>
      </c>
      <c r="G27" s="14" t="s">
        <v>141</v>
      </c>
      <c r="H27" s="13" t="s">
        <v>56</v>
      </c>
      <c r="I27" s="14" t="s">
        <v>143</v>
      </c>
      <c r="J27" s="13" t="s">
        <v>56</v>
      </c>
      <c r="K27" s="14" t="s">
        <v>145</v>
      </c>
      <c r="L27" s="13" t="s">
        <v>56</v>
      </c>
      <c r="M27" s="14" t="s">
        <v>147</v>
      </c>
      <c r="N27" s="13" t="s">
        <v>56</v>
      </c>
      <c r="O27" s="14" t="s">
        <v>149</v>
      </c>
      <c r="P27" s="13" t="s">
        <v>56</v>
      </c>
      <c r="Q27" s="14" t="s">
        <v>62</v>
      </c>
      <c r="R27" s="13" t="s">
        <v>56</v>
      </c>
      <c r="S27" s="14" t="s">
        <v>64</v>
      </c>
      <c r="T27" s="13" t="s">
        <v>56</v>
      </c>
      <c r="U27" s="14" t="s">
        <v>66</v>
      </c>
      <c r="V27" s="13" t="s">
        <v>56</v>
      </c>
      <c r="W27" s="14" t="s">
        <v>68</v>
      </c>
      <c r="X27" s="13" t="s">
        <v>56</v>
      </c>
      <c r="Y27" s="14" t="s">
        <v>70</v>
      </c>
      <c r="Z27" s="13" t="s">
        <v>56</v>
      </c>
      <c r="AA27" s="14" t="s">
        <v>72</v>
      </c>
      <c r="AB27" s="13" t="s">
        <v>56</v>
      </c>
      <c r="AC27" s="14" t="s">
        <v>74</v>
      </c>
      <c r="AD27" s="13" t="s">
        <v>56</v>
      </c>
      <c r="AE27" s="14" t="s">
        <v>76</v>
      </c>
      <c r="AF27" s="13" t="s">
        <v>56</v>
      </c>
      <c r="AG27" s="14" t="s">
        <v>78</v>
      </c>
      <c r="AH27" s="13" t="s">
        <v>56</v>
      </c>
      <c r="AI27" s="14" t="s">
        <v>80</v>
      </c>
      <c r="AJ27" s="13" t="s">
        <v>56</v>
      </c>
      <c r="AK27" s="14" t="s">
        <v>82</v>
      </c>
      <c r="AL27" s="13" t="s">
        <v>56</v>
      </c>
      <c r="AM27" s="14" t="s">
        <v>84</v>
      </c>
      <c r="AN27" s="13" t="s">
        <v>56</v>
      </c>
      <c r="AO27" s="15" t="s">
        <v>86</v>
      </c>
    </row>
    <row r="28" spans="1:41" x14ac:dyDescent="0.2">
      <c r="A28" s="216"/>
      <c r="B28" s="16" t="s">
        <v>4</v>
      </c>
      <c r="C28" s="10">
        <v>1</v>
      </c>
      <c r="D28" s="16" t="s">
        <v>4</v>
      </c>
      <c r="E28" s="10">
        <v>1</v>
      </c>
      <c r="F28" s="16" t="s">
        <v>4</v>
      </c>
      <c r="G28" s="10">
        <v>1</v>
      </c>
      <c r="H28" s="16" t="s">
        <v>4</v>
      </c>
      <c r="I28" s="10">
        <v>1</v>
      </c>
      <c r="J28" s="16" t="s">
        <v>4</v>
      </c>
      <c r="K28" s="10">
        <v>1</v>
      </c>
      <c r="L28" s="16" t="s">
        <v>4</v>
      </c>
      <c r="M28" s="10">
        <v>1</v>
      </c>
      <c r="N28" s="16" t="s">
        <v>4</v>
      </c>
      <c r="O28" s="10">
        <v>1</v>
      </c>
      <c r="P28" s="16" t="s">
        <v>4</v>
      </c>
      <c r="Q28" s="10">
        <v>1</v>
      </c>
      <c r="R28" s="16" t="s">
        <v>4</v>
      </c>
      <c r="S28" s="10">
        <v>1</v>
      </c>
      <c r="T28" s="16" t="s">
        <v>4</v>
      </c>
      <c r="U28" s="10">
        <v>1</v>
      </c>
      <c r="V28" s="16" t="s">
        <v>4</v>
      </c>
      <c r="W28" s="10">
        <v>1</v>
      </c>
      <c r="X28" s="16" t="s">
        <v>4</v>
      </c>
      <c r="Y28" s="10">
        <v>1</v>
      </c>
      <c r="Z28" s="16" t="s">
        <v>4</v>
      </c>
      <c r="AA28" s="10">
        <v>1</v>
      </c>
      <c r="AB28" s="16" t="s">
        <v>4</v>
      </c>
      <c r="AC28" s="10">
        <v>1</v>
      </c>
      <c r="AD28" s="16" t="s">
        <v>4</v>
      </c>
      <c r="AE28" s="10">
        <v>1</v>
      </c>
      <c r="AF28" s="16" t="s">
        <v>4</v>
      </c>
      <c r="AG28" s="10">
        <v>1</v>
      </c>
      <c r="AH28" s="16" t="s">
        <v>4</v>
      </c>
      <c r="AI28" s="10">
        <v>1</v>
      </c>
      <c r="AJ28" s="16" t="s">
        <v>4</v>
      </c>
      <c r="AK28" s="10">
        <v>1</v>
      </c>
      <c r="AL28" s="16" t="s">
        <v>4</v>
      </c>
      <c r="AM28" s="10">
        <v>1</v>
      </c>
      <c r="AN28" s="16" t="s">
        <v>4</v>
      </c>
      <c r="AO28" s="17">
        <v>1</v>
      </c>
    </row>
    <row r="29" spans="1:41" x14ac:dyDescent="0.2">
      <c r="C29" s="104">
        <f>DCOUNTA(SUPPORTO_punti!$B$1:$AR$166,C25,B27:C28)+DCOUNTA(SUPPORTO_punti!$B$1:$AR$166,C25,B25:C26)</f>
        <v>9</v>
      </c>
      <c r="D29" s="18"/>
      <c r="E29" s="104">
        <f>DCOUNTA(SUPPORTO_punti!$B$1:$AR$166,E25,D27:E28)+DCOUNTA(SUPPORTO_punti!$B$1:$AR$166,E25,D25:E26)</f>
        <v>5</v>
      </c>
      <c r="F29" s="18"/>
      <c r="G29" s="104">
        <f>DCOUNTA(SUPPORTO_punti!$B$1:$AR$166,G25,F27:G28)+DCOUNTA(SUPPORTO_punti!$B$1:$AR$166,G25,F25:G26)</f>
        <v>6</v>
      </c>
      <c r="H29" s="18"/>
      <c r="I29" s="104">
        <f>DCOUNTA(SUPPORTO_punti!$B$1:$AR$166,I25,H27:I28)+DCOUNTA(SUPPORTO_punti!$B$1:$AR$166,I25,H25:I26)</f>
        <v>5</v>
      </c>
      <c r="J29" s="18"/>
      <c r="K29" s="104">
        <f>DCOUNTA(SUPPORTO_punti!$B$1:$AR$166,K25,J27:K28)+DCOUNTA(SUPPORTO_punti!$B$1:$AR$166,K25,J25:K26)</f>
        <v>3</v>
      </c>
      <c r="L29" s="18"/>
      <c r="M29" s="104">
        <f>DCOUNTA(SUPPORTO_punti!$B$1:$AR$166,M25,L27:M28)+DCOUNTA(SUPPORTO_punti!$B$1:$AR$166,M25,L25:M26)</f>
        <v>5</v>
      </c>
      <c r="N29" s="18"/>
      <c r="O29" s="104">
        <f>DCOUNTA(SUPPORTO_punti!$B$1:$AR$166,O25,N27:O28)+DCOUNTA(SUPPORTO_punti!$B$1:$AR$166,O25,N25:O26)</f>
        <v>1</v>
      </c>
      <c r="P29"/>
      <c r="Q29" s="104">
        <f>DCOUNTA(SUPPORTO_punti!$B$1:$AR$166,Q25,P27:Q28)+DCOUNTA(SUPPORTO_punti!$B$1:$AR$166,Q25,P25:Q26)</f>
        <v>6</v>
      </c>
      <c r="R29"/>
      <c r="S29" s="104">
        <f>DCOUNTA(SUPPORTO_punti!$B$1:$AR$166,S25,R27:S28)+DCOUNTA(SUPPORTO_punti!$B$1:$AR$166,S25,R25:S26)</f>
        <v>7</v>
      </c>
      <c r="T29"/>
      <c r="U29" s="104">
        <f>DCOUNTA(SUPPORTO_punti!$B$1:$AR$166,U25,T27:U28)+DCOUNTA(SUPPORTO_punti!$B$1:$AR$166,U25,T25:U26)</f>
        <v>10</v>
      </c>
      <c r="V29"/>
      <c r="W29" s="104">
        <f>DCOUNTA(SUPPORTO_punti!$B$1:$AR$166,W25,V27:W28)+DCOUNTA(SUPPORTO_punti!$B$1:$AR$166,W25,V25:W26)</f>
        <v>8</v>
      </c>
      <c r="X29"/>
      <c r="Y29" s="104">
        <f>DCOUNTA(SUPPORTO_punti!$B$1:$AR$166,Y25,X27:Y28)+DCOUNTA(SUPPORTO_punti!$B$1:$AR$166,Y25,X25:Y26)</f>
        <v>0</v>
      </c>
      <c r="Z29"/>
      <c r="AA29" s="104">
        <f>DCOUNTA(SUPPORTO_punti!$B$1:$AR$166,AA25,Z27:AA28)+DCOUNTA(SUPPORTO_punti!$B$1:$AR$166,AA25,Z25:AA26)</f>
        <v>0</v>
      </c>
      <c r="AB29"/>
      <c r="AC29" s="104">
        <f>DCOUNTA(SUPPORTO_punti!$B$1:$AR$166,AC25,AB27:AC28)+DCOUNTA(SUPPORTO_punti!$B$1:$AR$166,AC25,AB25:AC26)</f>
        <v>0</v>
      </c>
      <c r="AD29"/>
      <c r="AE29" s="104">
        <f>DCOUNTA(SUPPORTO_punti!$B$1:$AR$166,AE25,AD27:AE28)+DCOUNTA(SUPPORTO_punti!$B$1:$AR$166,AE25,AD25:AE26)</f>
        <v>0</v>
      </c>
      <c r="AF29"/>
      <c r="AG29" s="104">
        <f>DCOUNTA(SUPPORTO_punti!$B$1:$AR$166,AG25,AF27:AG28)+DCOUNTA(SUPPORTO_punti!$B$1:$AR$166,AG25,AF25:AG26)</f>
        <v>0</v>
      </c>
      <c r="AH29"/>
      <c r="AI29" s="104">
        <f>DCOUNTA(SUPPORTO_punti!$B$1:$AR$166,AI25,AH27:AI28)+DCOUNTA(SUPPORTO_punti!$B$1:$AR$166,AI25,AH25:AI26)</f>
        <v>0</v>
      </c>
      <c r="AJ29"/>
      <c r="AK29" s="104">
        <f>DCOUNTA(SUPPORTO_punti!$B$1:$AR$166,AK25,AJ27:AK28)+DCOUNTA(SUPPORTO_punti!$B$1:$AR$166,AK25,AJ25:AK26)</f>
        <v>0</v>
      </c>
      <c r="AL29"/>
      <c r="AM29" s="104">
        <f>DCOUNTA(SUPPORTO_punti!$B$1:$AR$166,AM25,AL27:AM28)+DCOUNTA(SUPPORTO_punti!$B$1:$AR$166,AM25,AL25:AM26)</f>
        <v>0</v>
      </c>
      <c r="AN29"/>
      <c r="AO29" s="104">
        <f>DCOUNTA(SUPPORTO_punti!$B$1:$AR$166,AO25,AN27:AO28)+DCOUNTA(SUPPORTO_punti!$B$1:$AR$166,AO25,AN25:AO26)</f>
        <v>0</v>
      </c>
    </row>
    <row r="31" spans="1:41" x14ac:dyDescent="0.2">
      <c r="A31" s="216" t="s">
        <v>5</v>
      </c>
      <c r="B31" s="13" t="s">
        <v>55</v>
      </c>
      <c r="C31" s="14" t="s">
        <v>58</v>
      </c>
      <c r="D31" s="13" t="s">
        <v>55</v>
      </c>
      <c r="E31" s="14" t="s">
        <v>60</v>
      </c>
      <c r="F31" s="13" t="s">
        <v>55</v>
      </c>
      <c r="G31" s="14" t="s">
        <v>141</v>
      </c>
      <c r="H31" s="13" t="s">
        <v>55</v>
      </c>
      <c r="I31" s="14" t="s">
        <v>143</v>
      </c>
      <c r="J31" s="13" t="s">
        <v>55</v>
      </c>
      <c r="K31" s="14" t="s">
        <v>145</v>
      </c>
      <c r="L31" s="13" t="s">
        <v>55</v>
      </c>
      <c r="M31" s="14" t="s">
        <v>147</v>
      </c>
      <c r="N31" s="13" t="s">
        <v>55</v>
      </c>
      <c r="O31" s="14" t="s">
        <v>149</v>
      </c>
      <c r="P31" s="13" t="s">
        <v>55</v>
      </c>
      <c r="Q31" s="14" t="s">
        <v>62</v>
      </c>
      <c r="R31" s="13" t="s">
        <v>55</v>
      </c>
      <c r="S31" s="14" t="s">
        <v>64</v>
      </c>
      <c r="T31" s="13" t="s">
        <v>55</v>
      </c>
      <c r="U31" s="14" t="s">
        <v>66</v>
      </c>
      <c r="V31" s="13" t="s">
        <v>55</v>
      </c>
      <c r="W31" s="14" t="s">
        <v>68</v>
      </c>
      <c r="X31" s="13" t="s">
        <v>55</v>
      </c>
      <c r="Y31" s="14" t="s">
        <v>70</v>
      </c>
      <c r="Z31" s="13" t="s">
        <v>55</v>
      </c>
      <c r="AA31" s="14" t="s">
        <v>72</v>
      </c>
      <c r="AB31" s="13" t="s">
        <v>55</v>
      </c>
      <c r="AC31" s="14" t="s">
        <v>74</v>
      </c>
      <c r="AD31" s="13" t="s">
        <v>55</v>
      </c>
      <c r="AE31" s="14" t="s">
        <v>76</v>
      </c>
      <c r="AF31" s="13" t="s">
        <v>55</v>
      </c>
      <c r="AG31" s="14" t="s">
        <v>78</v>
      </c>
      <c r="AH31" s="13" t="s">
        <v>55</v>
      </c>
      <c r="AI31" s="14" t="s">
        <v>80</v>
      </c>
      <c r="AJ31" s="13" t="s">
        <v>55</v>
      </c>
      <c r="AK31" s="14" t="s">
        <v>82</v>
      </c>
      <c r="AL31" s="13" t="s">
        <v>55</v>
      </c>
      <c r="AM31" s="14" t="s">
        <v>84</v>
      </c>
      <c r="AN31" s="13" t="s">
        <v>55</v>
      </c>
      <c r="AO31" s="15" t="s">
        <v>86</v>
      </c>
    </row>
    <row r="32" spans="1:41" x14ac:dyDescent="0.2">
      <c r="A32" s="216"/>
      <c r="B32" s="16" t="s">
        <v>5</v>
      </c>
      <c r="C32" s="10">
        <v>1</v>
      </c>
      <c r="D32" s="16" t="s">
        <v>5</v>
      </c>
      <c r="E32" s="10">
        <v>1</v>
      </c>
      <c r="F32" s="16" t="s">
        <v>5</v>
      </c>
      <c r="G32" s="10">
        <v>1</v>
      </c>
      <c r="H32" s="16" t="s">
        <v>5</v>
      </c>
      <c r="I32" s="10">
        <v>1</v>
      </c>
      <c r="J32" s="16" t="s">
        <v>5</v>
      </c>
      <c r="K32" s="10">
        <v>1</v>
      </c>
      <c r="L32" s="16" t="s">
        <v>5</v>
      </c>
      <c r="M32" s="10">
        <v>1</v>
      </c>
      <c r="N32" s="16" t="s">
        <v>5</v>
      </c>
      <c r="O32" s="10">
        <v>1</v>
      </c>
      <c r="P32" s="16" t="s">
        <v>5</v>
      </c>
      <c r="Q32" s="10">
        <v>1</v>
      </c>
      <c r="R32" s="16" t="s">
        <v>5</v>
      </c>
      <c r="S32" s="10">
        <v>1</v>
      </c>
      <c r="T32" s="16" t="s">
        <v>5</v>
      </c>
      <c r="U32" s="10">
        <v>1</v>
      </c>
      <c r="V32" s="16" t="s">
        <v>5</v>
      </c>
      <c r="W32" s="10">
        <v>1</v>
      </c>
      <c r="X32" s="16" t="s">
        <v>5</v>
      </c>
      <c r="Y32" s="10">
        <v>1</v>
      </c>
      <c r="Z32" s="16" t="s">
        <v>5</v>
      </c>
      <c r="AA32" s="10">
        <v>1</v>
      </c>
      <c r="AB32" s="16" t="s">
        <v>5</v>
      </c>
      <c r="AC32" s="10">
        <v>1</v>
      </c>
      <c r="AD32" s="16" t="s">
        <v>5</v>
      </c>
      <c r="AE32" s="10">
        <v>1</v>
      </c>
      <c r="AF32" s="16" t="s">
        <v>5</v>
      </c>
      <c r="AG32" s="10">
        <v>1</v>
      </c>
      <c r="AH32" s="16" t="s">
        <v>5</v>
      </c>
      <c r="AI32" s="10">
        <v>1</v>
      </c>
      <c r="AJ32" s="16" t="s">
        <v>5</v>
      </c>
      <c r="AK32" s="10">
        <v>1</v>
      </c>
      <c r="AL32" s="16" t="s">
        <v>5</v>
      </c>
      <c r="AM32" s="10">
        <v>1</v>
      </c>
      <c r="AN32" s="16" t="s">
        <v>5</v>
      </c>
      <c r="AO32" s="17">
        <v>1</v>
      </c>
    </row>
    <row r="33" spans="1:41" x14ac:dyDescent="0.2">
      <c r="A33" s="216"/>
      <c r="B33" s="13" t="s">
        <v>56</v>
      </c>
      <c r="C33" s="14" t="s">
        <v>58</v>
      </c>
      <c r="D33" s="13" t="s">
        <v>56</v>
      </c>
      <c r="E33" s="14" t="s">
        <v>60</v>
      </c>
      <c r="F33" s="13" t="s">
        <v>56</v>
      </c>
      <c r="G33" s="14" t="s">
        <v>141</v>
      </c>
      <c r="H33" s="13" t="s">
        <v>56</v>
      </c>
      <c r="I33" s="14" t="s">
        <v>143</v>
      </c>
      <c r="J33" s="13" t="s">
        <v>56</v>
      </c>
      <c r="K33" s="14" t="s">
        <v>145</v>
      </c>
      <c r="L33" s="13" t="s">
        <v>56</v>
      </c>
      <c r="M33" s="14" t="s">
        <v>147</v>
      </c>
      <c r="N33" s="13" t="s">
        <v>56</v>
      </c>
      <c r="O33" s="14" t="s">
        <v>149</v>
      </c>
      <c r="P33" s="13" t="s">
        <v>56</v>
      </c>
      <c r="Q33" s="14" t="s">
        <v>62</v>
      </c>
      <c r="R33" s="13" t="s">
        <v>56</v>
      </c>
      <c r="S33" s="14" t="s">
        <v>64</v>
      </c>
      <c r="T33" s="13" t="s">
        <v>56</v>
      </c>
      <c r="U33" s="14" t="s">
        <v>66</v>
      </c>
      <c r="V33" s="13" t="s">
        <v>56</v>
      </c>
      <c r="W33" s="14" t="s">
        <v>68</v>
      </c>
      <c r="X33" s="13" t="s">
        <v>56</v>
      </c>
      <c r="Y33" s="14" t="s">
        <v>70</v>
      </c>
      <c r="Z33" s="13" t="s">
        <v>56</v>
      </c>
      <c r="AA33" s="14" t="s">
        <v>72</v>
      </c>
      <c r="AB33" s="13" t="s">
        <v>56</v>
      </c>
      <c r="AC33" s="14" t="s">
        <v>74</v>
      </c>
      <c r="AD33" s="13" t="s">
        <v>56</v>
      </c>
      <c r="AE33" s="14" t="s">
        <v>76</v>
      </c>
      <c r="AF33" s="13" t="s">
        <v>56</v>
      </c>
      <c r="AG33" s="14" t="s">
        <v>78</v>
      </c>
      <c r="AH33" s="13" t="s">
        <v>56</v>
      </c>
      <c r="AI33" s="14" t="s">
        <v>80</v>
      </c>
      <c r="AJ33" s="13" t="s">
        <v>56</v>
      </c>
      <c r="AK33" s="14" t="s">
        <v>82</v>
      </c>
      <c r="AL33" s="13" t="s">
        <v>56</v>
      </c>
      <c r="AM33" s="14" t="s">
        <v>84</v>
      </c>
      <c r="AN33" s="13" t="s">
        <v>56</v>
      </c>
      <c r="AO33" s="15" t="s">
        <v>86</v>
      </c>
    </row>
    <row r="34" spans="1:41" x14ac:dyDescent="0.2">
      <c r="A34" s="216"/>
      <c r="B34" s="16" t="s">
        <v>5</v>
      </c>
      <c r="C34" s="10">
        <v>1</v>
      </c>
      <c r="D34" s="16" t="s">
        <v>5</v>
      </c>
      <c r="E34" s="10">
        <v>1</v>
      </c>
      <c r="F34" s="16" t="s">
        <v>5</v>
      </c>
      <c r="G34" s="10">
        <v>1</v>
      </c>
      <c r="H34" s="16" t="s">
        <v>5</v>
      </c>
      <c r="I34" s="10">
        <v>1</v>
      </c>
      <c r="J34" s="16" t="s">
        <v>5</v>
      </c>
      <c r="K34" s="10">
        <v>1</v>
      </c>
      <c r="L34" s="16" t="s">
        <v>5</v>
      </c>
      <c r="M34" s="10">
        <v>1</v>
      </c>
      <c r="N34" s="16" t="s">
        <v>5</v>
      </c>
      <c r="O34" s="10">
        <v>1</v>
      </c>
      <c r="P34" s="16" t="s">
        <v>5</v>
      </c>
      <c r="Q34" s="10">
        <v>1</v>
      </c>
      <c r="R34" s="16" t="s">
        <v>5</v>
      </c>
      <c r="S34" s="10">
        <v>1</v>
      </c>
      <c r="T34" s="16" t="s">
        <v>5</v>
      </c>
      <c r="U34" s="10">
        <v>1</v>
      </c>
      <c r="V34" s="16" t="s">
        <v>5</v>
      </c>
      <c r="W34" s="10">
        <v>1</v>
      </c>
      <c r="X34" s="16" t="s">
        <v>5</v>
      </c>
      <c r="Y34" s="10">
        <v>1</v>
      </c>
      <c r="Z34" s="16" t="s">
        <v>5</v>
      </c>
      <c r="AA34" s="10">
        <v>1</v>
      </c>
      <c r="AB34" s="16" t="s">
        <v>5</v>
      </c>
      <c r="AC34" s="10">
        <v>1</v>
      </c>
      <c r="AD34" s="16" t="s">
        <v>5</v>
      </c>
      <c r="AE34" s="10">
        <v>1</v>
      </c>
      <c r="AF34" s="16" t="s">
        <v>5</v>
      </c>
      <c r="AG34" s="10">
        <v>1</v>
      </c>
      <c r="AH34" s="16" t="s">
        <v>5</v>
      </c>
      <c r="AI34" s="10">
        <v>1</v>
      </c>
      <c r="AJ34" s="16" t="s">
        <v>5</v>
      </c>
      <c r="AK34" s="10">
        <v>1</v>
      </c>
      <c r="AL34" s="16" t="s">
        <v>5</v>
      </c>
      <c r="AM34" s="10">
        <v>1</v>
      </c>
      <c r="AN34" s="16" t="s">
        <v>5</v>
      </c>
      <c r="AO34" s="17">
        <v>1</v>
      </c>
    </row>
    <row r="35" spans="1:41" x14ac:dyDescent="0.2">
      <c r="C35" s="104">
        <f>DCOUNTA(SUPPORTO_punti!$B$1:$AR$166,C31,B33:C34)+DCOUNTA(SUPPORTO_punti!$B$1:$AR$166,C31,B31:C32)</f>
        <v>8</v>
      </c>
      <c r="D35" s="18"/>
      <c r="E35" s="104">
        <f>DCOUNTA(SUPPORTO_punti!$B$1:$AR$166,E31,D33:E34)+DCOUNTA(SUPPORTO_punti!$B$1:$AR$166,E31,D31:E32)</f>
        <v>4</v>
      </c>
      <c r="F35" s="18"/>
      <c r="G35" s="104">
        <f>DCOUNTA(SUPPORTO_punti!$B$1:$AR$166,G31,F33:G34)+DCOUNTA(SUPPORTO_punti!$B$1:$AR$166,G31,F31:G32)</f>
        <v>3</v>
      </c>
      <c r="H35" s="18"/>
      <c r="I35" s="104">
        <f>DCOUNTA(SUPPORTO_punti!$B$1:$AR$166,I31,H33:I34)+DCOUNTA(SUPPORTO_punti!$B$1:$AR$166,I31,H31:I32)</f>
        <v>9</v>
      </c>
      <c r="J35" s="18"/>
      <c r="K35" s="104">
        <f>DCOUNTA(SUPPORTO_punti!$B$1:$AR$166,K31,J33:K34)+DCOUNTA(SUPPORTO_punti!$B$1:$AR$166,K31,J31:K32)</f>
        <v>5</v>
      </c>
      <c r="L35" s="18"/>
      <c r="M35" s="104">
        <f>DCOUNTA(SUPPORTO_punti!$B$1:$AR$166,M31,L33:M34)+DCOUNTA(SUPPORTO_punti!$B$1:$AR$166,M31,L31:M32)</f>
        <v>5</v>
      </c>
      <c r="N35" s="18"/>
      <c r="O35" s="104">
        <f>DCOUNTA(SUPPORTO_punti!$B$1:$AR$166,O31,N33:O34)+DCOUNTA(SUPPORTO_punti!$B$1:$AR$166,O31,N31:O32)</f>
        <v>2</v>
      </c>
      <c r="P35"/>
      <c r="Q35" s="104">
        <f>DCOUNTA(SUPPORTO_punti!$B$1:$AR$166,Q31,P33:Q34)+DCOUNTA(SUPPORTO_punti!$B$1:$AR$166,Q31,P31:Q32)</f>
        <v>6</v>
      </c>
      <c r="R35"/>
      <c r="S35" s="104">
        <f>DCOUNTA(SUPPORTO_punti!$B$1:$AR$166,S31,R33:S34)+DCOUNTA(SUPPORTO_punti!$B$1:$AR$166,S31,R31:S32)</f>
        <v>3</v>
      </c>
      <c r="T35"/>
      <c r="U35" s="104">
        <f>DCOUNTA(SUPPORTO_punti!$B$1:$AR$166,U31,T33:U34)+DCOUNTA(SUPPORTO_punti!$B$1:$AR$166,U31,T31:U32)</f>
        <v>9</v>
      </c>
      <c r="V35"/>
      <c r="W35" s="104">
        <f>DCOUNTA(SUPPORTO_punti!$B$1:$AR$166,W31,V33:W34)+DCOUNTA(SUPPORTO_punti!$B$1:$AR$166,W31,V31:W32)</f>
        <v>10</v>
      </c>
      <c r="X35"/>
      <c r="Y35" s="104">
        <f>DCOUNTA(SUPPORTO_punti!$B$1:$AR$166,Y31,X33:Y34)+DCOUNTA(SUPPORTO_punti!$B$1:$AR$166,Y31,X31:Y32)</f>
        <v>0</v>
      </c>
      <c r="Z35"/>
      <c r="AA35" s="104">
        <f>DCOUNTA(SUPPORTO_punti!$B$1:$AR$166,AA31,Z33:AA34)+DCOUNTA(SUPPORTO_punti!$B$1:$AR$166,AA31,Z31:AA32)</f>
        <v>0</v>
      </c>
      <c r="AB35"/>
      <c r="AC35" s="104">
        <f>DCOUNTA(SUPPORTO_punti!$B$1:$AR$166,AC31,AB33:AC34)+DCOUNTA(SUPPORTO_punti!$B$1:$AR$166,AC31,AB31:AC32)</f>
        <v>0</v>
      </c>
      <c r="AD35"/>
      <c r="AE35" s="104">
        <f>DCOUNTA(SUPPORTO_punti!$B$1:$AR$166,AE31,AD33:AE34)+DCOUNTA(SUPPORTO_punti!$B$1:$AR$166,AE31,AD31:AE32)</f>
        <v>0</v>
      </c>
      <c r="AF35"/>
      <c r="AG35" s="104">
        <f>DCOUNTA(SUPPORTO_punti!$B$1:$AR$166,AG31,AF33:AG34)+DCOUNTA(SUPPORTO_punti!$B$1:$AR$166,AG31,AF31:AG32)</f>
        <v>0</v>
      </c>
      <c r="AH35"/>
      <c r="AI35" s="104">
        <f>DCOUNTA(SUPPORTO_punti!$B$1:$AR$166,AI31,AH33:AI34)+DCOUNTA(SUPPORTO_punti!$B$1:$AR$166,AI31,AH31:AI32)</f>
        <v>0</v>
      </c>
      <c r="AJ35"/>
      <c r="AK35" s="104">
        <f>DCOUNTA(SUPPORTO_punti!$B$1:$AR$166,AK31,AJ33:AK34)+DCOUNTA(SUPPORTO_punti!$B$1:$AR$166,AK31,AJ31:AK32)</f>
        <v>0</v>
      </c>
      <c r="AL35"/>
      <c r="AM35" s="104">
        <f>DCOUNTA(SUPPORTO_punti!$B$1:$AR$166,AM31,AL33:AM34)+DCOUNTA(SUPPORTO_punti!$B$1:$AR$166,AM31,AL31:AM32)</f>
        <v>0</v>
      </c>
      <c r="AN35"/>
      <c r="AO35" s="104">
        <f>DCOUNTA(SUPPORTO_punti!$B$1:$AR$166,AO31,AN33:AO34)+DCOUNTA(SUPPORTO_punti!$B$1:$AR$166,AO31,AN31:AO32)</f>
        <v>0</v>
      </c>
    </row>
    <row r="37" spans="1:41" x14ac:dyDescent="0.2">
      <c r="A37" s="216" t="s">
        <v>6</v>
      </c>
      <c r="B37" s="13" t="s">
        <v>55</v>
      </c>
      <c r="C37" s="14" t="s">
        <v>58</v>
      </c>
      <c r="D37" s="13" t="s">
        <v>55</v>
      </c>
      <c r="E37" s="14" t="s">
        <v>60</v>
      </c>
      <c r="F37" s="13" t="s">
        <v>55</v>
      </c>
      <c r="G37" s="14" t="s">
        <v>141</v>
      </c>
      <c r="H37" s="13" t="s">
        <v>55</v>
      </c>
      <c r="I37" s="14" t="s">
        <v>143</v>
      </c>
      <c r="J37" s="13" t="s">
        <v>55</v>
      </c>
      <c r="K37" s="14" t="s">
        <v>145</v>
      </c>
      <c r="L37" s="13" t="s">
        <v>55</v>
      </c>
      <c r="M37" s="14" t="s">
        <v>147</v>
      </c>
      <c r="N37" s="13" t="s">
        <v>55</v>
      </c>
      <c r="O37" s="14" t="s">
        <v>149</v>
      </c>
      <c r="P37" s="13" t="s">
        <v>55</v>
      </c>
      <c r="Q37" s="14" t="s">
        <v>62</v>
      </c>
      <c r="R37" s="13" t="s">
        <v>55</v>
      </c>
      <c r="S37" s="14" t="s">
        <v>64</v>
      </c>
      <c r="T37" s="13" t="s">
        <v>55</v>
      </c>
      <c r="U37" s="14" t="s">
        <v>66</v>
      </c>
      <c r="V37" s="13" t="s">
        <v>55</v>
      </c>
      <c r="W37" s="14" t="s">
        <v>68</v>
      </c>
      <c r="X37" s="13" t="s">
        <v>55</v>
      </c>
      <c r="Y37" s="14" t="s">
        <v>70</v>
      </c>
      <c r="Z37" s="13" t="s">
        <v>55</v>
      </c>
      <c r="AA37" s="14" t="s">
        <v>72</v>
      </c>
      <c r="AB37" s="13" t="s">
        <v>55</v>
      </c>
      <c r="AC37" s="14" t="s">
        <v>74</v>
      </c>
      <c r="AD37" s="13" t="s">
        <v>55</v>
      </c>
      <c r="AE37" s="14" t="s">
        <v>76</v>
      </c>
      <c r="AF37" s="13" t="s">
        <v>55</v>
      </c>
      <c r="AG37" s="14" t="s">
        <v>78</v>
      </c>
      <c r="AH37" s="13" t="s">
        <v>55</v>
      </c>
      <c r="AI37" s="14" t="s">
        <v>80</v>
      </c>
      <c r="AJ37" s="13" t="s">
        <v>55</v>
      </c>
      <c r="AK37" s="14" t="s">
        <v>82</v>
      </c>
      <c r="AL37" s="13" t="s">
        <v>55</v>
      </c>
      <c r="AM37" s="14" t="s">
        <v>84</v>
      </c>
      <c r="AN37" s="13" t="s">
        <v>55</v>
      </c>
      <c r="AO37" s="15" t="s">
        <v>86</v>
      </c>
    </row>
    <row r="38" spans="1:41" x14ac:dyDescent="0.2">
      <c r="A38" s="216"/>
      <c r="B38" s="16" t="s">
        <v>6</v>
      </c>
      <c r="C38" s="10">
        <v>1</v>
      </c>
      <c r="D38" s="16" t="s">
        <v>6</v>
      </c>
      <c r="E38" s="10">
        <v>1</v>
      </c>
      <c r="F38" s="16" t="s">
        <v>6</v>
      </c>
      <c r="G38" s="10">
        <v>1</v>
      </c>
      <c r="H38" s="16" t="s">
        <v>6</v>
      </c>
      <c r="I38" s="10">
        <v>1</v>
      </c>
      <c r="J38" s="16" t="s">
        <v>6</v>
      </c>
      <c r="K38" s="10">
        <v>1</v>
      </c>
      <c r="L38" s="16" t="s">
        <v>6</v>
      </c>
      <c r="M38" s="10">
        <v>1</v>
      </c>
      <c r="N38" s="16" t="s">
        <v>6</v>
      </c>
      <c r="O38" s="10">
        <v>1</v>
      </c>
      <c r="P38" s="16" t="s">
        <v>6</v>
      </c>
      <c r="Q38" s="10">
        <v>1</v>
      </c>
      <c r="R38" s="16" t="s">
        <v>6</v>
      </c>
      <c r="S38" s="10">
        <v>1</v>
      </c>
      <c r="T38" s="16" t="s">
        <v>6</v>
      </c>
      <c r="U38" s="10">
        <v>1</v>
      </c>
      <c r="V38" s="16" t="s">
        <v>6</v>
      </c>
      <c r="W38" s="10">
        <v>1</v>
      </c>
      <c r="X38" s="16" t="s">
        <v>6</v>
      </c>
      <c r="Y38" s="10">
        <v>1</v>
      </c>
      <c r="Z38" s="16" t="s">
        <v>6</v>
      </c>
      <c r="AA38" s="10">
        <v>1</v>
      </c>
      <c r="AB38" s="16" t="s">
        <v>6</v>
      </c>
      <c r="AC38" s="10">
        <v>1</v>
      </c>
      <c r="AD38" s="16" t="s">
        <v>6</v>
      </c>
      <c r="AE38" s="10">
        <v>1</v>
      </c>
      <c r="AF38" s="16" t="s">
        <v>6</v>
      </c>
      <c r="AG38" s="10">
        <v>1</v>
      </c>
      <c r="AH38" s="16" t="s">
        <v>6</v>
      </c>
      <c r="AI38" s="10">
        <v>1</v>
      </c>
      <c r="AJ38" s="16" t="s">
        <v>6</v>
      </c>
      <c r="AK38" s="10">
        <v>1</v>
      </c>
      <c r="AL38" s="16" t="s">
        <v>6</v>
      </c>
      <c r="AM38" s="10">
        <v>1</v>
      </c>
      <c r="AN38" s="16" t="s">
        <v>6</v>
      </c>
      <c r="AO38" s="17">
        <v>1</v>
      </c>
    </row>
    <row r="39" spans="1:41" x14ac:dyDescent="0.2">
      <c r="A39" s="216"/>
      <c r="B39" s="13" t="s">
        <v>56</v>
      </c>
      <c r="C39" s="14" t="s">
        <v>58</v>
      </c>
      <c r="D39" s="13" t="s">
        <v>56</v>
      </c>
      <c r="E39" s="14" t="s">
        <v>60</v>
      </c>
      <c r="F39" s="13" t="s">
        <v>56</v>
      </c>
      <c r="G39" s="14" t="s">
        <v>141</v>
      </c>
      <c r="H39" s="13" t="s">
        <v>56</v>
      </c>
      <c r="I39" s="14" t="s">
        <v>143</v>
      </c>
      <c r="J39" s="13" t="s">
        <v>56</v>
      </c>
      <c r="K39" s="14" t="s">
        <v>145</v>
      </c>
      <c r="L39" s="13" t="s">
        <v>56</v>
      </c>
      <c r="M39" s="14" t="s">
        <v>147</v>
      </c>
      <c r="N39" s="13" t="s">
        <v>56</v>
      </c>
      <c r="O39" s="14" t="s">
        <v>149</v>
      </c>
      <c r="P39" s="13" t="s">
        <v>56</v>
      </c>
      <c r="Q39" s="14" t="s">
        <v>62</v>
      </c>
      <c r="R39" s="13" t="s">
        <v>56</v>
      </c>
      <c r="S39" s="14" t="s">
        <v>64</v>
      </c>
      <c r="T39" s="13" t="s">
        <v>56</v>
      </c>
      <c r="U39" s="14" t="s">
        <v>66</v>
      </c>
      <c r="V39" s="13" t="s">
        <v>56</v>
      </c>
      <c r="W39" s="14" t="s">
        <v>68</v>
      </c>
      <c r="X39" s="13" t="s">
        <v>56</v>
      </c>
      <c r="Y39" s="14" t="s">
        <v>70</v>
      </c>
      <c r="Z39" s="13" t="s">
        <v>56</v>
      </c>
      <c r="AA39" s="14" t="s">
        <v>72</v>
      </c>
      <c r="AB39" s="13" t="s">
        <v>56</v>
      </c>
      <c r="AC39" s="14" t="s">
        <v>74</v>
      </c>
      <c r="AD39" s="13" t="s">
        <v>56</v>
      </c>
      <c r="AE39" s="14" t="s">
        <v>76</v>
      </c>
      <c r="AF39" s="13" t="s">
        <v>56</v>
      </c>
      <c r="AG39" s="14" t="s">
        <v>78</v>
      </c>
      <c r="AH39" s="13" t="s">
        <v>56</v>
      </c>
      <c r="AI39" s="14" t="s">
        <v>80</v>
      </c>
      <c r="AJ39" s="13" t="s">
        <v>56</v>
      </c>
      <c r="AK39" s="14" t="s">
        <v>82</v>
      </c>
      <c r="AL39" s="13" t="s">
        <v>56</v>
      </c>
      <c r="AM39" s="14" t="s">
        <v>84</v>
      </c>
      <c r="AN39" s="13" t="s">
        <v>56</v>
      </c>
      <c r="AO39" s="15" t="s">
        <v>86</v>
      </c>
    </row>
    <row r="40" spans="1:41" x14ac:dyDescent="0.2">
      <c r="A40" s="216"/>
      <c r="B40" s="16" t="s">
        <v>6</v>
      </c>
      <c r="C40" s="10">
        <v>1</v>
      </c>
      <c r="D40" s="16" t="s">
        <v>6</v>
      </c>
      <c r="E40" s="10">
        <v>1</v>
      </c>
      <c r="F40" s="16" t="s">
        <v>6</v>
      </c>
      <c r="G40" s="10">
        <v>1</v>
      </c>
      <c r="H40" s="16" t="s">
        <v>6</v>
      </c>
      <c r="I40" s="10">
        <v>1</v>
      </c>
      <c r="J40" s="16" t="s">
        <v>6</v>
      </c>
      <c r="K40" s="10">
        <v>1</v>
      </c>
      <c r="L40" s="16" t="s">
        <v>6</v>
      </c>
      <c r="M40" s="10">
        <v>1</v>
      </c>
      <c r="N40" s="16" t="s">
        <v>6</v>
      </c>
      <c r="O40" s="10">
        <v>1</v>
      </c>
      <c r="P40" s="16" t="s">
        <v>6</v>
      </c>
      <c r="Q40" s="10">
        <v>1</v>
      </c>
      <c r="R40" s="16" t="s">
        <v>6</v>
      </c>
      <c r="S40" s="10">
        <v>1</v>
      </c>
      <c r="T40" s="16" t="s">
        <v>6</v>
      </c>
      <c r="U40" s="10">
        <v>1</v>
      </c>
      <c r="V40" s="16" t="s">
        <v>6</v>
      </c>
      <c r="W40" s="10">
        <v>1</v>
      </c>
      <c r="X40" s="16" t="s">
        <v>6</v>
      </c>
      <c r="Y40" s="10">
        <v>1</v>
      </c>
      <c r="Z40" s="16" t="s">
        <v>6</v>
      </c>
      <c r="AA40" s="10">
        <v>1</v>
      </c>
      <c r="AB40" s="16" t="s">
        <v>6</v>
      </c>
      <c r="AC40" s="10">
        <v>1</v>
      </c>
      <c r="AD40" s="16" t="s">
        <v>6</v>
      </c>
      <c r="AE40" s="10">
        <v>1</v>
      </c>
      <c r="AF40" s="16" t="s">
        <v>6</v>
      </c>
      <c r="AG40" s="10">
        <v>1</v>
      </c>
      <c r="AH40" s="16" t="s">
        <v>6</v>
      </c>
      <c r="AI40" s="10">
        <v>1</v>
      </c>
      <c r="AJ40" s="16" t="s">
        <v>6</v>
      </c>
      <c r="AK40" s="10">
        <v>1</v>
      </c>
      <c r="AL40" s="16" t="s">
        <v>6</v>
      </c>
      <c r="AM40" s="10">
        <v>1</v>
      </c>
      <c r="AN40" s="16" t="s">
        <v>6</v>
      </c>
      <c r="AO40" s="17">
        <v>1</v>
      </c>
    </row>
    <row r="41" spans="1:41" x14ac:dyDescent="0.2">
      <c r="C41" s="104">
        <f>DCOUNTA(SUPPORTO_punti!$B$1:$AR$166,C37,B39:C40)+DCOUNTA(SUPPORTO_punti!$B$1:$AR$166,C37,B37:C38)</f>
        <v>3</v>
      </c>
      <c r="D41" s="18"/>
      <c r="E41" s="104">
        <f>DCOUNTA(SUPPORTO_punti!$B$1:$AR$166,E37,D39:E40)+DCOUNTA(SUPPORTO_punti!$B$1:$AR$166,E37,D37:E38)</f>
        <v>3</v>
      </c>
      <c r="F41" s="18"/>
      <c r="G41" s="104">
        <f>DCOUNTA(SUPPORTO_punti!$B$1:$AR$166,G37,F39:G40)+DCOUNTA(SUPPORTO_punti!$B$1:$AR$166,G37,F37:G38)</f>
        <v>8</v>
      </c>
      <c r="H41" s="18"/>
      <c r="I41" s="104">
        <f>DCOUNTA(SUPPORTO_punti!$B$1:$AR$166,I37,H39:I40)+DCOUNTA(SUPPORTO_punti!$B$1:$AR$166,I37,H37:I38)</f>
        <v>9</v>
      </c>
      <c r="J41" s="18"/>
      <c r="K41" s="104">
        <f>DCOUNTA(SUPPORTO_punti!$B$1:$AR$166,K37,J39:K40)+DCOUNTA(SUPPORTO_punti!$B$1:$AR$166,K37,J37:K38)</f>
        <v>4</v>
      </c>
      <c r="L41" s="18"/>
      <c r="M41" s="104">
        <f>DCOUNTA(SUPPORTO_punti!$B$1:$AR$166,M37,L39:M40)+DCOUNTA(SUPPORTO_punti!$B$1:$AR$166,M37,L37:M38)</f>
        <v>2</v>
      </c>
      <c r="N41" s="18"/>
      <c r="O41" s="104">
        <f>DCOUNTA(SUPPORTO_punti!$B$1:$AR$166,O37,N39:O40)+DCOUNTA(SUPPORTO_punti!$B$1:$AR$166,O37,N37:O38)</f>
        <v>4</v>
      </c>
      <c r="P41"/>
      <c r="Q41" s="104">
        <f>DCOUNTA(SUPPORTO_punti!$B$1:$AR$166,Q37,P39:Q40)+DCOUNTA(SUPPORTO_punti!$B$1:$AR$166,Q37,P37:Q38)</f>
        <v>0</v>
      </c>
      <c r="R41"/>
      <c r="S41" s="104">
        <f>DCOUNTA(SUPPORTO_punti!$B$1:$AR$166,S37,R39:S40)+DCOUNTA(SUPPORTO_punti!$B$1:$AR$166,S37,R37:S38)</f>
        <v>1</v>
      </c>
      <c r="T41"/>
      <c r="U41" s="104">
        <f>DCOUNTA(SUPPORTO_punti!$B$1:$AR$166,U37,T39:U40)+DCOUNTA(SUPPORTO_punti!$B$1:$AR$166,U37,T37:U38)</f>
        <v>6</v>
      </c>
      <c r="V41"/>
      <c r="W41" s="104">
        <f>DCOUNTA(SUPPORTO_punti!$B$1:$AR$166,W37,V39:W40)+DCOUNTA(SUPPORTO_punti!$B$1:$AR$166,W37,V37:W38)</f>
        <v>0</v>
      </c>
      <c r="X41"/>
      <c r="Y41" s="104">
        <f>DCOUNTA(SUPPORTO_punti!$B$1:$AR$166,Y37,X39:Y40)+DCOUNTA(SUPPORTO_punti!$B$1:$AR$166,Y37,X37:Y38)</f>
        <v>0</v>
      </c>
      <c r="Z41"/>
      <c r="AA41" s="104">
        <f>DCOUNTA(SUPPORTO_punti!$B$1:$AR$166,AA37,Z39:AA40)+DCOUNTA(SUPPORTO_punti!$B$1:$AR$166,AA37,Z37:AA38)</f>
        <v>0</v>
      </c>
      <c r="AB41"/>
      <c r="AC41" s="104">
        <f>DCOUNTA(SUPPORTO_punti!$B$1:$AR$166,AC37,AB39:AC40)+DCOUNTA(SUPPORTO_punti!$B$1:$AR$166,AC37,AB37:AC38)</f>
        <v>0</v>
      </c>
      <c r="AD41"/>
      <c r="AE41" s="104">
        <f>DCOUNTA(SUPPORTO_punti!$B$1:$AR$166,AE37,AD39:AE40)+DCOUNTA(SUPPORTO_punti!$B$1:$AR$166,AE37,AD37:AE38)</f>
        <v>0</v>
      </c>
      <c r="AF41"/>
      <c r="AG41" s="104">
        <f>DCOUNTA(SUPPORTO_punti!$B$1:$AR$166,AG37,AF39:AG40)+DCOUNTA(SUPPORTO_punti!$B$1:$AR$166,AG37,AF37:AG38)</f>
        <v>0</v>
      </c>
      <c r="AH41"/>
      <c r="AI41" s="104">
        <f>DCOUNTA(SUPPORTO_punti!$B$1:$AR$166,AI37,AH39:AI40)+DCOUNTA(SUPPORTO_punti!$B$1:$AR$166,AI37,AH37:AI38)</f>
        <v>0</v>
      </c>
      <c r="AJ41"/>
      <c r="AK41" s="104">
        <f>DCOUNTA(SUPPORTO_punti!$B$1:$AR$166,AK37,AJ39:AK40)+DCOUNTA(SUPPORTO_punti!$B$1:$AR$166,AK37,AJ37:AK38)</f>
        <v>0</v>
      </c>
      <c r="AL41"/>
      <c r="AM41" s="104">
        <f>DCOUNTA(SUPPORTO_punti!$B$1:$AR$166,AM37,AL39:AM40)+DCOUNTA(SUPPORTO_punti!$B$1:$AR$166,AM37,AL37:AM38)</f>
        <v>0</v>
      </c>
      <c r="AN41"/>
      <c r="AO41" s="104">
        <f>DCOUNTA(SUPPORTO_punti!$B$1:$AR$166,AO37,AN39:AO40)+DCOUNTA(SUPPORTO_punti!$B$1:$AR$166,AO37,AN37:AO38)</f>
        <v>0</v>
      </c>
    </row>
    <row r="43" spans="1:41" x14ac:dyDescent="0.2">
      <c r="A43" s="216" t="s">
        <v>7</v>
      </c>
      <c r="B43" s="13" t="s">
        <v>55</v>
      </c>
      <c r="C43" s="14" t="s">
        <v>58</v>
      </c>
      <c r="D43" s="13" t="s">
        <v>55</v>
      </c>
      <c r="E43" s="14" t="s">
        <v>60</v>
      </c>
      <c r="F43" s="13" t="s">
        <v>55</v>
      </c>
      <c r="G43" s="14" t="s">
        <v>141</v>
      </c>
      <c r="H43" s="13" t="s">
        <v>55</v>
      </c>
      <c r="I43" s="14" t="s">
        <v>143</v>
      </c>
      <c r="J43" s="13" t="s">
        <v>55</v>
      </c>
      <c r="K43" s="14" t="s">
        <v>145</v>
      </c>
      <c r="L43" s="13" t="s">
        <v>55</v>
      </c>
      <c r="M43" s="14" t="s">
        <v>147</v>
      </c>
      <c r="N43" s="13" t="s">
        <v>55</v>
      </c>
      <c r="O43" s="14" t="s">
        <v>149</v>
      </c>
      <c r="P43" s="13" t="s">
        <v>55</v>
      </c>
      <c r="Q43" s="14" t="s">
        <v>62</v>
      </c>
      <c r="R43" s="13" t="s">
        <v>55</v>
      </c>
      <c r="S43" s="14" t="s">
        <v>64</v>
      </c>
      <c r="T43" s="13" t="s">
        <v>55</v>
      </c>
      <c r="U43" s="14" t="s">
        <v>66</v>
      </c>
      <c r="V43" s="13" t="s">
        <v>55</v>
      </c>
      <c r="W43" s="14" t="s">
        <v>68</v>
      </c>
      <c r="X43" s="13" t="s">
        <v>55</v>
      </c>
      <c r="Y43" s="14" t="s">
        <v>70</v>
      </c>
      <c r="Z43" s="13" t="s">
        <v>55</v>
      </c>
      <c r="AA43" s="14" t="s">
        <v>72</v>
      </c>
      <c r="AB43" s="13" t="s">
        <v>55</v>
      </c>
      <c r="AC43" s="14" t="s">
        <v>74</v>
      </c>
      <c r="AD43" s="13" t="s">
        <v>55</v>
      </c>
      <c r="AE43" s="14" t="s">
        <v>76</v>
      </c>
      <c r="AF43" s="13" t="s">
        <v>55</v>
      </c>
      <c r="AG43" s="14" t="s">
        <v>78</v>
      </c>
      <c r="AH43" s="13" t="s">
        <v>55</v>
      </c>
      <c r="AI43" s="14" t="s">
        <v>80</v>
      </c>
      <c r="AJ43" s="13" t="s">
        <v>55</v>
      </c>
      <c r="AK43" s="14" t="s">
        <v>82</v>
      </c>
      <c r="AL43" s="13" t="s">
        <v>55</v>
      </c>
      <c r="AM43" s="14" t="s">
        <v>84</v>
      </c>
      <c r="AN43" s="13" t="s">
        <v>55</v>
      </c>
      <c r="AO43" s="15" t="s">
        <v>86</v>
      </c>
    </row>
    <row r="44" spans="1:41" x14ac:dyDescent="0.2">
      <c r="A44" s="216"/>
      <c r="B44" s="16" t="s">
        <v>7</v>
      </c>
      <c r="C44" s="10">
        <v>1</v>
      </c>
      <c r="D44" s="16" t="s">
        <v>7</v>
      </c>
      <c r="E44" s="10">
        <v>1</v>
      </c>
      <c r="F44" s="16" t="s">
        <v>7</v>
      </c>
      <c r="G44" s="10">
        <v>1</v>
      </c>
      <c r="H44" s="16" t="s">
        <v>7</v>
      </c>
      <c r="I44" s="10">
        <v>1</v>
      </c>
      <c r="J44" s="16" t="s">
        <v>7</v>
      </c>
      <c r="K44" s="10">
        <v>1</v>
      </c>
      <c r="L44" s="16" t="s">
        <v>7</v>
      </c>
      <c r="M44" s="10">
        <v>1</v>
      </c>
      <c r="N44" s="16" t="s">
        <v>7</v>
      </c>
      <c r="O44" s="10">
        <v>1</v>
      </c>
      <c r="P44" s="16" t="s">
        <v>7</v>
      </c>
      <c r="Q44" s="10">
        <v>1</v>
      </c>
      <c r="R44" s="16" t="s">
        <v>7</v>
      </c>
      <c r="S44" s="10">
        <v>1</v>
      </c>
      <c r="T44" s="16" t="s">
        <v>7</v>
      </c>
      <c r="U44" s="10">
        <v>1</v>
      </c>
      <c r="V44" s="16" t="s">
        <v>7</v>
      </c>
      <c r="W44" s="10">
        <v>1</v>
      </c>
      <c r="X44" s="16" t="s">
        <v>7</v>
      </c>
      <c r="Y44" s="10">
        <v>1</v>
      </c>
      <c r="Z44" s="16" t="s">
        <v>7</v>
      </c>
      <c r="AA44" s="10">
        <v>1</v>
      </c>
      <c r="AB44" s="16" t="s">
        <v>7</v>
      </c>
      <c r="AC44" s="10">
        <v>1</v>
      </c>
      <c r="AD44" s="16" t="s">
        <v>7</v>
      </c>
      <c r="AE44" s="10">
        <v>1</v>
      </c>
      <c r="AF44" s="16" t="s">
        <v>7</v>
      </c>
      <c r="AG44" s="10">
        <v>1</v>
      </c>
      <c r="AH44" s="16" t="s">
        <v>7</v>
      </c>
      <c r="AI44" s="10">
        <v>1</v>
      </c>
      <c r="AJ44" s="16" t="s">
        <v>7</v>
      </c>
      <c r="AK44" s="10">
        <v>1</v>
      </c>
      <c r="AL44" s="16" t="s">
        <v>7</v>
      </c>
      <c r="AM44" s="10">
        <v>1</v>
      </c>
      <c r="AN44" s="16" t="s">
        <v>7</v>
      </c>
      <c r="AO44" s="17">
        <v>1</v>
      </c>
    </row>
    <row r="45" spans="1:41" x14ac:dyDescent="0.2">
      <c r="A45" s="216"/>
      <c r="B45" s="13" t="s">
        <v>56</v>
      </c>
      <c r="C45" s="14" t="s">
        <v>58</v>
      </c>
      <c r="D45" s="13" t="s">
        <v>56</v>
      </c>
      <c r="E45" s="14" t="s">
        <v>60</v>
      </c>
      <c r="F45" s="13" t="s">
        <v>56</v>
      </c>
      <c r="G45" s="14" t="s">
        <v>141</v>
      </c>
      <c r="H45" s="13" t="s">
        <v>56</v>
      </c>
      <c r="I45" s="14" t="s">
        <v>143</v>
      </c>
      <c r="J45" s="13" t="s">
        <v>56</v>
      </c>
      <c r="K45" s="14" t="s">
        <v>145</v>
      </c>
      <c r="L45" s="13" t="s">
        <v>56</v>
      </c>
      <c r="M45" s="14" t="s">
        <v>147</v>
      </c>
      <c r="N45" s="13" t="s">
        <v>56</v>
      </c>
      <c r="O45" s="14" t="s">
        <v>149</v>
      </c>
      <c r="P45" s="13" t="s">
        <v>56</v>
      </c>
      <c r="Q45" s="14" t="s">
        <v>62</v>
      </c>
      <c r="R45" s="13" t="s">
        <v>56</v>
      </c>
      <c r="S45" s="14" t="s">
        <v>64</v>
      </c>
      <c r="T45" s="13" t="s">
        <v>56</v>
      </c>
      <c r="U45" s="14" t="s">
        <v>66</v>
      </c>
      <c r="V45" s="13" t="s">
        <v>56</v>
      </c>
      <c r="W45" s="14" t="s">
        <v>68</v>
      </c>
      <c r="X45" s="13" t="s">
        <v>56</v>
      </c>
      <c r="Y45" s="14" t="s">
        <v>70</v>
      </c>
      <c r="Z45" s="13" t="s">
        <v>56</v>
      </c>
      <c r="AA45" s="14" t="s">
        <v>72</v>
      </c>
      <c r="AB45" s="13" t="s">
        <v>56</v>
      </c>
      <c r="AC45" s="14" t="s">
        <v>74</v>
      </c>
      <c r="AD45" s="13" t="s">
        <v>56</v>
      </c>
      <c r="AE45" s="14" t="s">
        <v>76</v>
      </c>
      <c r="AF45" s="13" t="s">
        <v>56</v>
      </c>
      <c r="AG45" s="14" t="s">
        <v>78</v>
      </c>
      <c r="AH45" s="13" t="s">
        <v>56</v>
      </c>
      <c r="AI45" s="14" t="s">
        <v>80</v>
      </c>
      <c r="AJ45" s="13" t="s">
        <v>56</v>
      </c>
      <c r="AK45" s="14" t="s">
        <v>82</v>
      </c>
      <c r="AL45" s="13" t="s">
        <v>56</v>
      </c>
      <c r="AM45" s="14" t="s">
        <v>84</v>
      </c>
      <c r="AN45" s="13" t="s">
        <v>56</v>
      </c>
      <c r="AO45" s="15" t="s">
        <v>86</v>
      </c>
    </row>
    <row r="46" spans="1:41" x14ac:dyDescent="0.2">
      <c r="A46" s="216"/>
      <c r="B46" s="16" t="s">
        <v>7</v>
      </c>
      <c r="C46" s="10">
        <v>1</v>
      </c>
      <c r="D46" s="16" t="s">
        <v>7</v>
      </c>
      <c r="E46" s="10">
        <v>1</v>
      </c>
      <c r="F46" s="16" t="s">
        <v>7</v>
      </c>
      <c r="G46" s="10">
        <v>1</v>
      </c>
      <c r="H46" s="16" t="s">
        <v>7</v>
      </c>
      <c r="I46" s="10">
        <v>1</v>
      </c>
      <c r="J46" s="16" t="s">
        <v>7</v>
      </c>
      <c r="K46" s="10">
        <v>1</v>
      </c>
      <c r="L46" s="16" t="s">
        <v>7</v>
      </c>
      <c r="M46" s="10">
        <v>1</v>
      </c>
      <c r="N46" s="16" t="s">
        <v>7</v>
      </c>
      <c r="O46" s="10">
        <v>1</v>
      </c>
      <c r="P46" s="16" t="s">
        <v>7</v>
      </c>
      <c r="Q46" s="10">
        <v>1</v>
      </c>
      <c r="R46" s="16" t="s">
        <v>7</v>
      </c>
      <c r="S46" s="10">
        <v>1</v>
      </c>
      <c r="T46" s="16" t="s">
        <v>7</v>
      </c>
      <c r="U46" s="10">
        <v>1</v>
      </c>
      <c r="V46" s="16" t="s">
        <v>7</v>
      </c>
      <c r="W46" s="10">
        <v>1</v>
      </c>
      <c r="X46" s="16" t="s">
        <v>7</v>
      </c>
      <c r="Y46" s="10">
        <v>1</v>
      </c>
      <c r="Z46" s="16" t="s">
        <v>7</v>
      </c>
      <c r="AA46" s="10">
        <v>1</v>
      </c>
      <c r="AB46" s="16" t="s">
        <v>7</v>
      </c>
      <c r="AC46" s="10">
        <v>1</v>
      </c>
      <c r="AD46" s="16" t="s">
        <v>7</v>
      </c>
      <c r="AE46" s="10">
        <v>1</v>
      </c>
      <c r="AF46" s="16" t="s">
        <v>7</v>
      </c>
      <c r="AG46" s="10">
        <v>1</v>
      </c>
      <c r="AH46" s="16" t="s">
        <v>7</v>
      </c>
      <c r="AI46" s="10">
        <v>1</v>
      </c>
      <c r="AJ46" s="16" t="s">
        <v>7</v>
      </c>
      <c r="AK46" s="10">
        <v>1</v>
      </c>
      <c r="AL46" s="16" t="s">
        <v>7</v>
      </c>
      <c r="AM46" s="10">
        <v>1</v>
      </c>
      <c r="AN46" s="16" t="s">
        <v>7</v>
      </c>
      <c r="AO46" s="17">
        <v>1</v>
      </c>
    </row>
    <row r="47" spans="1:41" x14ac:dyDescent="0.2">
      <c r="C47" s="104">
        <f>DCOUNTA(SUPPORTO_punti!$B$1:$AR$166,C43,B45:C46)+DCOUNTA(SUPPORTO_punti!$B$1:$AR$166,C43,B43:C44)</f>
        <v>9</v>
      </c>
      <c r="D47" s="18"/>
      <c r="E47" s="104">
        <f>DCOUNTA(SUPPORTO_punti!$B$1:$AR$166,E43,D45:E46)+DCOUNTA(SUPPORTO_punti!$B$1:$AR$166,E43,D43:E44)</f>
        <v>3</v>
      </c>
      <c r="F47" s="18"/>
      <c r="G47" s="104">
        <f>DCOUNTA(SUPPORTO_punti!$B$1:$AR$166,G43,F45:G46)+DCOUNTA(SUPPORTO_punti!$B$1:$AR$166,G43,F43:G44)</f>
        <v>6</v>
      </c>
      <c r="H47" s="18"/>
      <c r="I47" s="104">
        <f>DCOUNTA(SUPPORTO_punti!$B$1:$AR$166,I43,H45:I46)+DCOUNTA(SUPPORTO_punti!$B$1:$AR$166,I43,H43:I44)</f>
        <v>1</v>
      </c>
      <c r="J47" s="18"/>
      <c r="K47" s="104">
        <f>DCOUNTA(SUPPORTO_punti!$B$1:$AR$166,K43,J45:K46)+DCOUNTA(SUPPORTO_punti!$B$1:$AR$166,K43,J43:K44)</f>
        <v>3</v>
      </c>
      <c r="L47" s="18"/>
      <c r="M47" s="104">
        <f>DCOUNTA(SUPPORTO_punti!$B$1:$AR$166,M43,L45:M46)+DCOUNTA(SUPPORTO_punti!$B$1:$AR$166,M43,L43:M44)</f>
        <v>4</v>
      </c>
      <c r="N47" s="18"/>
      <c r="O47" s="104">
        <f>DCOUNTA(SUPPORTO_punti!$B$1:$AR$166,O43,N45:O46)+DCOUNTA(SUPPORTO_punti!$B$1:$AR$166,O43,N43:O44)</f>
        <v>3</v>
      </c>
      <c r="P47"/>
      <c r="Q47" s="104">
        <f>DCOUNTA(SUPPORTO_punti!$B$1:$AR$166,Q43,P45:Q46)+DCOUNTA(SUPPORTO_punti!$B$1:$AR$166,Q43,P43:Q44)</f>
        <v>8</v>
      </c>
      <c r="R47"/>
      <c r="S47" s="104">
        <f>DCOUNTA(SUPPORTO_punti!$B$1:$AR$166,S43,R45:S46)+DCOUNTA(SUPPORTO_punti!$B$1:$AR$166,S43,R43:S44)</f>
        <v>6</v>
      </c>
      <c r="T47"/>
      <c r="U47" s="104">
        <f>DCOUNTA(SUPPORTO_punti!$B$1:$AR$166,U43,T45:U46)+DCOUNTA(SUPPORTO_punti!$B$1:$AR$166,U43,T43:U44)</f>
        <v>4</v>
      </c>
      <c r="V47"/>
      <c r="W47" s="104">
        <f>DCOUNTA(SUPPORTO_punti!$B$1:$AR$166,W43,V45:W46)+DCOUNTA(SUPPORTO_punti!$B$1:$AR$166,W43,V43:W44)</f>
        <v>11</v>
      </c>
      <c r="X47"/>
      <c r="Y47" s="104">
        <f>DCOUNTA(SUPPORTO_punti!$B$1:$AR$166,Y43,X45:Y46)+DCOUNTA(SUPPORTO_punti!$B$1:$AR$166,Y43,X43:Y44)</f>
        <v>0</v>
      </c>
      <c r="Z47"/>
      <c r="AA47" s="104">
        <f>DCOUNTA(SUPPORTO_punti!$B$1:$AR$166,AA43,Z45:AA46)+DCOUNTA(SUPPORTO_punti!$B$1:$AR$166,AA43,Z43:AA44)</f>
        <v>0</v>
      </c>
      <c r="AB47"/>
      <c r="AC47" s="104">
        <f>DCOUNTA(SUPPORTO_punti!$B$1:$AR$166,AC43,AB45:AC46)+DCOUNTA(SUPPORTO_punti!$B$1:$AR$166,AC43,AB43:AC44)</f>
        <v>0</v>
      </c>
      <c r="AD47"/>
      <c r="AE47" s="104">
        <f>DCOUNTA(SUPPORTO_punti!$B$1:$AR$166,AE43,AD45:AE46)+DCOUNTA(SUPPORTO_punti!$B$1:$AR$166,AE43,AD43:AE44)</f>
        <v>0</v>
      </c>
      <c r="AF47"/>
      <c r="AG47" s="104">
        <f>DCOUNTA(SUPPORTO_punti!$B$1:$AR$166,AG43,AF45:AG46)+DCOUNTA(SUPPORTO_punti!$B$1:$AR$166,AG43,AF43:AG44)</f>
        <v>0</v>
      </c>
      <c r="AH47"/>
      <c r="AI47" s="104">
        <f>DCOUNTA(SUPPORTO_punti!$B$1:$AR$166,AI43,AH45:AI46)+DCOUNTA(SUPPORTO_punti!$B$1:$AR$166,AI43,AH43:AI44)</f>
        <v>0</v>
      </c>
      <c r="AJ47"/>
      <c r="AK47" s="104">
        <f>DCOUNTA(SUPPORTO_punti!$B$1:$AR$166,AK43,AJ45:AK46)+DCOUNTA(SUPPORTO_punti!$B$1:$AR$166,AK43,AJ43:AK44)</f>
        <v>0</v>
      </c>
      <c r="AL47"/>
      <c r="AM47" s="104">
        <f>DCOUNTA(SUPPORTO_punti!$B$1:$AR$166,AM43,AL45:AM46)+DCOUNTA(SUPPORTO_punti!$B$1:$AR$166,AM43,AL43:AM44)</f>
        <v>0</v>
      </c>
      <c r="AN47"/>
      <c r="AO47" s="104">
        <f>DCOUNTA(SUPPORTO_punti!$B$1:$AR$166,AO43,AN45:AO46)+DCOUNTA(SUPPORTO_punti!$B$1:$AR$166,AO43,AN43:AO44)</f>
        <v>0</v>
      </c>
    </row>
    <row r="49" spans="1:41" x14ac:dyDescent="0.2">
      <c r="A49" s="216" t="s">
        <v>8</v>
      </c>
      <c r="B49" s="13" t="s">
        <v>55</v>
      </c>
      <c r="C49" s="14" t="s">
        <v>58</v>
      </c>
      <c r="D49" s="13" t="s">
        <v>55</v>
      </c>
      <c r="E49" s="14" t="s">
        <v>60</v>
      </c>
      <c r="F49" s="13" t="s">
        <v>55</v>
      </c>
      <c r="G49" s="14" t="s">
        <v>141</v>
      </c>
      <c r="H49" s="13" t="s">
        <v>55</v>
      </c>
      <c r="I49" s="14" t="s">
        <v>143</v>
      </c>
      <c r="J49" s="13" t="s">
        <v>55</v>
      </c>
      <c r="K49" s="14" t="s">
        <v>145</v>
      </c>
      <c r="L49" s="13" t="s">
        <v>55</v>
      </c>
      <c r="M49" s="14" t="s">
        <v>147</v>
      </c>
      <c r="N49" s="13" t="s">
        <v>55</v>
      </c>
      <c r="O49" s="14" t="s">
        <v>149</v>
      </c>
      <c r="P49" s="13" t="s">
        <v>55</v>
      </c>
      <c r="Q49" s="14" t="s">
        <v>62</v>
      </c>
      <c r="R49" s="13" t="s">
        <v>55</v>
      </c>
      <c r="S49" s="14" t="s">
        <v>64</v>
      </c>
      <c r="T49" s="13" t="s">
        <v>55</v>
      </c>
      <c r="U49" s="14" t="s">
        <v>66</v>
      </c>
      <c r="V49" s="13" t="s">
        <v>55</v>
      </c>
      <c r="W49" s="14" t="s">
        <v>68</v>
      </c>
      <c r="X49" s="13" t="s">
        <v>55</v>
      </c>
      <c r="Y49" s="14" t="s">
        <v>70</v>
      </c>
      <c r="Z49" s="13" t="s">
        <v>55</v>
      </c>
      <c r="AA49" s="14" t="s">
        <v>72</v>
      </c>
      <c r="AB49" s="13" t="s">
        <v>55</v>
      </c>
      <c r="AC49" s="14" t="s">
        <v>74</v>
      </c>
      <c r="AD49" s="13" t="s">
        <v>55</v>
      </c>
      <c r="AE49" s="14" t="s">
        <v>76</v>
      </c>
      <c r="AF49" s="13" t="s">
        <v>55</v>
      </c>
      <c r="AG49" s="14" t="s">
        <v>78</v>
      </c>
      <c r="AH49" s="13" t="s">
        <v>55</v>
      </c>
      <c r="AI49" s="14" t="s">
        <v>80</v>
      </c>
      <c r="AJ49" s="13" t="s">
        <v>55</v>
      </c>
      <c r="AK49" s="14" t="s">
        <v>82</v>
      </c>
      <c r="AL49" s="13" t="s">
        <v>55</v>
      </c>
      <c r="AM49" s="14" t="s">
        <v>84</v>
      </c>
      <c r="AN49" s="13" t="s">
        <v>55</v>
      </c>
      <c r="AO49" s="15" t="s">
        <v>86</v>
      </c>
    </row>
    <row r="50" spans="1:41" x14ac:dyDescent="0.2">
      <c r="A50" s="216"/>
      <c r="B50" s="16" t="s">
        <v>8</v>
      </c>
      <c r="C50" s="10">
        <v>1</v>
      </c>
      <c r="D50" s="16" t="s">
        <v>8</v>
      </c>
      <c r="E50" s="10">
        <v>1</v>
      </c>
      <c r="F50" s="16" t="s">
        <v>8</v>
      </c>
      <c r="G50" s="10">
        <v>1</v>
      </c>
      <c r="H50" s="16" t="s">
        <v>8</v>
      </c>
      <c r="I50" s="10">
        <v>1</v>
      </c>
      <c r="J50" s="16" t="s">
        <v>8</v>
      </c>
      <c r="K50" s="10">
        <v>1</v>
      </c>
      <c r="L50" s="16" t="s">
        <v>8</v>
      </c>
      <c r="M50" s="10">
        <v>1</v>
      </c>
      <c r="N50" s="16" t="s">
        <v>8</v>
      </c>
      <c r="O50" s="10">
        <v>1</v>
      </c>
      <c r="P50" s="16" t="s">
        <v>8</v>
      </c>
      <c r="Q50" s="10">
        <v>1</v>
      </c>
      <c r="R50" s="16" t="s">
        <v>8</v>
      </c>
      <c r="S50" s="10">
        <v>1</v>
      </c>
      <c r="T50" s="16" t="s">
        <v>8</v>
      </c>
      <c r="U50" s="10">
        <v>1</v>
      </c>
      <c r="V50" s="16" t="s">
        <v>8</v>
      </c>
      <c r="W50" s="10">
        <v>1</v>
      </c>
      <c r="X50" s="16" t="s">
        <v>8</v>
      </c>
      <c r="Y50" s="10">
        <v>1</v>
      </c>
      <c r="Z50" s="16" t="s">
        <v>8</v>
      </c>
      <c r="AA50" s="10">
        <v>1</v>
      </c>
      <c r="AB50" s="16" t="s">
        <v>8</v>
      </c>
      <c r="AC50" s="10">
        <v>1</v>
      </c>
      <c r="AD50" s="16" t="s">
        <v>8</v>
      </c>
      <c r="AE50" s="10">
        <v>1</v>
      </c>
      <c r="AF50" s="16" t="s">
        <v>8</v>
      </c>
      <c r="AG50" s="10">
        <v>1</v>
      </c>
      <c r="AH50" s="16" t="s">
        <v>8</v>
      </c>
      <c r="AI50" s="10">
        <v>1</v>
      </c>
      <c r="AJ50" s="16" t="s">
        <v>8</v>
      </c>
      <c r="AK50" s="10">
        <v>1</v>
      </c>
      <c r="AL50" s="16" t="s">
        <v>8</v>
      </c>
      <c r="AM50" s="10">
        <v>1</v>
      </c>
      <c r="AN50" s="16" t="s">
        <v>8</v>
      </c>
      <c r="AO50" s="17">
        <v>1</v>
      </c>
    </row>
    <row r="51" spans="1:41" x14ac:dyDescent="0.2">
      <c r="A51" s="216"/>
      <c r="B51" s="13" t="s">
        <v>56</v>
      </c>
      <c r="C51" s="14" t="s">
        <v>58</v>
      </c>
      <c r="D51" s="13" t="s">
        <v>56</v>
      </c>
      <c r="E51" s="14" t="s">
        <v>60</v>
      </c>
      <c r="F51" s="13" t="s">
        <v>56</v>
      </c>
      <c r="G51" s="14" t="s">
        <v>141</v>
      </c>
      <c r="H51" s="13" t="s">
        <v>56</v>
      </c>
      <c r="I51" s="14" t="s">
        <v>143</v>
      </c>
      <c r="J51" s="13" t="s">
        <v>56</v>
      </c>
      <c r="K51" s="14" t="s">
        <v>145</v>
      </c>
      <c r="L51" s="13" t="s">
        <v>56</v>
      </c>
      <c r="M51" s="14" t="s">
        <v>147</v>
      </c>
      <c r="N51" s="13" t="s">
        <v>56</v>
      </c>
      <c r="O51" s="14" t="s">
        <v>149</v>
      </c>
      <c r="P51" s="13" t="s">
        <v>56</v>
      </c>
      <c r="Q51" s="14" t="s">
        <v>62</v>
      </c>
      <c r="R51" s="13" t="s">
        <v>56</v>
      </c>
      <c r="S51" s="14" t="s">
        <v>64</v>
      </c>
      <c r="T51" s="13" t="s">
        <v>56</v>
      </c>
      <c r="U51" s="14" t="s">
        <v>66</v>
      </c>
      <c r="V51" s="13" t="s">
        <v>56</v>
      </c>
      <c r="W51" s="14" t="s">
        <v>68</v>
      </c>
      <c r="X51" s="13" t="s">
        <v>56</v>
      </c>
      <c r="Y51" s="14" t="s">
        <v>70</v>
      </c>
      <c r="Z51" s="13" t="s">
        <v>56</v>
      </c>
      <c r="AA51" s="14" t="s">
        <v>72</v>
      </c>
      <c r="AB51" s="13" t="s">
        <v>56</v>
      </c>
      <c r="AC51" s="14" t="s">
        <v>74</v>
      </c>
      <c r="AD51" s="13" t="s">
        <v>56</v>
      </c>
      <c r="AE51" s="14" t="s">
        <v>76</v>
      </c>
      <c r="AF51" s="13" t="s">
        <v>56</v>
      </c>
      <c r="AG51" s="14" t="s">
        <v>78</v>
      </c>
      <c r="AH51" s="13" t="s">
        <v>56</v>
      </c>
      <c r="AI51" s="14" t="s">
        <v>80</v>
      </c>
      <c r="AJ51" s="13" t="s">
        <v>56</v>
      </c>
      <c r="AK51" s="14" t="s">
        <v>82</v>
      </c>
      <c r="AL51" s="13" t="s">
        <v>56</v>
      </c>
      <c r="AM51" s="14" t="s">
        <v>84</v>
      </c>
      <c r="AN51" s="13" t="s">
        <v>56</v>
      </c>
      <c r="AO51" s="15" t="s">
        <v>86</v>
      </c>
    </row>
    <row r="52" spans="1:41" x14ac:dyDescent="0.2">
      <c r="A52" s="216"/>
      <c r="B52" s="16" t="s">
        <v>8</v>
      </c>
      <c r="C52" s="10">
        <v>1</v>
      </c>
      <c r="D52" s="16" t="s">
        <v>8</v>
      </c>
      <c r="E52" s="10">
        <v>1</v>
      </c>
      <c r="F52" s="16" t="s">
        <v>8</v>
      </c>
      <c r="G52" s="10">
        <v>1</v>
      </c>
      <c r="H52" s="16" t="s">
        <v>8</v>
      </c>
      <c r="I52" s="10">
        <v>1</v>
      </c>
      <c r="J52" s="16" t="s">
        <v>8</v>
      </c>
      <c r="K52" s="10">
        <v>1</v>
      </c>
      <c r="L52" s="16" t="s">
        <v>8</v>
      </c>
      <c r="M52" s="10">
        <v>1</v>
      </c>
      <c r="N52" s="16" t="s">
        <v>8</v>
      </c>
      <c r="O52" s="10">
        <v>1</v>
      </c>
      <c r="P52" s="16" t="s">
        <v>8</v>
      </c>
      <c r="Q52" s="10">
        <v>1</v>
      </c>
      <c r="R52" s="16" t="s">
        <v>8</v>
      </c>
      <c r="S52" s="10">
        <v>1</v>
      </c>
      <c r="T52" s="16" t="s">
        <v>8</v>
      </c>
      <c r="U52" s="10">
        <v>1</v>
      </c>
      <c r="V52" s="16" t="s">
        <v>8</v>
      </c>
      <c r="W52" s="10">
        <v>1</v>
      </c>
      <c r="X52" s="16" t="s">
        <v>8</v>
      </c>
      <c r="Y52" s="10">
        <v>1</v>
      </c>
      <c r="Z52" s="16" t="s">
        <v>8</v>
      </c>
      <c r="AA52" s="10">
        <v>1</v>
      </c>
      <c r="AB52" s="16" t="s">
        <v>8</v>
      </c>
      <c r="AC52" s="10">
        <v>1</v>
      </c>
      <c r="AD52" s="16" t="s">
        <v>8</v>
      </c>
      <c r="AE52" s="10">
        <v>1</v>
      </c>
      <c r="AF52" s="16" t="s">
        <v>8</v>
      </c>
      <c r="AG52" s="10">
        <v>1</v>
      </c>
      <c r="AH52" s="16" t="s">
        <v>8</v>
      </c>
      <c r="AI52" s="10">
        <v>1</v>
      </c>
      <c r="AJ52" s="16" t="s">
        <v>8</v>
      </c>
      <c r="AK52" s="10">
        <v>1</v>
      </c>
      <c r="AL52" s="16" t="s">
        <v>8</v>
      </c>
      <c r="AM52" s="10">
        <v>1</v>
      </c>
      <c r="AN52" s="16" t="s">
        <v>8</v>
      </c>
      <c r="AO52" s="17">
        <v>1</v>
      </c>
    </row>
    <row r="53" spans="1:41" x14ac:dyDescent="0.2">
      <c r="C53" s="104">
        <f>DCOUNTA(SUPPORTO_punti!$B$1:$AR$166,C49,B51:C52)+DCOUNTA(SUPPORTO_punti!$B$1:$AR$166,C49,B49:C50)</f>
        <v>7</v>
      </c>
      <c r="D53" s="18"/>
      <c r="E53" s="104">
        <f>DCOUNTA(SUPPORTO_punti!$B$1:$AR$166,E49,D51:E52)+DCOUNTA(SUPPORTO_punti!$B$1:$AR$166,E49,D49:E50)</f>
        <v>5</v>
      </c>
      <c r="F53" s="18"/>
      <c r="G53" s="104">
        <f>DCOUNTA(SUPPORTO_punti!$B$1:$AR$166,G49,F51:G52)+DCOUNTA(SUPPORTO_punti!$B$1:$AR$166,G49,F49:G50)</f>
        <v>8</v>
      </c>
      <c r="H53" s="18"/>
      <c r="I53" s="104">
        <f>DCOUNTA(SUPPORTO_punti!$B$1:$AR$166,I49,H51:I52)+DCOUNTA(SUPPORTO_punti!$B$1:$AR$166,I49,H49:I50)</f>
        <v>10</v>
      </c>
      <c r="J53" s="18"/>
      <c r="K53" s="104">
        <f>DCOUNTA(SUPPORTO_punti!$B$1:$AR$166,K49,J51:K52)+DCOUNTA(SUPPORTO_punti!$B$1:$AR$166,K49,J49:K50)</f>
        <v>5</v>
      </c>
      <c r="L53" s="18"/>
      <c r="M53" s="104">
        <f>DCOUNTA(SUPPORTO_punti!$B$1:$AR$166,M49,L51:M52)+DCOUNTA(SUPPORTO_punti!$B$1:$AR$166,M49,L49:M50)</f>
        <v>7</v>
      </c>
      <c r="N53" s="18"/>
      <c r="O53" s="104">
        <f>DCOUNTA(SUPPORTO_punti!$B$1:$AR$166,O49,N51:O52)+DCOUNTA(SUPPORTO_punti!$B$1:$AR$166,O49,N49:O50)</f>
        <v>8</v>
      </c>
      <c r="P53"/>
      <c r="Q53" s="104">
        <f>DCOUNTA(SUPPORTO_punti!$B$1:$AR$166,Q49,P51:Q52)+DCOUNTA(SUPPORTO_punti!$B$1:$AR$166,Q49,P49:Q50)</f>
        <v>3</v>
      </c>
      <c r="R53"/>
      <c r="S53" s="104">
        <f>DCOUNTA(SUPPORTO_punti!$B$1:$AR$166,S49,R51:S52)+DCOUNTA(SUPPORTO_punti!$B$1:$AR$166,S49,R49:S50)</f>
        <v>1</v>
      </c>
      <c r="T53"/>
      <c r="U53" s="104">
        <f>DCOUNTA(SUPPORTO_punti!$B$1:$AR$166,U49,T51:U52)+DCOUNTA(SUPPORTO_punti!$B$1:$AR$166,U49,T49:U50)</f>
        <v>8</v>
      </c>
      <c r="V53"/>
      <c r="W53" s="104">
        <f>DCOUNTA(SUPPORTO_punti!$B$1:$AR$166,W49,V51:W52)+DCOUNTA(SUPPORTO_punti!$B$1:$AR$166,W49,V49:W50)</f>
        <v>12</v>
      </c>
      <c r="X53"/>
      <c r="Y53" s="104">
        <f>DCOUNTA(SUPPORTO_punti!$B$1:$AR$166,Y49,X51:Y52)+DCOUNTA(SUPPORTO_punti!$B$1:$AR$166,Y49,X49:Y50)</f>
        <v>0</v>
      </c>
      <c r="Z53"/>
      <c r="AA53" s="104">
        <f>DCOUNTA(SUPPORTO_punti!$B$1:$AR$166,AA49,Z51:AA52)+DCOUNTA(SUPPORTO_punti!$B$1:$AR$166,AA49,Z49:AA50)</f>
        <v>0</v>
      </c>
      <c r="AB53"/>
      <c r="AC53" s="104">
        <f>DCOUNTA(SUPPORTO_punti!$B$1:$AR$166,AC49,AB51:AC52)+DCOUNTA(SUPPORTO_punti!$B$1:$AR$166,AC49,AB49:AC50)</f>
        <v>0</v>
      </c>
      <c r="AD53"/>
      <c r="AE53" s="104">
        <f>DCOUNTA(SUPPORTO_punti!$B$1:$AR$166,AE49,AD51:AE52)+DCOUNTA(SUPPORTO_punti!$B$1:$AR$166,AE49,AD49:AE50)</f>
        <v>0</v>
      </c>
      <c r="AF53"/>
      <c r="AG53" s="104">
        <f>DCOUNTA(SUPPORTO_punti!$B$1:$AR$166,AG49,AF51:AG52)+DCOUNTA(SUPPORTO_punti!$B$1:$AR$166,AG49,AF49:AG50)</f>
        <v>0</v>
      </c>
      <c r="AH53"/>
      <c r="AI53" s="104">
        <f>DCOUNTA(SUPPORTO_punti!$B$1:$AR$166,AI49,AH51:AI52)+DCOUNTA(SUPPORTO_punti!$B$1:$AR$166,AI49,AH49:AI50)</f>
        <v>0</v>
      </c>
      <c r="AJ53"/>
      <c r="AK53" s="104">
        <f>DCOUNTA(SUPPORTO_punti!$B$1:$AR$166,AK49,AJ51:AK52)+DCOUNTA(SUPPORTO_punti!$B$1:$AR$166,AK49,AJ49:AK50)</f>
        <v>0</v>
      </c>
      <c r="AL53"/>
      <c r="AM53" s="104">
        <f>DCOUNTA(SUPPORTO_punti!$B$1:$AR$166,AM49,AL51:AM52)+DCOUNTA(SUPPORTO_punti!$B$1:$AR$166,AM49,AL49:AM50)</f>
        <v>0</v>
      </c>
      <c r="AN53"/>
      <c r="AO53" s="104">
        <f>DCOUNTA(SUPPORTO_punti!$B$1:$AR$166,AO49,AN51:AO52)+DCOUNTA(SUPPORTO_punti!$B$1:$AR$166,AO49,AN49:AO50)</f>
        <v>0</v>
      </c>
    </row>
    <row r="55" spans="1:41" x14ac:dyDescent="0.2">
      <c r="A55" s="216" t="s">
        <v>9</v>
      </c>
      <c r="B55" s="13" t="s">
        <v>55</v>
      </c>
      <c r="C55" s="14" t="s">
        <v>58</v>
      </c>
      <c r="D55" s="13" t="s">
        <v>55</v>
      </c>
      <c r="E55" s="14" t="s">
        <v>60</v>
      </c>
      <c r="F55" s="13" t="s">
        <v>55</v>
      </c>
      <c r="G55" s="14" t="s">
        <v>141</v>
      </c>
      <c r="H55" s="13" t="s">
        <v>55</v>
      </c>
      <c r="I55" s="14" t="s">
        <v>143</v>
      </c>
      <c r="J55" s="13" t="s">
        <v>55</v>
      </c>
      <c r="K55" s="14" t="s">
        <v>145</v>
      </c>
      <c r="L55" s="13" t="s">
        <v>55</v>
      </c>
      <c r="M55" s="14" t="s">
        <v>147</v>
      </c>
      <c r="N55" s="13" t="s">
        <v>55</v>
      </c>
      <c r="O55" s="14" t="s">
        <v>149</v>
      </c>
      <c r="P55" s="13" t="s">
        <v>55</v>
      </c>
      <c r="Q55" s="14" t="s">
        <v>62</v>
      </c>
      <c r="R55" s="13" t="s">
        <v>55</v>
      </c>
      <c r="S55" s="14" t="s">
        <v>64</v>
      </c>
      <c r="T55" s="13" t="s">
        <v>55</v>
      </c>
      <c r="U55" s="14" t="s">
        <v>66</v>
      </c>
      <c r="V55" s="13" t="s">
        <v>55</v>
      </c>
      <c r="W55" s="14" t="s">
        <v>68</v>
      </c>
      <c r="X55" s="13" t="s">
        <v>55</v>
      </c>
      <c r="Y55" s="14" t="s">
        <v>70</v>
      </c>
      <c r="Z55" s="13" t="s">
        <v>55</v>
      </c>
      <c r="AA55" s="14" t="s">
        <v>72</v>
      </c>
      <c r="AB55" s="13" t="s">
        <v>55</v>
      </c>
      <c r="AC55" s="14" t="s">
        <v>74</v>
      </c>
      <c r="AD55" s="13" t="s">
        <v>55</v>
      </c>
      <c r="AE55" s="14" t="s">
        <v>76</v>
      </c>
      <c r="AF55" s="13" t="s">
        <v>55</v>
      </c>
      <c r="AG55" s="14" t="s">
        <v>78</v>
      </c>
      <c r="AH55" s="13" t="s">
        <v>55</v>
      </c>
      <c r="AI55" s="14" t="s">
        <v>80</v>
      </c>
      <c r="AJ55" s="13" t="s">
        <v>55</v>
      </c>
      <c r="AK55" s="14" t="s">
        <v>82</v>
      </c>
      <c r="AL55" s="13" t="s">
        <v>55</v>
      </c>
      <c r="AM55" s="14" t="s">
        <v>84</v>
      </c>
      <c r="AN55" s="13" t="s">
        <v>55</v>
      </c>
      <c r="AO55" s="15" t="s">
        <v>86</v>
      </c>
    </row>
    <row r="56" spans="1:41" x14ac:dyDescent="0.2">
      <c r="A56" s="216"/>
      <c r="B56" s="16" t="s">
        <v>9</v>
      </c>
      <c r="C56" s="10">
        <v>1</v>
      </c>
      <c r="D56" s="16" t="s">
        <v>9</v>
      </c>
      <c r="E56" s="10">
        <v>1</v>
      </c>
      <c r="F56" s="16" t="s">
        <v>9</v>
      </c>
      <c r="G56" s="10">
        <v>1</v>
      </c>
      <c r="H56" s="16" t="s">
        <v>9</v>
      </c>
      <c r="I56" s="10">
        <v>1</v>
      </c>
      <c r="J56" s="16" t="s">
        <v>9</v>
      </c>
      <c r="K56" s="10">
        <v>1</v>
      </c>
      <c r="L56" s="16" t="s">
        <v>9</v>
      </c>
      <c r="M56" s="10">
        <v>1</v>
      </c>
      <c r="N56" s="16" t="s">
        <v>9</v>
      </c>
      <c r="O56" s="10">
        <v>1</v>
      </c>
      <c r="P56" s="16" t="s">
        <v>9</v>
      </c>
      <c r="Q56" s="10">
        <v>1</v>
      </c>
      <c r="R56" s="16" t="s">
        <v>9</v>
      </c>
      <c r="S56" s="10">
        <v>1</v>
      </c>
      <c r="T56" s="16" t="s">
        <v>9</v>
      </c>
      <c r="U56" s="10">
        <v>1</v>
      </c>
      <c r="V56" s="16" t="s">
        <v>9</v>
      </c>
      <c r="W56" s="10">
        <v>1</v>
      </c>
      <c r="X56" s="16" t="s">
        <v>9</v>
      </c>
      <c r="Y56" s="10">
        <v>1</v>
      </c>
      <c r="Z56" s="16" t="s">
        <v>9</v>
      </c>
      <c r="AA56" s="10">
        <v>1</v>
      </c>
      <c r="AB56" s="16" t="s">
        <v>9</v>
      </c>
      <c r="AC56" s="10">
        <v>1</v>
      </c>
      <c r="AD56" s="16" t="s">
        <v>9</v>
      </c>
      <c r="AE56" s="10">
        <v>1</v>
      </c>
      <c r="AF56" s="16" t="s">
        <v>9</v>
      </c>
      <c r="AG56" s="10">
        <v>1</v>
      </c>
      <c r="AH56" s="16" t="s">
        <v>9</v>
      </c>
      <c r="AI56" s="10">
        <v>1</v>
      </c>
      <c r="AJ56" s="16" t="s">
        <v>9</v>
      </c>
      <c r="AK56" s="10">
        <v>1</v>
      </c>
      <c r="AL56" s="16" t="s">
        <v>9</v>
      </c>
      <c r="AM56" s="10">
        <v>1</v>
      </c>
      <c r="AN56" s="16" t="s">
        <v>9</v>
      </c>
      <c r="AO56" s="17">
        <v>1</v>
      </c>
    </row>
    <row r="57" spans="1:41" x14ac:dyDescent="0.2">
      <c r="A57" s="216"/>
      <c r="B57" s="13" t="s">
        <v>56</v>
      </c>
      <c r="C57" s="14" t="s">
        <v>58</v>
      </c>
      <c r="D57" s="13" t="s">
        <v>56</v>
      </c>
      <c r="E57" s="14" t="s">
        <v>60</v>
      </c>
      <c r="F57" s="13" t="s">
        <v>56</v>
      </c>
      <c r="G57" s="14" t="s">
        <v>141</v>
      </c>
      <c r="H57" s="13" t="s">
        <v>56</v>
      </c>
      <c r="I57" s="14" t="s">
        <v>143</v>
      </c>
      <c r="J57" s="13" t="s">
        <v>56</v>
      </c>
      <c r="K57" s="14" t="s">
        <v>145</v>
      </c>
      <c r="L57" s="13" t="s">
        <v>56</v>
      </c>
      <c r="M57" s="14" t="s">
        <v>147</v>
      </c>
      <c r="N57" s="13" t="s">
        <v>56</v>
      </c>
      <c r="O57" s="14" t="s">
        <v>149</v>
      </c>
      <c r="P57" s="13" t="s">
        <v>56</v>
      </c>
      <c r="Q57" s="14" t="s">
        <v>62</v>
      </c>
      <c r="R57" s="13" t="s">
        <v>56</v>
      </c>
      <c r="S57" s="14" t="s">
        <v>64</v>
      </c>
      <c r="T57" s="13" t="s">
        <v>56</v>
      </c>
      <c r="U57" s="14" t="s">
        <v>66</v>
      </c>
      <c r="V57" s="13" t="s">
        <v>56</v>
      </c>
      <c r="W57" s="14" t="s">
        <v>68</v>
      </c>
      <c r="X57" s="13" t="s">
        <v>56</v>
      </c>
      <c r="Y57" s="14" t="s">
        <v>70</v>
      </c>
      <c r="Z57" s="13" t="s">
        <v>56</v>
      </c>
      <c r="AA57" s="14" t="s">
        <v>72</v>
      </c>
      <c r="AB57" s="13" t="s">
        <v>56</v>
      </c>
      <c r="AC57" s="14" t="s">
        <v>74</v>
      </c>
      <c r="AD57" s="13" t="s">
        <v>56</v>
      </c>
      <c r="AE57" s="14" t="s">
        <v>76</v>
      </c>
      <c r="AF57" s="13" t="s">
        <v>56</v>
      </c>
      <c r="AG57" s="14" t="s">
        <v>78</v>
      </c>
      <c r="AH57" s="13" t="s">
        <v>56</v>
      </c>
      <c r="AI57" s="14" t="s">
        <v>80</v>
      </c>
      <c r="AJ57" s="13" t="s">
        <v>56</v>
      </c>
      <c r="AK57" s="14" t="s">
        <v>82</v>
      </c>
      <c r="AL57" s="13" t="s">
        <v>56</v>
      </c>
      <c r="AM57" s="14" t="s">
        <v>84</v>
      </c>
      <c r="AN57" s="13" t="s">
        <v>56</v>
      </c>
      <c r="AO57" s="15" t="s">
        <v>86</v>
      </c>
    </row>
    <row r="58" spans="1:41" x14ac:dyDescent="0.2">
      <c r="A58" s="216"/>
      <c r="B58" s="16" t="s">
        <v>9</v>
      </c>
      <c r="C58" s="10">
        <v>1</v>
      </c>
      <c r="D58" s="16" t="s">
        <v>9</v>
      </c>
      <c r="E58" s="10">
        <v>1</v>
      </c>
      <c r="F58" s="16" t="s">
        <v>9</v>
      </c>
      <c r="G58" s="10">
        <v>1</v>
      </c>
      <c r="H58" s="16" t="s">
        <v>9</v>
      </c>
      <c r="I58" s="10">
        <v>1</v>
      </c>
      <c r="J58" s="16" t="s">
        <v>9</v>
      </c>
      <c r="K58" s="10">
        <v>1</v>
      </c>
      <c r="L58" s="16" t="s">
        <v>9</v>
      </c>
      <c r="M58" s="10">
        <v>1</v>
      </c>
      <c r="N58" s="16" t="s">
        <v>9</v>
      </c>
      <c r="O58" s="10">
        <v>1</v>
      </c>
      <c r="P58" s="16" t="s">
        <v>9</v>
      </c>
      <c r="Q58" s="10">
        <v>1</v>
      </c>
      <c r="R58" s="16" t="s">
        <v>9</v>
      </c>
      <c r="S58" s="10">
        <v>1</v>
      </c>
      <c r="T58" s="16" t="s">
        <v>9</v>
      </c>
      <c r="U58" s="10">
        <v>1</v>
      </c>
      <c r="V58" s="16" t="s">
        <v>9</v>
      </c>
      <c r="W58" s="10">
        <v>1</v>
      </c>
      <c r="X58" s="16" t="s">
        <v>9</v>
      </c>
      <c r="Y58" s="10">
        <v>1</v>
      </c>
      <c r="Z58" s="16" t="s">
        <v>9</v>
      </c>
      <c r="AA58" s="10">
        <v>1</v>
      </c>
      <c r="AB58" s="16" t="s">
        <v>9</v>
      </c>
      <c r="AC58" s="10">
        <v>1</v>
      </c>
      <c r="AD58" s="16" t="s">
        <v>9</v>
      </c>
      <c r="AE58" s="10">
        <v>1</v>
      </c>
      <c r="AF58" s="16" t="s">
        <v>9</v>
      </c>
      <c r="AG58" s="10">
        <v>1</v>
      </c>
      <c r="AH58" s="16" t="s">
        <v>9</v>
      </c>
      <c r="AI58" s="10">
        <v>1</v>
      </c>
      <c r="AJ58" s="16" t="s">
        <v>9</v>
      </c>
      <c r="AK58" s="10">
        <v>1</v>
      </c>
      <c r="AL58" s="16" t="s">
        <v>9</v>
      </c>
      <c r="AM58" s="10">
        <v>1</v>
      </c>
      <c r="AN58" s="16" t="s">
        <v>9</v>
      </c>
      <c r="AO58" s="17">
        <v>1</v>
      </c>
    </row>
    <row r="59" spans="1:41" x14ac:dyDescent="0.2">
      <c r="C59" s="104">
        <f>DCOUNTA(SUPPORTO_punti!$B$1:$AR$166,C55,B57:C58)+DCOUNTA(SUPPORTO_punti!$B$1:$AR$166,C55,B55:C56)</f>
        <v>2</v>
      </c>
      <c r="D59" s="18"/>
      <c r="E59" s="104">
        <f>DCOUNTA(SUPPORTO_punti!$B$1:$AR$166,E55,D57:E58)+DCOUNTA(SUPPORTO_punti!$B$1:$AR$166,E55,D55:E56)</f>
        <v>4</v>
      </c>
      <c r="F59" s="18"/>
      <c r="G59" s="104">
        <f>DCOUNTA(SUPPORTO_punti!$B$1:$AR$166,G55,F57:G58)+DCOUNTA(SUPPORTO_punti!$B$1:$AR$166,G55,F55:G56)</f>
        <v>5</v>
      </c>
      <c r="H59" s="18"/>
      <c r="I59" s="104">
        <f>DCOUNTA(SUPPORTO_punti!$B$1:$AR$166,I55,H57:I58)+DCOUNTA(SUPPORTO_punti!$B$1:$AR$166,I55,H55:I56)</f>
        <v>1</v>
      </c>
      <c r="J59" s="18"/>
      <c r="K59" s="104">
        <f>DCOUNTA(SUPPORTO_punti!$B$1:$AR$166,K55,J57:K58)+DCOUNTA(SUPPORTO_punti!$B$1:$AR$166,K55,J55:K56)</f>
        <v>2</v>
      </c>
      <c r="L59" s="18"/>
      <c r="M59" s="104">
        <f>DCOUNTA(SUPPORTO_punti!$B$1:$AR$166,M55,L57:M58)+DCOUNTA(SUPPORTO_punti!$B$1:$AR$166,M55,L55:M56)</f>
        <v>6</v>
      </c>
      <c r="N59" s="18"/>
      <c r="O59" s="104">
        <f>DCOUNTA(SUPPORTO_punti!$B$1:$AR$166,O55,N57:O58)+DCOUNTA(SUPPORTO_punti!$B$1:$AR$166,O55,N55:O56)</f>
        <v>9</v>
      </c>
      <c r="P59"/>
      <c r="Q59" s="104">
        <f>DCOUNTA(SUPPORTO_punti!$B$1:$AR$166,Q55,P57:Q58)+DCOUNTA(SUPPORTO_punti!$B$1:$AR$166,Q55,P55:Q56)</f>
        <v>6</v>
      </c>
      <c r="R59"/>
      <c r="S59" s="104">
        <f>DCOUNTA(SUPPORTO_punti!$B$1:$AR$166,S55,R57:S58)+DCOUNTA(SUPPORTO_punti!$B$1:$AR$166,S55,R55:S56)</f>
        <v>6</v>
      </c>
      <c r="T59"/>
      <c r="U59" s="104">
        <f>DCOUNTA(SUPPORTO_punti!$B$1:$AR$166,U55,T57:U58)+DCOUNTA(SUPPORTO_punti!$B$1:$AR$166,U55,T55:U56)</f>
        <v>8</v>
      </c>
      <c r="V59"/>
      <c r="W59" s="104">
        <f>DCOUNTA(SUPPORTO_punti!$B$1:$AR$166,W55,V57:W58)+DCOUNTA(SUPPORTO_punti!$B$1:$AR$166,W55,V55:W56)</f>
        <v>5</v>
      </c>
      <c r="X59"/>
      <c r="Y59" s="104">
        <f>DCOUNTA(SUPPORTO_punti!$B$1:$AR$166,Y55,X57:Y58)+DCOUNTA(SUPPORTO_punti!$B$1:$AR$166,Y55,X55:Y56)</f>
        <v>0</v>
      </c>
      <c r="Z59"/>
      <c r="AA59" s="104">
        <f>DCOUNTA(SUPPORTO_punti!$B$1:$AR$166,AA55,Z57:AA58)+DCOUNTA(SUPPORTO_punti!$B$1:$AR$166,AA55,Z55:AA56)</f>
        <v>0</v>
      </c>
      <c r="AB59"/>
      <c r="AC59" s="104">
        <f>DCOUNTA(SUPPORTO_punti!$B$1:$AR$166,AC55,AB57:AC58)+DCOUNTA(SUPPORTO_punti!$B$1:$AR$166,AC55,AB55:AC56)</f>
        <v>0</v>
      </c>
      <c r="AD59"/>
      <c r="AE59" s="104">
        <f>DCOUNTA(SUPPORTO_punti!$B$1:$AR$166,AE55,AD57:AE58)+DCOUNTA(SUPPORTO_punti!$B$1:$AR$166,AE55,AD55:AE56)</f>
        <v>0</v>
      </c>
      <c r="AF59"/>
      <c r="AG59" s="104">
        <f>DCOUNTA(SUPPORTO_punti!$B$1:$AR$166,AG55,AF57:AG58)+DCOUNTA(SUPPORTO_punti!$B$1:$AR$166,AG55,AF55:AG56)</f>
        <v>0</v>
      </c>
      <c r="AH59"/>
      <c r="AI59" s="104">
        <f>DCOUNTA(SUPPORTO_punti!$B$1:$AR$166,AI55,AH57:AI58)+DCOUNTA(SUPPORTO_punti!$B$1:$AR$166,AI55,AH55:AI56)</f>
        <v>0</v>
      </c>
      <c r="AJ59"/>
      <c r="AK59" s="104">
        <f>DCOUNTA(SUPPORTO_punti!$B$1:$AR$166,AK55,AJ57:AK58)+DCOUNTA(SUPPORTO_punti!$B$1:$AR$166,AK55,AJ55:AK56)</f>
        <v>0</v>
      </c>
      <c r="AL59"/>
      <c r="AM59" s="104">
        <f>DCOUNTA(SUPPORTO_punti!$B$1:$AR$166,AM55,AL57:AM58)+DCOUNTA(SUPPORTO_punti!$B$1:$AR$166,AM55,AL55:AM56)</f>
        <v>0</v>
      </c>
      <c r="AN59"/>
      <c r="AO59" s="104">
        <f>DCOUNTA(SUPPORTO_punti!$B$1:$AR$166,AO55,AN57:AO58)+DCOUNTA(SUPPORTO_punti!$B$1:$AR$166,AO55,AN55:AO56)</f>
        <v>0</v>
      </c>
    </row>
    <row r="61" spans="1:41" x14ac:dyDescent="0.2">
      <c r="A61" s="216" t="s">
        <v>156</v>
      </c>
      <c r="B61" s="13" t="s">
        <v>55</v>
      </c>
      <c r="C61" s="14" t="s">
        <v>58</v>
      </c>
      <c r="D61" s="13" t="s">
        <v>55</v>
      </c>
      <c r="E61" s="14" t="s">
        <v>60</v>
      </c>
      <c r="F61" s="13" t="s">
        <v>55</v>
      </c>
      <c r="G61" s="14" t="s">
        <v>141</v>
      </c>
      <c r="H61" s="13" t="s">
        <v>55</v>
      </c>
      <c r="I61" s="14" t="s">
        <v>143</v>
      </c>
      <c r="J61" s="13" t="s">
        <v>55</v>
      </c>
      <c r="K61" s="14" t="s">
        <v>145</v>
      </c>
      <c r="L61" s="13" t="s">
        <v>55</v>
      </c>
      <c r="M61" s="14" t="s">
        <v>147</v>
      </c>
      <c r="N61" s="13" t="s">
        <v>55</v>
      </c>
      <c r="O61" s="14" t="s">
        <v>149</v>
      </c>
      <c r="P61" s="13" t="s">
        <v>55</v>
      </c>
      <c r="Q61" s="14" t="s">
        <v>62</v>
      </c>
      <c r="R61" s="13" t="s">
        <v>55</v>
      </c>
      <c r="S61" s="14" t="s">
        <v>64</v>
      </c>
      <c r="T61" s="13" t="s">
        <v>55</v>
      </c>
      <c r="U61" s="14" t="s">
        <v>66</v>
      </c>
      <c r="V61" s="13" t="s">
        <v>55</v>
      </c>
      <c r="W61" s="14" t="s">
        <v>68</v>
      </c>
      <c r="X61" s="13" t="s">
        <v>55</v>
      </c>
      <c r="Y61" s="14" t="s">
        <v>70</v>
      </c>
      <c r="Z61" s="13" t="s">
        <v>55</v>
      </c>
      <c r="AA61" s="14" t="s">
        <v>72</v>
      </c>
      <c r="AB61" s="13" t="s">
        <v>55</v>
      </c>
      <c r="AC61" s="14" t="s">
        <v>74</v>
      </c>
      <c r="AD61" s="13" t="s">
        <v>55</v>
      </c>
      <c r="AE61" s="14" t="s">
        <v>76</v>
      </c>
      <c r="AF61" s="13" t="s">
        <v>55</v>
      </c>
      <c r="AG61" s="14" t="s">
        <v>78</v>
      </c>
      <c r="AH61" s="13" t="s">
        <v>55</v>
      </c>
      <c r="AI61" s="14" t="s">
        <v>80</v>
      </c>
      <c r="AJ61" s="13" t="s">
        <v>55</v>
      </c>
      <c r="AK61" s="14" t="s">
        <v>82</v>
      </c>
      <c r="AL61" s="13" t="s">
        <v>55</v>
      </c>
      <c r="AM61" s="14" t="s">
        <v>84</v>
      </c>
      <c r="AN61" s="13" t="s">
        <v>55</v>
      </c>
      <c r="AO61" s="15" t="s">
        <v>86</v>
      </c>
    </row>
    <row r="62" spans="1:41" x14ac:dyDescent="0.2">
      <c r="A62" s="216"/>
      <c r="B62" s="16" t="s">
        <v>156</v>
      </c>
      <c r="C62" s="10">
        <v>1</v>
      </c>
      <c r="D62" s="16" t="s">
        <v>156</v>
      </c>
      <c r="E62" s="10">
        <v>1</v>
      </c>
      <c r="F62" s="16" t="s">
        <v>156</v>
      </c>
      <c r="G62" s="10">
        <v>1</v>
      </c>
      <c r="H62" s="16" t="s">
        <v>156</v>
      </c>
      <c r="I62" s="10">
        <v>1</v>
      </c>
      <c r="J62" s="16" t="s">
        <v>156</v>
      </c>
      <c r="K62" s="10">
        <v>1</v>
      </c>
      <c r="L62" s="16" t="s">
        <v>156</v>
      </c>
      <c r="M62" s="10">
        <v>1</v>
      </c>
      <c r="N62" s="16" t="s">
        <v>156</v>
      </c>
      <c r="O62" s="10">
        <v>1</v>
      </c>
      <c r="P62" s="16" t="s">
        <v>156</v>
      </c>
      <c r="Q62" s="10">
        <v>1</v>
      </c>
      <c r="R62" s="16" t="s">
        <v>156</v>
      </c>
      <c r="S62" s="10">
        <v>1</v>
      </c>
      <c r="T62" s="16" t="s">
        <v>156</v>
      </c>
      <c r="U62" s="10">
        <v>1</v>
      </c>
      <c r="V62" s="16" t="s">
        <v>156</v>
      </c>
      <c r="W62" s="10">
        <v>1</v>
      </c>
      <c r="X62" s="16" t="s">
        <v>156</v>
      </c>
      <c r="Y62" s="10">
        <v>1</v>
      </c>
      <c r="Z62" s="16" t="s">
        <v>156</v>
      </c>
      <c r="AA62" s="10">
        <v>1</v>
      </c>
      <c r="AB62" s="16" t="s">
        <v>156</v>
      </c>
      <c r="AC62" s="10">
        <v>1</v>
      </c>
      <c r="AD62" s="16" t="s">
        <v>156</v>
      </c>
      <c r="AE62" s="10">
        <v>1</v>
      </c>
      <c r="AF62" s="16" t="s">
        <v>156</v>
      </c>
      <c r="AG62" s="10">
        <v>1</v>
      </c>
      <c r="AH62" s="16" t="s">
        <v>156</v>
      </c>
      <c r="AI62" s="10">
        <v>1</v>
      </c>
      <c r="AJ62" s="16" t="s">
        <v>156</v>
      </c>
      <c r="AK62" s="10">
        <v>1</v>
      </c>
      <c r="AL62" s="16" t="s">
        <v>156</v>
      </c>
      <c r="AM62" s="10">
        <v>1</v>
      </c>
      <c r="AN62" s="16" t="s">
        <v>156</v>
      </c>
      <c r="AO62" s="17">
        <v>1</v>
      </c>
    </row>
    <row r="63" spans="1:41" x14ac:dyDescent="0.2">
      <c r="A63" s="216"/>
      <c r="B63" s="13" t="s">
        <v>56</v>
      </c>
      <c r="C63" s="14" t="s">
        <v>58</v>
      </c>
      <c r="D63" s="13" t="s">
        <v>56</v>
      </c>
      <c r="E63" s="14" t="s">
        <v>60</v>
      </c>
      <c r="F63" s="13" t="s">
        <v>56</v>
      </c>
      <c r="G63" s="14" t="s">
        <v>141</v>
      </c>
      <c r="H63" s="13" t="s">
        <v>56</v>
      </c>
      <c r="I63" s="14" t="s">
        <v>143</v>
      </c>
      <c r="J63" s="13" t="s">
        <v>56</v>
      </c>
      <c r="K63" s="14" t="s">
        <v>145</v>
      </c>
      <c r="L63" s="13" t="s">
        <v>56</v>
      </c>
      <c r="M63" s="14" t="s">
        <v>147</v>
      </c>
      <c r="N63" s="13" t="s">
        <v>56</v>
      </c>
      <c r="O63" s="14" t="s">
        <v>149</v>
      </c>
      <c r="P63" s="13" t="s">
        <v>56</v>
      </c>
      <c r="Q63" s="14" t="s">
        <v>62</v>
      </c>
      <c r="R63" s="13" t="s">
        <v>56</v>
      </c>
      <c r="S63" s="14" t="s">
        <v>64</v>
      </c>
      <c r="T63" s="13" t="s">
        <v>56</v>
      </c>
      <c r="U63" s="14" t="s">
        <v>66</v>
      </c>
      <c r="V63" s="13" t="s">
        <v>56</v>
      </c>
      <c r="W63" s="14" t="s">
        <v>68</v>
      </c>
      <c r="X63" s="13" t="s">
        <v>56</v>
      </c>
      <c r="Y63" s="14" t="s">
        <v>70</v>
      </c>
      <c r="Z63" s="13" t="s">
        <v>56</v>
      </c>
      <c r="AA63" s="14" t="s">
        <v>72</v>
      </c>
      <c r="AB63" s="13" t="s">
        <v>56</v>
      </c>
      <c r="AC63" s="14" t="s">
        <v>74</v>
      </c>
      <c r="AD63" s="13" t="s">
        <v>56</v>
      </c>
      <c r="AE63" s="14" t="s">
        <v>76</v>
      </c>
      <c r="AF63" s="13" t="s">
        <v>56</v>
      </c>
      <c r="AG63" s="14" t="s">
        <v>78</v>
      </c>
      <c r="AH63" s="13" t="s">
        <v>56</v>
      </c>
      <c r="AI63" s="14" t="s">
        <v>80</v>
      </c>
      <c r="AJ63" s="13" t="s">
        <v>56</v>
      </c>
      <c r="AK63" s="14" t="s">
        <v>82</v>
      </c>
      <c r="AL63" s="13" t="s">
        <v>56</v>
      </c>
      <c r="AM63" s="14" t="s">
        <v>84</v>
      </c>
      <c r="AN63" s="13" t="s">
        <v>56</v>
      </c>
      <c r="AO63" s="15" t="s">
        <v>86</v>
      </c>
    </row>
    <row r="64" spans="1:41" x14ac:dyDescent="0.2">
      <c r="A64" s="216"/>
      <c r="B64" s="16" t="s">
        <v>156</v>
      </c>
      <c r="C64" s="10">
        <v>1</v>
      </c>
      <c r="D64" s="16" t="s">
        <v>156</v>
      </c>
      <c r="E64" s="10">
        <v>1</v>
      </c>
      <c r="F64" s="16" t="s">
        <v>156</v>
      </c>
      <c r="G64" s="10">
        <v>1</v>
      </c>
      <c r="H64" s="16" t="s">
        <v>156</v>
      </c>
      <c r="I64" s="10">
        <v>1</v>
      </c>
      <c r="J64" s="16" t="s">
        <v>156</v>
      </c>
      <c r="K64" s="10">
        <v>1</v>
      </c>
      <c r="L64" s="16" t="s">
        <v>156</v>
      </c>
      <c r="M64" s="10">
        <v>1</v>
      </c>
      <c r="N64" s="16" t="s">
        <v>156</v>
      </c>
      <c r="O64" s="10">
        <v>1</v>
      </c>
      <c r="P64" s="16" t="s">
        <v>156</v>
      </c>
      <c r="Q64" s="10">
        <v>1</v>
      </c>
      <c r="R64" s="16" t="s">
        <v>156</v>
      </c>
      <c r="S64" s="10">
        <v>1</v>
      </c>
      <c r="T64" s="16" t="s">
        <v>156</v>
      </c>
      <c r="U64" s="10">
        <v>1</v>
      </c>
      <c r="V64" s="16" t="s">
        <v>156</v>
      </c>
      <c r="W64" s="10">
        <v>1</v>
      </c>
      <c r="X64" s="16" t="s">
        <v>156</v>
      </c>
      <c r="Y64" s="10">
        <v>1</v>
      </c>
      <c r="Z64" s="16" t="s">
        <v>156</v>
      </c>
      <c r="AA64" s="10">
        <v>1</v>
      </c>
      <c r="AB64" s="16" t="s">
        <v>156</v>
      </c>
      <c r="AC64" s="10">
        <v>1</v>
      </c>
      <c r="AD64" s="16" t="s">
        <v>156</v>
      </c>
      <c r="AE64" s="10">
        <v>1</v>
      </c>
      <c r="AF64" s="16" t="s">
        <v>156</v>
      </c>
      <c r="AG64" s="10">
        <v>1</v>
      </c>
      <c r="AH64" s="16" t="s">
        <v>156</v>
      </c>
      <c r="AI64" s="10">
        <v>1</v>
      </c>
      <c r="AJ64" s="16" t="s">
        <v>156</v>
      </c>
      <c r="AK64" s="10">
        <v>1</v>
      </c>
      <c r="AL64" s="16" t="s">
        <v>156</v>
      </c>
      <c r="AM64" s="10">
        <v>1</v>
      </c>
      <c r="AN64" s="16" t="s">
        <v>156</v>
      </c>
      <c r="AO64" s="17">
        <v>1</v>
      </c>
    </row>
    <row r="65" spans="3:41" x14ac:dyDescent="0.2">
      <c r="C65" s="104">
        <f>DCOUNTA(SUPPORTO_punti!$B$1:$AR$166,C61,B63:C64)+DCOUNTA(SUPPORTO_punti!$B$1:$AR$166,C61,B61:C62)</f>
        <v>0</v>
      </c>
      <c r="D65" s="18"/>
      <c r="E65" s="104">
        <f>DCOUNTA(SUPPORTO_punti!$B$1:$AR$166,E61,D63:E64)+DCOUNTA(SUPPORTO_punti!$B$1:$AR$166,E61,D61:E62)</f>
        <v>0</v>
      </c>
      <c r="F65" s="18"/>
      <c r="G65" s="104">
        <f>DCOUNTA(SUPPORTO_punti!$B$1:$AR$166,G61,F63:G64)+DCOUNTA(SUPPORTO_punti!$B$1:$AR$166,G61,F61:G62)</f>
        <v>0</v>
      </c>
      <c r="H65" s="18"/>
      <c r="I65" s="104">
        <f>DCOUNTA(SUPPORTO_punti!$B$1:$AR$166,I61,H63:I64)+DCOUNTA(SUPPORTO_punti!$B$1:$AR$166,I61,H61:I62)</f>
        <v>0</v>
      </c>
      <c r="J65" s="18"/>
      <c r="K65" s="104">
        <f>DCOUNTA(SUPPORTO_punti!$B$1:$AR$166,K61,J63:K64)+DCOUNTA(SUPPORTO_punti!$B$1:$AR$166,K61,J61:K62)</f>
        <v>0</v>
      </c>
      <c r="L65" s="18"/>
      <c r="M65" s="104">
        <f>DCOUNTA(SUPPORTO_punti!$B$1:$AR$166,M61,L63:M64)+DCOUNTA(SUPPORTO_punti!$B$1:$AR$166,M61,L61:M62)</f>
        <v>0</v>
      </c>
      <c r="N65" s="18"/>
      <c r="O65" s="104">
        <f>DCOUNTA(SUPPORTO_punti!$B$1:$AR$166,O61,N63:O64)+DCOUNTA(SUPPORTO_punti!$B$1:$AR$166,O61,N61:O62)</f>
        <v>0</v>
      </c>
      <c r="P65"/>
      <c r="Q65" s="104">
        <f>DCOUNTA(SUPPORTO_punti!$B$1:$AR$166,Q61,P63:Q64)+DCOUNTA(SUPPORTO_punti!$B$1:$AR$166,Q61,P61:Q62)</f>
        <v>0</v>
      </c>
      <c r="R65"/>
      <c r="S65" s="104">
        <f>DCOUNTA(SUPPORTO_punti!$B$1:$AR$166,S61,R63:S64)+DCOUNTA(SUPPORTO_punti!$B$1:$AR$166,S61,R61:S62)</f>
        <v>0</v>
      </c>
      <c r="T65"/>
      <c r="U65" s="104">
        <f>DCOUNTA(SUPPORTO_punti!$B$1:$AR$166,U61,T63:U64)+DCOUNTA(SUPPORTO_punti!$B$1:$AR$166,U61,T61:U62)</f>
        <v>0</v>
      </c>
      <c r="V65"/>
      <c r="W65" s="104">
        <f>DCOUNTA(SUPPORTO_punti!$B$1:$AR$166,W61,V63:W64)+DCOUNTA(SUPPORTO_punti!$B$1:$AR$166,W61,V61:W62)</f>
        <v>0</v>
      </c>
      <c r="X65"/>
      <c r="Y65" s="104">
        <f>DCOUNTA(SUPPORTO_punti!$B$1:$AR$166,Y61,X63:Y64)+DCOUNTA(SUPPORTO_punti!$B$1:$AR$166,Y61,X61:Y62)</f>
        <v>0</v>
      </c>
      <c r="Z65"/>
      <c r="AA65" s="104">
        <f>DCOUNTA(SUPPORTO_punti!$B$1:$AR$166,AA61,Z63:AA64)+DCOUNTA(SUPPORTO_punti!$B$1:$AR$166,AA61,Z61:AA62)</f>
        <v>0</v>
      </c>
      <c r="AB65"/>
      <c r="AC65" s="104">
        <f>DCOUNTA(SUPPORTO_punti!$B$1:$AR$166,AC61,AB63:AC64)+DCOUNTA(SUPPORTO_punti!$B$1:$AR$166,AC61,AB61:AC62)</f>
        <v>0</v>
      </c>
      <c r="AD65"/>
      <c r="AE65" s="104">
        <f>DCOUNTA(SUPPORTO_punti!$B$1:$AR$166,AE61,AD63:AE64)+DCOUNTA(SUPPORTO_punti!$B$1:$AR$166,AE61,AD61:AE62)</f>
        <v>0</v>
      </c>
      <c r="AF65"/>
      <c r="AG65" s="104">
        <f>DCOUNTA(SUPPORTO_punti!$B$1:$AR$166,AG61,AF63:AG64)+DCOUNTA(SUPPORTO_punti!$B$1:$AR$166,AG61,AF61:AG62)</f>
        <v>0</v>
      </c>
      <c r="AH65"/>
      <c r="AI65" s="104">
        <f>DCOUNTA(SUPPORTO_punti!$B$1:$AR$166,AI61,AH63:AI64)+DCOUNTA(SUPPORTO_punti!$B$1:$AR$166,AI61,AH61:AI62)</f>
        <v>0</v>
      </c>
      <c r="AJ65"/>
      <c r="AK65" s="104">
        <f>DCOUNTA(SUPPORTO_punti!$B$1:$AR$166,AK61,AJ63:AK64)+DCOUNTA(SUPPORTO_punti!$B$1:$AR$166,AK61,AJ61:AK62)</f>
        <v>0</v>
      </c>
      <c r="AL65"/>
      <c r="AM65" s="104">
        <f>DCOUNTA(SUPPORTO_punti!$B$1:$AR$166,AM61,AL63:AM64)+DCOUNTA(SUPPORTO_punti!$B$1:$AR$166,AM61,AL61:AM62)</f>
        <v>0</v>
      </c>
      <c r="AN65"/>
      <c r="AO65" s="104">
        <f>DCOUNTA(SUPPORTO_punti!$B$1:$AR$166,AO61,AN63:AO64)+DCOUNTA(SUPPORTO_punti!$B$1:$AR$166,AO61,AN61:AO62)</f>
        <v>0</v>
      </c>
    </row>
  </sheetData>
  <mergeCells count="11">
    <mergeCell ref="A61:A64"/>
    <mergeCell ref="A37:A40"/>
    <mergeCell ref="A43:A46"/>
    <mergeCell ref="A49:A52"/>
    <mergeCell ref="A55:A58"/>
    <mergeCell ref="A31:A34"/>
    <mergeCell ref="A1:A4"/>
    <mergeCell ref="A7:A10"/>
    <mergeCell ref="A13:A16"/>
    <mergeCell ref="A19:A22"/>
    <mergeCell ref="A25:A28"/>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B14"/>
  <sheetViews>
    <sheetView workbookViewId="0">
      <selection activeCell="M6" sqref="M6"/>
    </sheetView>
  </sheetViews>
  <sheetFormatPr baseColWidth="10" defaultColWidth="8.83203125" defaultRowHeight="15" x14ac:dyDescent="0.2"/>
  <cols>
    <col min="1" max="1" width="10.6640625" style="140" customWidth="1"/>
    <col min="2" max="2" width="9.1640625" style="161"/>
    <col min="3" max="3" width="3.6640625" style="162" customWidth="1"/>
    <col min="4" max="4" width="9.1640625" style="163"/>
    <col min="5" max="5" width="10.6640625" style="105" customWidth="1"/>
    <col min="6" max="6" width="4.6640625" customWidth="1"/>
    <col min="7" max="7" width="10.6640625" customWidth="1"/>
    <col min="9" max="9" width="3.6640625" customWidth="1"/>
    <col min="11" max="11" width="10.6640625" customWidth="1"/>
    <col min="12" max="12" width="4.6640625" customWidth="1"/>
    <col min="13" max="13" width="12.6640625" style="162" customWidth="1"/>
    <col min="14" max="14" width="12.6640625" style="185" customWidth="1"/>
    <col min="15" max="24" width="12.6640625" style="175" customWidth="1"/>
    <col min="26" max="28" width="16.6640625" style="181" customWidth="1"/>
  </cols>
  <sheetData>
    <row r="1" spans="1:28" s="177" customFormat="1" ht="45" customHeight="1" x14ac:dyDescent="0.2">
      <c r="A1" s="221" t="s">
        <v>197</v>
      </c>
      <c r="B1" s="222"/>
      <c r="C1" s="222"/>
      <c r="D1" s="222"/>
      <c r="E1" s="222"/>
      <c r="F1" s="176"/>
      <c r="G1" s="222" t="s">
        <v>202</v>
      </c>
      <c r="H1" s="222"/>
      <c r="I1" s="222"/>
      <c r="J1" s="222"/>
      <c r="K1" s="222"/>
      <c r="L1" s="176"/>
      <c r="M1" s="179" t="s">
        <v>200</v>
      </c>
      <c r="N1" s="186"/>
      <c r="O1" s="217" t="s">
        <v>205</v>
      </c>
      <c r="P1" s="217" t="s">
        <v>206</v>
      </c>
      <c r="Q1" s="217" t="s">
        <v>208</v>
      </c>
      <c r="R1" s="217" t="s">
        <v>207</v>
      </c>
      <c r="S1" s="217" t="s">
        <v>209</v>
      </c>
      <c r="T1" s="217" t="s">
        <v>211</v>
      </c>
      <c r="U1" s="217" t="s">
        <v>210</v>
      </c>
      <c r="V1" s="217" t="s">
        <v>212</v>
      </c>
      <c r="W1" s="217" t="s">
        <v>221</v>
      </c>
      <c r="X1" s="217" t="s">
        <v>213</v>
      </c>
      <c r="Z1" s="219" t="s">
        <v>215</v>
      </c>
      <c r="AA1" s="219" t="s">
        <v>214</v>
      </c>
      <c r="AB1" s="219" t="s">
        <v>216</v>
      </c>
    </row>
    <row r="2" spans="1:28" s="140" customFormat="1" ht="64" x14ac:dyDescent="0.2">
      <c r="A2" s="203" t="s">
        <v>204</v>
      </c>
      <c r="B2" s="194" t="s">
        <v>169</v>
      </c>
      <c r="C2" s="146"/>
      <c r="D2" s="196" t="s">
        <v>170</v>
      </c>
      <c r="E2" s="197" t="s">
        <v>203</v>
      </c>
      <c r="F2" s="139"/>
      <c r="G2" s="136" t="s">
        <v>204</v>
      </c>
      <c r="H2" s="208" t="s">
        <v>169</v>
      </c>
      <c r="I2" s="137"/>
      <c r="J2" s="138" t="s">
        <v>170</v>
      </c>
      <c r="K2" s="205" t="s">
        <v>222</v>
      </c>
      <c r="L2" s="139"/>
      <c r="M2" s="178" t="s">
        <v>201</v>
      </c>
      <c r="N2" s="186"/>
      <c r="O2" s="218"/>
      <c r="P2" s="218"/>
      <c r="Q2" s="218"/>
      <c r="R2" s="218"/>
      <c r="S2" s="218"/>
      <c r="T2" s="218"/>
      <c r="U2" s="218"/>
      <c r="V2" s="218"/>
      <c r="W2" s="218"/>
      <c r="X2" s="218"/>
      <c r="Z2" s="220"/>
      <c r="AA2" s="220"/>
      <c r="AB2" s="220"/>
    </row>
    <row r="3" spans="1:28" x14ac:dyDescent="0.2">
      <c r="A3" s="203" t="s">
        <v>1</v>
      </c>
      <c r="B3" s="142">
        <f>SUM(Q3)</f>
        <v>0</v>
      </c>
      <c r="C3" s="143">
        <f t="shared" ref="C3:C12" si="0">IF(B3&lt;=B$13,0,1)</f>
        <v>0</v>
      </c>
      <c r="D3" s="144" t="e">
        <f t="shared" ref="D3:D12" si="1">IF(C3=0,0.8*(B3/B$13),0.8+0.2*(B3-B$13)/(B$14-B$13))</f>
        <v>#DIV/0!</v>
      </c>
      <c r="E3" s="200" t="e">
        <f>SUM(D3*20)</f>
        <v>#DIV/0!</v>
      </c>
      <c r="F3" s="145"/>
      <c r="G3" s="141" t="s">
        <v>1</v>
      </c>
      <c r="H3" s="206">
        <f>SUM(S3)</f>
        <v>0</v>
      </c>
      <c r="I3" s="149">
        <f t="shared" ref="I3:I12" si="2">IF(H3&lt;=H$13,0,1)</f>
        <v>0</v>
      </c>
      <c r="J3" s="150" t="e">
        <f t="shared" ref="J3:J12" si="3">IF(I3=0,0.8*(H3/H$13),0.8+0.2*(H3-H$13)/(H$14-H$13))</f>
        <v>#DIV/0!</v>
      </c>
      <c r="K3" s="201" t="e">
        <f>SUM(J3*20)</f>
        <v>#DIV/0!</v>
      </c>
      <c r="L3" s="145"/>
      <c r="M3" s="188" t="e">
        <f>SUM(E3+K3)</f>
        <v>#DIV/0!</v>
      </c>
      <c r="N3" s="187"/>
      <c r="O3" s="193"/>
      <c r="P3" s="193"/>
      <c r="Q3" s="209"/>
      <c r="R3" s="193"/>
      <c r="S3" s="209"/>
      <c r="T3" s="193"/>
      <c r="U3" s="193"/>
      <c r="V3" s="193"/>
      <c r="W3" s="193"/>
      <c r="X3" s="193"/>
      <c r="Z3" s="182">
        <f>SUM((950000-P3)/950000)-Q3/100</f>
        <v>1</v>
      </c>
      <c r="AA3" s="182">
        <f>SUM((1620000-R3)/1620000)-S3/100</f>
        <v>1</v>
      </c>
      <c r="AB3" s="210">
        <f>SUM(P3+R3-O3)</f>
        <v>0</v>
      </c>
    </row>
    <row r="4" spans="1:28" x14ac:dyDescent="0.2">
      <c r="A4" s="204" t="s">
        <v>2</v>
      </c>
      <c r="B4" s="148">
        <f t="shared" ref="B4:B12" si="4">SUM(Q4)</f>
        <v>0</v>
      </c>
      <c r="C4" s="149">
        <f t="shared" si="0"/>
        <v>0</v>
      </c>
      <c r="D4" s="150" t="e">
        <f t="shared" si="1"/>
        <v>#DIV/0!</v>
      </c>
      <c r="E4" s="201" t="e">
        <f t="shared" ref="E4:E12" si="5">SUM(D4*20)</f>
        <v>#DIV/0!</v>
      </c>
      <c r="F4" s="151"/>
      <c r="G4" s="147" t="s">
        <v>2</v>
      </c>
      <c r="H4" s="206">
        <f t="shared" ref="H4:H12" si="6">SUM(S4)</f>
        <v>0</v>
      </c>
      <c r="I4" s="149">
        <f t="shared" si="2"/>
        <v>0</v>
      </c>
      <c r="J4" s="150" t="e">
        <f t="shared" si="3"/>
        <v>#DIV/0!</v>
      </c>
      <c r="K4" s="201" t="e">
        <f t="shared" ref="K4:K12" si="7">SUM(J4*20)</f>
        <v>#DIV/0!</v>
      </c>
      <c r="L4" s="151"/>
      <c r="M4" s="189" t="e">
        <f t="shared" ref="M4:M12" si="8">SUM(E4+K4)</f>
        <v>#DIV/0!</v>
      </c>
      <c r="N4" s="187"/>
      <c r="O4" s="193"/>
      <c r="P4" s="193"/>
      <c r="Q4" s="209"/>
      <c r="R4" s="193"/>
      <c r="S4" s="209"/>
      <c r="T4" s="193"/>
      <c r="U4" s="193"/>
      <c r="V4" s="193"/>
      <c r="W4" s="193"/>
      <c r="X4" s="193"/>
      <c r="Z4" s="182">
        <f t="shared" ref="Z4:Z12" si="9">SUM((950000-P4)/950000)-Q4/100</f>
        <v>1</v>
      </c>
      <c r="AA4" s="182">
        <f t="shared" ref="AA4:AA12" si="10">SUM(R4-1620000)/1620000-S4</f>
        <v>-1</v>
      </c>
      <c r="AB4" s="210">
        <f t="shared" ref="AB4:AB12" si="11">SUM(P4+R4-O4)</f>
        <v>0</v>
      </c>
    </row>
    <row r="5" spans="1:28" x14ac:dyDescent="0.2">
      <c r="A5" s="204" t="s">
        <v>3</v>
      </c>
      <c r="B5" s="148">
        <f t="shared" si="4"/>
        <v>0</v>
      </c>
      <c r="C5" s="149">
        <f t="shared" si="0"/>
        <v>0</v>
      </c>
      <c r="D5" s="150" t="e">
        <f t="shared" si="1"/>
        <v>#DIV/0!</v>
      </c>
      <c r="E5" s="201" t="e">
        <f t="shared" si="5"/>
        <v>#DIV/0!</v>
      </c>
      <c r="F5" s="151"/>
      <c r="G5" s="147" t="s">
        <v>3</v>
      </c>
      <c r="H5" s="206">
        <f t="shared" si="6"/>
        <v>0</v>
      </c>
      <c r="I5" s="149">
        <f t="shared" si="2"/>
        <v>0</v>
      </c>
      <c r="J5" s="150" t="e">
        <f t="shared" si="3"/>
        <v>#DIV/0!</v>
      </c>
      <c r="K5" s="201" t="e">
        <f t="shared" si="7"/>
        <v>#DIV/0!</v>
      </c>
      <c r="L5" s="151"/>
      <c r="M5" s="189" t="e">
        <f t="shared" si="8"/>
        <v>#DIV/0!</v>
      </c>
      <c r="N5" s="187"/>
      <c r="O5" s="193"/>
      <c r="P5" s="193"/>
      <c r="Q5" s="209"/>
      <c r="R5" s="193"/>
      <c r="S5" s="209"/>
      <c r="T5" s="193"/>
      <c r="U5" s="193"/>
      <c r="V5" s="193"/>
      <c r="W5" s="193"/>
      <c r="X5" s="193"/>
      <c r="Z5" s="182">
        <f t="shared" si="9"/>
        <v>1</v>
      </c>
      <c r="AA5" s="182">
        <f t="shared" si="10"/>
        <v>-1</v>
      </c>
      <c r="AB5" s="210">
        <f t="shared" si="11"/>
        <v>0</v>
      </c>
    </row>
    <row r="6" spans="1:28" x14ac:dyDescent="0.2">
      <c r="A6" s="204" t="s">
        <v>0</v>
      </c>
      <c r="B6" s="148">
        <f t="shared" si="4"/>
        <v>0</v>
      </c>
      <c r="C6" s="149">
        <f t="shared" si="0"/>
        <v>0</v>
      </c>
      <c r="D6" s="150" t="e">
        <f t="shared" si="1"/>
        <v>#DIV/0!</v>
      </c>
      <c r="E6" s="201" t="e">
        <f t="shared" si="5"/>
        <v>#DIV/0!</v>
      </c>
      <c r="F6" s="151"/>
      <c r="G6" s="147" t="s">
        <v>0</v>
      </c>
      <c r="H6" s="206">
        <f t="shared" si="6"/>
        <v>0</v>
      </c>
      <c r="I6" s="149">
        <f t="shared" si="2"/>
        <v>0</v>
      </c>
      <c r="J6" s="150" t="e">
        <f t="shared" si="3"/>
        <v>#DIV/0!</v>
      </c>
      <c r="K6" s="201" t="e">
        <f t="shared" si="7"/>
        <v>#DIV/0!</v>
      </c>
      <c r="L6" s="151"/>
      <c r="M6" s="189" t="e">
        <f t="shared" si="8"/>
        <v>#DIV/0!</v>
      </c>
      <c r="N6" s="187"/>
      <c r="O6" s="193"/>
      <c r="P6" s="193"/>
      <c r="Q6" s="209"/>
      <c r="R6" s="193"/>
      <c r="S6" s="209"/>
      <c r="T6" s="193"/>
      <c r="U6" s="193"/>
      <c r="V6" s="193"/>
      <c r="W6" s="193"/>
      <c r="X6" s="193"/>
      <c r="Z6" s="182">
        <f t="shared" si="9"/>
        <v>1</v>
      </c>
      <c r="AA6" s="182">
        <f t="shared" si="10"/>
        <v>-1</v>
      </c>
      <c r="AB6" s="210">
        <f t="shared" si="11"/>
        <v>0</v>
      </c>
    </row>
    <row r="7" spans="1:28" x14ac:dyDescent="0.2">
      <c r="A7" s="204" t="s">
        <v>4</v>
      </c>
      <c r="B7" s="148">
        <f t="shared" si="4"/>
        <v>0</v>
      </c>
      <c r="C7" s="149">
        <f t="shared" si="0"/>
        <v>0</v>
      </c>
      <c r="D7" s="150" t="e">
        <f t="shared" si="1"/>
        <v>#DIV/0!</v>
      </c>
      <c r="E7" s="201" t="e">
        <f t="shared" si="5"/>
        <v>#DIV/0!</v>
      </c>
      <c r="F7" s="151"/>
      <c r="G7" s="147" t="s">
        <v>4</v>
      </c>
      <c r="H7" s="206">
        <f t="shared" si="6"/>
        <v>0</v>
      </c>
      <c r="I7" s="149">
        <f t="shared" si="2"/>
        <v>0</v>
      </c>
      <c r="J7" s="150" t="e">
        <f t="shared" si="3"/>
        <v>#DIV/0!</v>
      </c>
      <c r="K7" s="201" t="e">
        <f t="shared" si="7"/>
        <v>#DIV/0!</v>
      </c>
      <c r="L7" s="151"/>
      <c r="M7" s="189" t="e">
        <f t="shared" si="8"/>
        <v>#DIV/0!</v>
      </c>
      <c r="N7" s="187"/>
      <c r="O7" s="193"/>
      <c r="P7" s="193"/>
      <c r="Q7" s="209"/>
      <c r="R7" s="193"/>
      <c r="S7" s="209"/>
      <c r="T7" s="193"/>
      <c r="U7" s="193"/>
      <c r="V7" s="193"/>
      <c r="W7" s="193"/>
      <c r="X7" s="193"/>
      <c r="Z7" s="182">
        <f t="shared" si="9"/>
        <v>1</v>
      </c>
      <c r="AA7" s="182">
        <f t="shared" si="10"/>
        <v>-1</v>
      </c>
      <c r="AB7" s="210">
        <f t="shared" si="11"/>
        <v>0</v>
      </c>
    </row>
    <row r="8" spans="1:28" x14ac:dyDescent="0.2">
      <c r="A8" s="204" t="s">
        <v>5</v>
      </c>
      <c r="B8" s="148">
        <f t="shared" si="4"/>
        <v>0</v>
      </c>
      <c r="C8" s="149">
        <f t="shared" si="0"/>
        <v>0</v>
      </c>
      <c r="D8" s="150" t="e">
        <f t="shared" si="1"/>
        <v>#DIV/0!</v>
      </c>
      <c r="E8" s="201" t="e">
        <f t="shared" si="5"/>
        <v>#DIV/0!</v>
      </c>
      <c r="F8" s="151"/>
      <c r="G8" s="147" t="s">
        <v>5</v>
      </c>
      <c r="H8" s="206">
        <f t="shared" si="6"/>
        <v>0</v>
      </c>
      <c r="I8" s="149">
        <f t="shared" si="2"/>
        <v>0</v>
      </c>
      <c r="J8" s="150" t="e">
        <f t="shared" si="3"/>
        <v>#DIV/0!</v>
      </c>
      <c r="K8" s="201" t="e">
        <f t="shared" si="7"/>
        <v>#DIV/0!</v>
      </c>
      <c r="L8" s="151"/>
      <c r="M8" s="189" t="e">
        <f t="shared" si="8"/>
        <v>#DIV/0!</v>
      </c>
      <c r="N8" s="187"/>
      <c r="O8" s="193"/>
      <c r="P8" s="193"/>
      <c r="Q8" s="209"/>
      <c r="R8" s="193"/>
      <c r="S8" s="209"/>
      <c r="T8" s="193"/>
      <c r="U8" s="193"/>
      <c r="V8" s="193"/>
      <c r="W8" s="193"/>
      <c r="X8" s="193"/>
      <c r="Z8" s="182">
        <f t="shared" si="9"/>
        <v>1</v>
      </c>
      <c r="AA8" s="182">
        <f t="shared" si="10"/>
        <v>-1</v>
      </c>
      <c r="AB8" s="210">
        <f t="shared" si="11"/>
        <v>0</v>
      </c>
    </row>
    <row r="9" spans="1:28" x14ac:dyDescent="0.2">
      <c r="A9" s="204" t="s">
        <v>6</v>
      </c>
      <c r="B9" s="148">
        <f t="shared" si="4"/>
        <v>0</v>
      </c>
      <c r="C9" s="149">
        <f t="shared" si="0"/>
        <v>0</v>
      </c>
      <c r="D9" s="150" t="e">
        <f t="shared" si="1"/>
        <v>#DIV/0!</v>
      </c>
      <c r="E9" s="201" t="e">
        <f t="shared" si="5"/>
        <v>#DIV/0!</v>
      </c>
      <c r="F9" s="151"/>
      <c r="G9" s="147" t="s">
        <v>6</v>
      </c>
      <c r="H9" s="206">
        <f t="shared" si="6"/>
        <v>0</v>
      </c>
      <c r="I9" s="149">
        <f t="shared" si="2"/>
        <v>0</v>
      </c>
      <c r="J9" s="150" t="e">
        <f t="shared" si="3"/>
        <v>#DIV/0!</v>
      </c>
      <c r="K9" s="201" t="e">
        <f t="shared" si="7"/>
        <v>#DIV/0!</v>
      </c>
      <c r="L9" s="151"/>
      <c r="M9" s="189" t="e">
        <f t="shared" si="8"/>
        <v>#DIV/0!</v>
      </c>
      <c r="N9" s="187"/>
      <c r="O9" s="193"/>
      <c r="P9" s="193"/>
      <c r="Q9" s="209"/>
      <c r="R9" s="193"/>
      <c r="S9" s="209"/>
      <c r="T9" s="193"/>
      <c r="U9" s="193"/>
      <c r="V9" s="193"/>
      <c r="W9" s="193"/>
      <c r="X9" s="193"/>
      <c r="Z9" s="182">
        <f t="shared" si="9"/>
        <v>1</v>
      </c>
      <c r="AA9" s="182">
        <f t="shared" si="10"/>
        <v>-1</v>
      </c>
      <c r="AB9" s="210">
        <f t="shared" si="11"/>
        <v>0</v>
      </c>
    </row>
    <row r="10" spans="1:28" x14ac:dyDescent="0.2">
      <c r="A10" s="204" t="s">
        <v>7</v>
      </c>
      <c r="B10" s="148">
        <f t="shared" si="4"/>
        <v>0</v>
      </c>
      <c r="C10" s="149">
        <f t="shared" si="0"/>
        <v>0</v>
      </c>
      <c r="D10" s="150" t="e">
        <f t="shared" si="1"/>
        <v>#DIV/0!</v>
      </c>
      <c r="E10" s="201" t="e">
        <f t="shared" si="5"/>
        <v>#DIV/0!</v>
      </c>
      <c r="F10" s="151"/>
      <c r="G10" s="147" t="s">
        <v>7</v>
      </c>
      <c r="H10" s="206">
        <f t="shared" si="6"/>
        <v>0</v>
      </c>
      <c r="I10" s="149">
        <f t="shared" si="2"/>
        <v>0</v>
      </c>
      <c r="J10" s="150" t="e">
        <f t="shared" si="3"/>
        <v>#DIV/0!</v>
      </c>
      <c r="K10" s="201" t="e">
        <f t="shared" si="7"/>
        <v>#DIV/0!</v>
      </c>
      <c r="L10" s="151"/>
      <c r="M10" s="189" t="e">
        <f t="shared" si="8"/>
        <v>#DIV/0!</v>
      </c>
      <c r="N10" s="187"/>
      <c r="O10" s="193"/>
      <c r="P10" s="193"/>
      <c r="Q10" s="209"/>
      <c r="R10" s="193"/>
      <c r="S10" s="209"/>
      <c r="T10" s="193"/>
      <c r="U10" s="193"/>
      <c r="V10" s="193"/>
      <c r="W10" s="193"/>
      <c r="X10" s="193"/>
      <c r="Z10" s="182">
        <f t="shared" si="9"/>
        <v>1</v>
      </c>
      <c r="AA10" s="182">
        <f t="shared" si="10"/>
        <v>-1</v>
      </c>
      <c r="AB10" s="210">
        <f t="shared" si="11"/>
        <v>0</v>
      </c>
    </row>
    <row r="11" spans="1:28" x14ac:dyDescent="0.2">
      <c r="A11" s="204" t="s">
        <v>8</v>
      </c>
      <c r="B11" s="148">
        <f t="shared" si="4"/>
        <v>0</v>
      </c>
      <c r="C11" s="149">
        <f t="shared" si="0"/>
        <v>0</v>
      </c>
      <c r="D11" s="150" t="e">
        <f t="shared" si="1"/>
        <v>#DIV/0!</v>
      </c>
      <c r="E11" s="201" t="e">
        <f t="shared" si="5"/>
        <v>#DIV/0!</v>
      </c>
      <c r="F11" s="151"/>
      <c r="G11" s="147" t="s">
        <v>8</v>
      </c>
      <c r="H11" s="206">
        <f t="shared" si="6"/>
        <v>0</v>
      </c>
      <c r="I11" s="149">
        <f t="shared" si="2"/>
        <v>0</v>
      </c>
      <c r="J11" s="150" t="e">
        <f t="shared" si="3"/>
        <v>#DIV/0!</v>
      </c>
      <c r="K11" s="201" t="e">
        <f t="shared" si="7"/>
        <v>#DIV/0!</v>
      </c>
      <c r="L11" s="151"/>
      <c r="M11" s="189" t="e">
        <f t="shared" si="8"/>
        <v>#DIV/0!</v>
      </c>
      <c r="N11" s="187"/>
      <c r="O11" s="193"/>
      <c r="P11" s="193"/>
      <c r="Q11" s="209"/>
      <c r="R11" s="193"/>
      <c r="S11" s="209"/>
      <c r="T11" s="193"/>
      <c r="U11" s="193"/>
      <c r="V11" s="193"/>
      <c r="W11" s="193"/>
      <c r="X11" s="193"/>
      <c r="Z11" s="182">
        <f t="shared" si="9"/>
        <v>1</v>
      </c>
      <c r="AA11" s="182">
        <f t="shared" si="10"/>
        <v>-1</v>
      </c>
      <c r="AB11" s="210">
        <f t="shared" si="11"/>
        <v>0</v>
      </c>
    </row>
    <row r="12" spans="1:28" x14ac:dyDescent="0.2">
      <c r="A12" s="180" t="s">
        <v>9</v>
      </c>
      <c r="B12" s="153">
        <f t="shared" si="4"/>
        <v>0</v>
      </c>
      <c r="C12" s="154">
        <f t="shared" si="0"/>
        <v>0</v>
      </c>
      <c r="D12" s="155" t="e">
        <f t="shared" si="1"/>
        <v>#DIV/0!</v>
      </c>
      <c r="E12" s="202" t="e">
        <f t="shared" si="5"/>
        <v>#DIV/0!</v>
      </c>
      <c r="F12" s="156"/>
      <c r="G12" s="152" t="s">
        <v>9</v>
      </c>
      <c r="H12" s="207">
        <f t="shared" si="6"/>
        <v>0</v>
      </c>
      <c r="I12" s="154">
        <f t="shared" si="2"/>
        <v>0</v>
      </c>
      <c r="J12" s="155" t="e">
        <f t="shared" si="3"/>
        <v>#DIV/0!</v>
      </c>
      <c r="K12" s="202" t="e">
        <f t="shared" si="7"/>
        <v>#DIV/0!</v>
      </c>
      <c r="L12" s="156"/>
      <c r="M12" s="190" t="e">
        <f t="shared" si="8"/>
        <v>#DIV/0!</v>
      </c>
      <c r="N12" s="187"/>
      <c r="O12" s="193"/>
      <c r="P12" s="193"/>
      <c r="Q12" s="209"/>
      <c r="R12" s="193"/>
      <c r="S12" s="209"/>
      <c r="T12" s="193"/>
      <c r="U12" s="193"/>
      <c r="V12" s="193"/>
      <c r="W12" s="193"/>
      <c r="X12" s="193"/>
      <c r="Z12" s="182">
        <f t="shared" si="9"/>
        <v>1</v>
      </c>
      <c r="AA12" s="182">
        <f t="shared" si="10"/>
        <v>-1</v>
      </c>
      <c r="AB12" s="210">
        <f t="shared" si="11"/>
        <v>0</v>
      </c>
    </row>
    <row r="13" spans="1:28" x14ac:dyDescent="0.2">
      <c r="A13" s="204" t="s">
        <v>171</v>
      </c>
      <c r="B13" s="195">
        <f>SUM(B3:B12)/10</f>
        <v>0</v>
      </c>
      <c r="C13" s="183"/>
      <c r="D13" s="198"/>
      <c r="E13" s="199"/>
      <c r="F13" s="145"/>
      <c r="G13" s="203" t="s">
        <v>171</v>
      </c>
      <c r="H13" s="195">
        <f>SUM(H3:H12)/10</f>
        <v>0</v>
      </c>
      <c r="I13" s="183"/>
      <c r="J13" s="198"/>
      <c r="K13" s="199"/>
      <c r="L13" s="145"/>
      <c r="M13" s="191"/>
      <c r="N13" s="184"/>
    </row>
    <row r="14" spans="1:28" x14ac:dyDescent="0.2">
      <c r="A14" s="180" t="s">
        <v>172</v>
      </c>
      <c r="B14" s="157">
        <f>MAX(B3:B12)</f>
        <v>0</v>
      </c>
      <c r="C14" s="158"/>
      <c r="D14" s="159"/>
      <c r="E14" s="160"/>
      <c r="F14" s="156"/>
      <c r="G14" s="180" t="s">
        <v>172</v>
      </c>
      <c r="H14" s="157">
        <f>MAX(H3:H12)</f>
        <v>0</v>
      </c>
      <c r="I14" s="158"/>
      <c r="J14" s="159"/>
      <c r="K14" s="160"/>
      <c r="L14" s="156"/>
      <c r="M14" s="192"/>
      <c r="N14" s="184"/>
    </row>
  </sheetData>
  <mergeCells count="15">
    <mergeCell ref="A1:E1"/>
    <mergeCell ref="G1:K1"/>
    <mergeCell ref="O1:O2"/>
    <mergeCell ref="P1:P2"/>
    <mergeCell ref="Q1:Q2"/>
    <mergeCell ref="R1:R2"/>
    <mergeCell ref="S1:S2"/>
    <mergeCell ref="T1:T2"/>
    <mergeCell ref="U1:U2"/>
    <mergeCell ref="V1:V2"/>
    <mergeCell ref="W1:W2"/>
    <mergeCell ref="X1:X2"/>
    <mergeCell ref="Z1:Z2"/>
    <mergeCell ref="AA1:AA2"/>
    <mergeCell ref="AB1:AB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6A671C4-0C66-4934-8F20-B438B95A8B2E}">
  <ds:schemaRefs>
    <ds:schemaRef ds:uri="http://schemas.microsoft.com/sharepoint/v3/contenttype/forms"/>
  </ds:schemaRefs>
</ds:datastoreItem>
</file>

<file path=customXml/itemProps2.xml><?xml version="1.0" encoding="utf-8"?>
<ds:datastoreItem xmlns:ds="http://schemas.openxmlformats.org/officeDocument/2006/customXml" ds:itemID="{179B0C26-0237-4D99-85A8-C590FE54E2DE}">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095C7770-E749-4FC5-AE10-FCC0937CD4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Hojas de cálculo</vt:lpstr>
      </vt:variant>
      <vt:variant>
        <vt:i4>5</vt:i4>
      </vt:variant>
      <vt:variant>
        <vt:lpstr>Rangos con nombre</vt:lpstr>
      </vt:variant>
      <vt:variant>
        <vt:i4>45</vt:i4>
      </vt:variant>
    </vt:vector>
  </HeadingPairs>
  <TitlesOfParts>
    <vt:vector size="50" baseType="lpstr">
      <vt:lpstr>MAIN REPORT</vt:lpstr>
      <vt:lpstr>REPORTS PER EVALUATOR</vt:lpstr>
      <vt:lpstr>SUPPORTO_punti</vt:lpstr>
      <vt:lpstr>SUPPORTO_pareggi</vt:lpstr>
      <vt:lpstr>economical offer</vt:lpstr>
      <vt:lpstr>AB</vt:lpstr>
      <vt:lpstr>AC</vt:lpstr>
      <vt:lpstr>AD</vt:lpstr>
      <vt:lpstr>AE</vt:lpstr>
      <vt:lpstr>AF</vt:lpstr>
      <vt:lpstr>AG</vt:lpstr>
      <vt:lpstr>AH</vt:lpstr>
      <vt:lpstr>AI</vt:lpstr>
      <vt:lpstr>AL</vt:lpstr>
      <vt:lpstr>BC</vt:lpstr>
      <vt:lpstr>BD</vt:lpstr>
      <vt:lpstr>BE</vt:lpstr>
      <vt:lpstr>BF</vt:lpstr>
      <vt:lpstr>BG</vt:lpstr>
      <vt:lpstr>BH</vt:lpstr>
      <vt:lpstr>BI</vt:lpstr>
      <vt:lpstr>BL</vt:lpstr>
      <vt:lpstr>CD</vt:lpstr>
      <vt:lpstr>CE</vt:lpstr>
      <vt:lpstr>CF</vt:lpstr>
      <vt:lpstr>CG</vt:lpstr>
      <vt:lpstr>CH</vt:lpstr>
      <vt:lpstr>CI</vt:lpstr>
      <vt:lpstr>CL</vt:lpstr>
      <vt:lpstr>DE</vt:lpstr>
      <vt:lpstr>DF</vt:lpstr>
      <vt:lpstr>DG</vt:lpstr>
      <vt:lpstr>DH</vt:lpstr>
      <vt:lpstr>DI</vt:lpstr>
      <vt:lpstr>DL</vt:lpstr>
      <vt:lpstr>EF</vt:lpstr>
      <vt:lpstr>EG</vt:lpstr>
      <vt:lpstr>EH</vt:lpstr>
      <vt:lpstr>EI</vt:lpstr>
      <vt:lpstr>EL</vt:lpstr>
      <vt:lpstr>FG</vt:lpstr>
      <vt:lpstr>FH</vt:lpstr>
      <vt:lpstr>FI</vt:lpstr>
      <vt:lpstr>FL</vt:lpstr>
      <vt:lpstr>GH</vt:lpstr>
      <vt:lpstr>GI</vt:lpstr>
      <vt:lpstr>GL</vt:lpstr>
      <vt:lpstr>HI</vt:lpstr>
      <vt:lpstr>HL</vt:lpstr>
      <vt:lpstr>IL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a.baratta@anticorruzione.it</dc:creator>
  <cp:lastModifiedBy>Enric Staromiejski Torregrosa</cp:lastModifiedBy>
  <cp:lastPrinted>2015-10-20T10:59:33Z</cp:lastPrinted>
  <dcterms:created xsi:type="dcterms:W3CDTF">2012-04-10T15:21:46Z</dcterms:created>
  <dcterms:modified xsi:type="dcterms:W3CDTF">2020-11-21T22:26:50Z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ies>
</file>