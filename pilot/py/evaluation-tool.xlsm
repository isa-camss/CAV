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108" codeName="{6BE1CDB9-6C1C-A5B6-3FC1-E231EC3C600E}"/>
  <workbookPr codeName="Questa_cartella_di_lavoro" defaultThemeVersion="124226"/>
  <mc:AlternateContent xmlns:mc="http://schemas.openxmlformats.org/markup-compatibility/2006">
    <mc:Choice Requires="x15">
      <x15ac:absPath xmlns:x15ac="http://schemas.microsoft.com/office/spreadsheetml/2010/11/ac" url="/Users/macmini/everis/CAMSS365 - CAMSS 10/02 Delivery/03 Release of CAMSS Ontology v.1.0.0/D03.02 CAV v1.0.0/Piloting/devs/"/>
    </mc:Choice>
  </mc:AlternateContent>
  <xr:revisionPtr revIDLastSave="0" documentId="13_ncr:1_{44F1222E-912F-5D41-8194-416A4ECAB991}" xr6:coauthVersionLast="45" xr6:coauthVersionMax="45" xr10:uidLastSave="{00000000-0000-0000-0000-000000000000}"/>
  <bookViews>
    <workbookView xWindow="780" yWindow="460" windowWidth="32660" windowHeight="19500" tabRatio="794" activeTab="1" xr2:uid="{00000000-000D-0000-FFFF-FFFF00000000}"/>
  </bookViews>
  <sheets>
    <sheet name="MAIN REPORT" sheetId="4" r:id="rId1"/>
    <sheet name="REPORTS PER EVALUATOR" sheetId="2" r:id="rId2"/>
    <sheet name="SUPPORTO_punti" sheetId="5" r:id="rId3"/>
    <sheet name="SUPPORTO_pareggi" sheetId="7" r:id="rId4"/>
    <sheet name="economical offer" sheetId="8" r:id="rId5"/>
  </sheets>
  <definedNames>
    <definedName name="_xlnm._FilterDatabase" localSheetId="2" hidden="1">SUPPORTO_punti!$1:$164</definedName>
    <definedName name="AB">SUPPORTO_punti!$XDJ$1:$XDJ$12</definedName>
    <definedName name="AC">SUPPORTO_punti!$XDK$1:$XDK$12</definedName>
    <definedName name="AD">SUPPORTO_punti!$XDL$1:$XDL$12</definedName>
    <definedName name="AE">SUPPORTO_punti!$XDM$1:$XDM$12</definedName>
    <definedName name="AF">SUPPORTO_punti!$XDN$1:$XDN$12</definedName>
    <definedName name="AG">SUPPORTO_punti!$XDO$1:$XDO$12</definedName>
    <definedName name="AH">SUPPORTO_punti!$XDP$1:$XDP$12</definedName>
    <definedName name="AI">SUPPORTO_punti!$XDQ$1:$XDQ$12</definedName>
    <definedName name="AL">SUPPORTO_punti!$XDR$1:$XDR$12</definedName>
    <definedName name="BC">SUPPORTO_punti!$XDS$1:$XDS$12</definedName>
    <definedName name="BD">SUPPORTO_punti!$XDT$1:$XDT$12</definedName>
    <definedName name="BE">SUPPORTO_punti!$XDU$1:$XDU$12</definedName>
    <definedName name="BF">SUPPORTO_punti!$XDV$1:$XDV$12</definedName>
    <definedName name="BG">SUPPORTO_punti!$XDW$1:$XDW$12</definedName>
    <definedName name="BH">SUPPORTO_punti!$XDX$1:$XDX$12</definedName>
    <definedName name="BI">SUPPORTO_punti!$XDY$1:$XDY$12</definedName>
    <definedName name="BL">SUPPORTO_punti!$XDZ$1:$XDZ$12</definedName>
    <definedName name="CD">SUPPORTO_punti!$XEA$1:$XEA$12</definedName>
    <definedName name="CE">SUPPORTO_punti!$XEB$1:$XEB$12</definedName>
    <definedName name="CF">SUPPORTO_punti!$XEC$1:$XEC$12</definedName>
    <definedName name="CG">SUPPORTO_punti!$XED$1:$XED$12</definedName>
    <definedName name="CH">SUPPORTO_punti!$XEE$1:$XEE$12</definedName>
    <definedName name="CI">SUPPORTO_punti!$XEF$1:$XEF$12</definedName>
    <definedName name="CL">SUPPORTO_punti!$XEG$1:$XEG$12</definedName>
    <definedName name="DE">SUPPORTO_punti!$XEH$1:$XEH$12</definedName>
    <definedName name="DF">SUPPORTO_punti!$XEI$1:$XEI$12</definedName>
    <definedName name="DG">SUPPORTO_punti!$XEJ$1:$XEJ$12</definedName>
    <definedName name="DH">SUPPORTO_punti!$XEK$1:$XEK$12</definedName>
    <definedName name="DI">SUPPORTO_punti!$XEL$1:$XEL$12</definedName>
    <definedName name="DL">SUPPORTO_punti!$XEM$1:$XEM$12</definedName>
    <definedName name="EF">SUPPORTO_punti!$XEN$1:$XEN$12</definedName>
    <definedName name="EG">SUPPORTO_punti!$XEO$1:$XEO$12</definedName>
    <definedName name="EH">SUPPORTO_punti!$XEP$1:$XEP$12</definedName>
    <definedName name="EI">SUPPORTO_punti!$XEQ$1:$XEQ$12</definedName>
    <definedName name="EL">SUPPORTO_punti!$XER$1:$XER$12</definedName>
    <definedName name="FG">SUPPORTO_punti!$XES$1:$XES$12</definedName>
    <definedName name="FH">SUPPORTO_punti!$XET$1:$XET$12</definedName>
    <definedName name="FI">SUPPORTO_punti!$XEU$1:$XEU$12</definedName>
    <definedName name="FL">SUPPORTO_punti!$XEV$1:$XEV$12</definedName>
    <definedName name="GH">SUPPORTO_punti!$XEW$1:$XEW$12</definedName>
    <definedName name="GI">SUPPORTO_punti!$XEX$1:$XEX$12</definedName>
    <definedName name="GL">SUPPORTO_punti!$XEY$1:$XEY$12</definedName>
    <definedName name="HI">SUPPORTO_punti!$XEZ$1:$XEZ$12</definedName>
    <definedName name="HL">SUPPORTO_punti!$XFA$1:$XFA$12</definedName>
    <definedName name="IL">SUPPORTO_punti!$XFB$1:$XFD$12</definedName>
    <definedName name="ListaA">#REF!</definedName>
    <definedName name="ListaB">#REF!</definedName>
    <definedName name="ListaC">#REF!</definedName>
    <definedName name="ListaD">#REF!</definedName>
    <definedName name="ListaE">#REF!</definedName>
    <definedName name="ListaF">#REF!</definedName>
    <definedName name="ListaG">#REF!</definedName>
    <definedName name="ListaH">#REF!</definedName>
    <definedName name="ListaI">#REF!</definedName>
    <definedName name="ListaL">#REF!</definedName>
  </definedNames>
  <calcPr calcId="191029"/>
</workbook>
</file>

<file path=xl/calcChain.xml><?xml version="1.0" encoding="utf-8"?>
<calcChain xmlns="http://schemas.openxmlformats.org/spreadsheetml/2006/main">
  <c r="H135" i="2" l="1"/>
  <c r="H134" i="2"/>
  <c r="H133" i="2"/>
  <c r="H132" i="2"/>
  <c r="H131" i="2"/>
  <c r="H130" i="2"/>
  <c r="H129" i="2"/>
  <c r="H128" i="2"/>
  <c r="H127" i="2"/>
  <c r="H126" i="2"/>
  <c r="H123" i="2"/>
  <c r="H122" i="2"/>
  <c r="H121" i="2"/>
  <c r="H120" i="2"/>
  <c r="H119" i="2"/>
  <c r="H118" i="2"/>
  <c r="H117" i="2"/>
  <c r="H116" i="2"/>
  <c r="H115" i="2"/>
  <c r="H114" i="2"/>
  <c r="H111" i="2"/>
  <c r="H110" i="2"/>
  <c r="H109" i="2"/>
  <c r="H108" i="2"/>
  <c r="H107" i="2"/>
  <c r="H106" i="2"/>
  <c r="H105" i="2"/>
  <c r="H104" i="2"/>
  <c r="H103" i="2"/>
  <c r="H102" i="2"/>
  <c r="H99" i="2"/>
  <c r="H98" i="2"/>
  <c r="H97" i="2"/>
  <c r="H96" i="2"/>
  <c r="H95" i="2"/>
  <c r="H94" i="2"/>
  <c r="H93" i="2"/>
  <c r="H92" i="2"/>
  <c r="H91" i="2"/>
  <c r="H90" i="2"/>
  <c r="H87" i="2"/>
  <c r="H86" i="2"/>
  <c r="H85" i="2"/>
  <c r="H84" i="2"/>
  <c r="H83" i="2"/>
  <c r="H82" i="2"/>
  <c r="H81" i="2"/>
  <c r="H80" i="2"/>
  <c r="H79" i="2"/>
  <c r="H78" i="2"/>
  <c r="H75" i="2"/>
  <c r="H74" i="2"/>
  <c r="H73" i="2"/>
  <c r="H72" i="2"/>
  <c r="H71" i="2"/>
  <c r="H70" i="2"/>
  <c r="H69" i="2"/>
  <c r="H68" i="2"/>
  <c r="H67" i="2"/>
  <c r="H66" i="2"/>
  <c r="H63" i="2"/>
  <c r="H62" i="2"/>
  <c r="H61" i="2"/>
  <c r="H60" i="2"/>
  <c r="H59" i="2"/>
  <c r="H58" i="2"/>
  <c r="H57" i="2"/>
  <c r="H56" i="2"/>
  <c r="H55" i="2"/>
  <c r="H54" i="2"/>
  <c r="H51" i="2"/>
  <c r="H50" i="2"/>
  <c r="H49" i="2"/>
  <c r="H48" i="2"/>
  <c r="H47" i="2"/>
  <c r="H46" i="2"/>
  <c r="H45" i="2"/>
  <c r="H44" i="2"/>
  <c r="H43" i="2"/>
  <c r="H42" i="2"/>
  <c r="H39" i="2"/>
  <c r="H38" i="2"/>
  <c r="H37" i="2"/>
  <c r="H36" i="2"/>
  <c r="H35" i="2"/>
  <c r="H34" i="2"/>
  <c r="H33" i="2"/>
  <c r="H32" i="2"/>
  <c r="H31" i="2"/>
  <c r="H30" i="2"/>
  <c r="H27" i="2"/>
  <c r="H26" i="2"/>
  <c r="H25" i="2"/>
  <c r="H24" i="2"/>
  <c r="H23" i="2"/>
  <c r="H22" i="2"/>
  <c r="H21" i="2"/>
  <c r="H20" i="2"/>
  <c r="H19" i="2"/>
  <c r="H18" i="2"/>
  <c r="H15" i="2"/>
  <c r="H14" i="2"/>
  <c r="H13" i="2"/>
  <c r="H12" i="2"/>
  <c r="H11" i="2"/>
  <c r="H10" i="2"/>
  <c r="H9" i="2"/>
  <c r="H8" i="2"/>
  <c r="H7" i="2"/>
  <c r="H6" i="2"/>
  <c r="A4" i="2"/>
  <c r="AQ1" i="2" l="1"/>
  <c r="AP1" i="2"/>
  <c r="AO1" i="2"/>
  <c r="AN1" i="2"/>
  <c r="AM1" i="2"/>
  <c r="AL1" i="2"/>
  <c r="AK1" i="2"/>
  <c r="AJ1" i="2"/>
  <c r="AI1" i="2"/>
  <c r="AH1" i="2"/>
  <c r="AE1" i="2"/>
  <c r="AD1" i="2"/>
  <c r="AC1" i="2"/>
  <c r="AB1" i="2"/>
  <c r="AA1" i="2"/>
  <c r="Z1" i="2"/>
  <c r="Y1" i="2"/>
  <c r="X1" i="2"/>
  <c r="W1" i="2"/>
  <c r="V1" i="2"/>
  <c r="S1" i="2"/>
  <c r="R1" i="2"/>
  <c r="Q1" i="2"/>
  <c r="P1" i="2"/>
  <c r="O1" i="2"/>
  <c r="N1" i="2"/>
  <c r="M1" i="2"/>
  <c r="L1" i="2"/>
  <c r="K1" i="2"/>
  <c r="J1" i="2"/>
  <c r="AA3" i="8" l="1"/>
  <c r="Z4" i="8"/>
  <c r="Z5" i="8"/>
  <c r="Z6" i="8"/>
  <c r="Z7" i="8"/>
  <c r="Z8" i="8"/>
  <c r="Z9" i="8"/>
  <c r="Z10" i="8"/>
  <c r="Z11" i="8"/>
  <c r="Z12" i="8"/>
  <c r="Z3" i="8"/>
  <c r="AB4" i="8"/>
  <c r="AB5" i="8"/>
  <c r="AB6" i="8"/>
  <c r="AB7" i="8"/>
  <c r="AB8" i="8"/>
  <c r="AB9" i="8"/>
  <c r="AB10" i="8"/>
  <c r="AB11" i="8"/>
  <c r="AB12" i="8"/>
  <c r="AB3" i="8"/>
  <c r="AA4" i="8"/>
  <c r="AA5" i="8"/>
  <c r="AA6" i="8"/>
  <c r="AA7" i="8"/>
  <c r="AA8" i="8"/>
  <c r="AA9" i="8"/>
  <c r="AA10" i="8"/>
  <c r="AA11" i="8"/>
  <c r="AA12" i="8"/>
  <c r="H4" i="8"/>
  <c r="H5" i="8"/>
  <c r="H6" i="8"/>
  <c r="H7" i="8"/>
  <c r="H8" i="8"/>
  <c r="H9" i="8"/>
  <c r="H10" i="8"/>
  <c r="H11" i="8"/>
  <c r="H12" i="8"/>
  <c r="H3" i="8"/>
  <c r="B4" i="8"/>
  <c r="B5" i="8"/>
  <c r="B6" i="8"/>
  <c r="B7" i="8"/>
  <c r="B8" i="8"/>
  <c r="B9" i="8"/>
  <c r="B10" i="8"/>
  <c r="B11" i="8"/>
  <c r="B12" i="8"/>
  <c r="B3" i="8"/>
  <c r="B25" i="4" l="1"/>
  <c r="H14" i="8"/>
  <c r="B14" i="8"/>
  <c r="H13" i="8"/>
  <c r="I12" i="8" s="1"/>
  <c r="J12" i="8" s="1"/>
  <c r="K12" i="8" s="1"/>
  <c r="L27" i="4" s="1"/>
  <c r="B13" i="8"/>
  <c r="C11" i="8" s="1"/>
  <c r="I3" i="8" l="1"/>
  <c r="J3" i="8" s="1"/>
  <c r="K3" i="8" s="1"/>
  <c r="C27" i="4" s="1"/>
  <c r="I7" i="8"/>
  <c r="J7" i="8" s="1"/>
  <c r="K7" i="8" s="1"/>
  <c r="G27" i="4" s="1"/>
  <c r="I11" i="8"/>
  <c r="J11" i="8" s="1"/>
  <c r="K11" i="8" s="1"/>
  <c r="K27" i="4" s="1"/>
  <c r="D11" i="8"/>
  <c r="E11" i="8" s="1"/>
  <c r="C7" i="8"/>
  <c r="D7" i="8" s="1"/>
  <c r="E7" i="8" s="1"/>
  <c r="G26" i="4" s="1"/>
  <c r="C5" i="8"/>
  <c r="D5" i="8" s="1"/>
  <c r="E5" i="8" s="1"/>
  <c r="E26" i="4" s="1"/>
  <c r="E25" i="4" s="1"/>
  <c r="C12" i="8"/>
  <c r="D12" i="8" s="1"/>
  <c r="E12" i="8" s="1"/>
  <c r="C4" i="8"/>
  <c r="D4" i="8" s="1"/>
  <c r="E4" i="8" s="1"/>
  <c r="D26" i="4" s="1"/>
  <c r="C9" i="8"/>
  <c r="D9" i="8" s="1"/>
  <c r="E9" i="8" s="1"/>
  <c r="I26" i="4" s="1"/>
  <c r="C6" i="8"/>
  <c r="D6" i="8" s="1"/>
  <c r="E6" i="8" s="1"/>
  <c r="F26" i="4" s="1"/>
  <c r="C10" i="8"/>
  <c r="D10" i="8" s="1"/>
  <c r="E10" i="8" s="1"/>
  <c r="J26" i="4" s="1"/>
  <c r="C3" i="8"/>
  <c r="D3" i="8" s="1"/>
  <c r="E3" i="8" s="1"/>
  <c r="C26" i="4" s="1"/>
  <c r="C25" i="4" s="1"/>
  <c r="C8" i="8"/>
  <c r="D8" i="8" s="1"/>
  <c r="E8" i="8" s="1"/>
  <c r="H26" i="4" s="1"/>
  <c r="I6" i="8"/>
  <c r="J6" i="8" s="1"/>
  <c r="K6" i="8" s="1"/>
  <c r="I10" i="8"/>
  <c r="J10" i="8" s="1"/>
  <c r="K10" i="8" s="1"/>
  <c r="J27" i="4" s="1"/>
  <c r="I5" i="8"/>
  <c r="J5" i="8" s="1"/>
  <c r="K5" i="8" s="1"/>
  <c r="E27" i="4" s="1"/>
  <c r="I9" i="8"/>
  <c r="J9" i="8" s="1"/>
  <c r="K9" i="8" s="1"/>
  <c r="I27" i="4" s="1"/>
  <c r="I4" i="8"/>
  <c r="J4" i="8" s="1"/>
  <c r="K4" i="8" s="1"/>
  <c r="D27" i="4" s="1"/>
  <c r="I8" i="8"/>
  <c r="J8" i="8" s="1"/>
  <c r="K8" i="8" s="1"/>
  <c r="H27" i="4" s="1"/>
  <c r="B5" i="4"/>
  <c r="B28" i="4" s="1"/>
  <c r="J25" i="4" l="1"/>
  <c r="I25" i="4"/>
  <c r="G25" i="4"/>
  <c r="H25" i="4"/>
  <c r="D25" i="4"/>
  <c r="M6" i="8"/>
  <c r="F27" i="4"/>
  <c r="F25" i="4" s="1"/>
  <c r="M3" i="8"/>
  <c r="M11" i="8"/>
  <c r="K26" i="4"/>
  <c r="K25" i="4" s="1"/>
  <c r="M12" i="8"/>
  <c r="L26" i="4"/>
  <c r="L25" i="4" s="1"/>
  <c r="M7" i="8"/>
  <c r="M8" i="8"/>
  <c r="M10" i="8"/>
  <c r="M4" i="8"/>
  <c r="M5" i="8"/>
  <c r="M9" i="8"/>
  <c r="AR166" i="5"/>
  <c r="AQ166" i="5"/>
  <c r="AP166" i="5"/>
  <c r="AO166" i="5"/>
  <c r="AN166" i="5"/>
  <c r="AM166" i="5"/>
  <c r="AL166" i="5"/>
  <c r="AK166" i="5"/>
  <c r="AJ166" i="5"/>
  <c r="AI166" i="5"/>
  <c r="AH166" i="5"/>
  <c r="AG166" i="5"/>
  <c r="AF166" i="5"/>
  <c r="AE166" i="5"/>
  <c r="AD166" i="5"/>
  <c r="AC166" i="5"/>
  <c r="AB166" i="5"/>
  <c r="AA166" i="5"/>
  <c r="Z166" i="5"/>
  <c r="Y166" i="5"/>
  <c r="X166" i="5"/>
  <c r="W166" i="5"/>
  <c r="V166" i="5"/>
  <c r="U166" i="5"/>
  <c r="T166" i="5"/>
  <c r="S166" i="5"/>
  <c r="R166" i="5"/>
  <c r="Q166" i="5"/>
  <c r="P166" i="5"/>
  <c r="O166" i="5"/>
  <c r="N166" i="5"/>
  <c r="M166" i="5"/>
  <c r="L166" i="5"/>
  <c r="K166" i="5"/>
  <c r="J166" i="5"/>
  <c r="I166" i="5"/>
  <c r="H166" i="5"/>
  <c r="G166" i="5"/>
  <c r="F166" i="5"/>
  <c r="E166" i="5"/>
  <c r="AR165" i="5"/>
  <c r="AQ165" i="5"/>
  <c r="AP165" i="5"/>
  <c r="AO165" i="5"/>
  <c r="AN165" i="5"/>
  <c r="AM165" i="5"/>
  <c r="AL165" i="5"/>
  <c r="AK165" i="5"/>
  <c r="AJ165" i="5"/>
  <c r="AI165" i="5"/>
  <c r="AH165" i="5"/>
  <c r="AG165" i="5"/>
  <c r="AF165" i="5"/>
  <c r="AE165" i="5"/>
  <c r="AD165" i="5"/>
  <c r="AC165" i="5"/>
  <c r="AB165" i="5"/>
  <c r="AA165" i="5"/>
  <c r="Z165" i="5"/>
  <c r="Y165" i="5"/>
  <c r="X165" i="5"/>
  <c r="W165" i="5"/>
  <c r="V165" i="5"/>
  <c r="U165" i="5"/>
  <c r="T165" i="5"/>
  <c r="S165" i="5"/>
  <c r="R165" i="5"/>
  <c r="Q165" i="5"/>
  <c r="P165" i="5"/>
  <c r="O165" i="5"/>
  <c r="N165" i="5"/>
  <c r="M165" i="5"/>
  <c r="L165" i="5"/>
  <c r="K165" i="5"/>
  <c r="J165" i="5"/>
  <c r="I165" i="5"/>
  <c r="H165" i="5"/>
  <c r="G165" i="5"/>
  <c r="F165" i="5"/>
  <c r="E165" i="5"/>
  <c r="AR163" i="5"/>
  <c r="AQ163" i="5"/>
  <c r="AP163" i="5"/>
  <c r="AO163" i="5"/>
  <c r="AN163" i="5"/>
  <c r="AM163" i="5"/>
  <c r="AL163" i="5"/>
  <c r="AK163" i="5"/>
  <c r="AJ163" i="5"/>
  <c r="AI163" i="5"/>
  <c r="AH163" i="5"/>
  <c r="AG163" i="5"/>
  <c r="AF163" i="5"/>
  <c r="AE163" i="5"/>
  <c r="AD163" i="5"/>
  <c r="AC163" i="5"/>
  <c r="AB163" i="5"/>
  <c r="AA163" i="5"/>
  <c r="Z163" i="5"/>
  <c r="Y163" i="5"/>
  <c r="X163" i="5"/>
  <c r="W163" i="5"/>
  <c r="V163" i="5"/>
  <c r="U163" i="5"/>
  <c r="T163" i="5"/>
  <c r="S163" i="5"/>
  <c r="R163" i="5"/>
  <c r="Q163" i="5"/>
  <c r="P163" i="5"/>
  <c r="O163" i="5"/>
  <c r="N163" i="5"/>
  <c r="M163" i="5"/>
  <c r="L163" i="5"/>
  <c r="K163" i="5"/>
  <c r="J163" i="5"/>
  <c r="I163" i="5"/>
  <c r="H163" i="5"/>
  <c r="G163" i="5"/>
  <c r="F163" i="5"/>
  <c r="E163" i="5"/>
  <c r="AR160" i="5"/>
  <c r="AQ160" i="5"/>
  <c r="AP160" i="5"/>
  <c r="AO160" i="5"/>
  <c r="AN160" i="5"/>
  <c r="AM160" i="5"/>
  <c r="AL160" i="5"/>
  <c r="AK160" i="5"/>
  <c r="AJ160" i="5"/>
  <c r="AI160" i="5"/>
  <c r="AH160" i="5"/>
  <c r="AG160" i="5"/>
  <c r="AF160" i="5"/>
  <c r="AE160" i="5"/>
  <c r="AD160" i="5"/>
  <c r="AC160" i="5"/>
  <c r="AB160" i="5"/>
  <c r="AA160" i="5"/>
  <c r="Z160" i="5"/>
  <c r="Y160" i="5"/>
  <c r="X160" i="5"/>
  <c r="W160" i="5"/>
  <c r="V160" i="5"/>
  <c r="U160" i="5"/>
  <c r="T160" i="5"/>
  <c r="S160" i="5"/>
  <c r="R160" i="5"/>
  <c r="Q160" i="5"/>
  <c r="P160" i="5"/>
  <c r="O160" i="5"/>
  <c r="N160" i="5"/>
  <c r="M160" i="5"/>
  <c r="L160" i="5"/>
  <c r="K160" i="5"/>
  <c r="J160" i="5"/>
  <c r="I160" i="5"/>
  <c r="H160" i="5"/>
  <c r="G160" i="5"/>
  <c r="F160" i="5"/>
  <c r="E160" i="5"/>
  <c r="AR156" i="5"/>
  <c r="AQ156" i="5"/>
  <c r="AP156" i="5"/>
  <c r="AO156" i="5"/>
  <c r="AN156" i="5"/>
  <c r="AM156" i="5"/>
  <c r="AL156" i="5"/>
  <c r="AK156" i="5"/>
  <c r="AJ156" i="5"/>
  <c r="AI156" i="5"/>
  <c r="AH156" i="5"/>
  <c r="AG156" i="5"/>
  <c r="AF156" i="5"/>
  <c r="AE156" i="5"/>
  <c r="AD156" i="5"/>
  <c r="AC156" i="5"/>
  <c r="AB156" i="5"/>
  <c r="AA156" i="5"/>
  <c r="Z156" i="5"/>
  <c r="Y156" i="5"/>
  <c r="X156" i="5"/>
  <c r="W156" i="5"/>
  <c r="V156" i="5"/>
  <c r="U156" i="5"/>
  <c r="T156" i="5"/>
  <c r="S156" i="5"/>
  <c r="R156" i="5"/>
  <c r="Q156" i="5"/>
  <c r="P156" i="5"/>
  <c r="O156" i="5"/>
  <c r="N156" i="5"/>
  <c r="M156" i="5"/>
  <c r="L156" i="5"/>
  <c r="K156" i="5"/>
  <c r="J156" i="5"/>
  <c r="I156" i="5"/>
  <c r="H156" i="5"/>
  <c r="G156" i="5"/>
  <c r="F156" i="5"/>
  <c r="E156" i="5"/>
  <c r="AR151" i="5"/>
  <c r="AQ151" i="5"/>
  <c r="AP151" i="5"/>
  <c r="AO151" i="5"/>
  <c r="AN151" i="5"/>
  <c r="AM151" i="5"/>
  <c r="AL151" i="5"/>
  <c r="AK151" i="5"/>
  <c r="AJ151" i="5"/>
  <c r="AI151" i="5"/>
  <c r="AH151" i="5"/>
  <c r="AG151" i="5"/>
  <c r="AF151" i="5"/>
  <c r="AE151" i="5"/>
  <c r="AD151" i="5"/>
  <c r="AC151" i="5"/>
  <c r="AB151" i="5"/>
  <c r="AA151" i="5"/>
  <c r="Z151" i="5"/>
  <c r="Y151" i="5"/>
  <c r="X151" i="5"/>
  <c r="W151" i="5"/>
  <c r="V151" i="5"/>
  <c r="U151" i="5"/>
  <c r="T151" i="5"/>
  <c r="S151" i="5"/>
  <c r="R151" i="5"/>
  <c r="Q151" i="5"/>
  <c r="P151" i="5"/>
  <c r="O151" i="5"/>
  <c r="N151" i="5"/>
  <c r="M151" i="5"/>
  <c r="L151" i="5"/>
  <c r="K151" i="5"/>
  <c r="J151" i="5"/>
  <c r="I151" i="5"/>
  <c r="H151" i="5"/>
  <c r="G151" i="5"/>
  <c r="F151" i="5"/>
  <c r="E151" i="5"/>
  <c r="AR145" i="5"/>
  <c r="AQ145" i="5"/>
  <c r="AP145" i="5"/>
  <c r="AO145" i="5"/>
  <c r="AN145" i="5"/>
  <c r="AM145" i="5"/>
  <c r="AL145" i="5"/>
  <c r="AK145" i="5"/>
  <c r="AJ145" i="5"/>
  <c r="AI145" i="5"/>
  <c r="AH145" i="5"/>
  <c r="AG145" i="5"/>
  <c r="AF145" i="5"/>
  <c r="AE145" i="5"/>
  <c r="AD145" i="5"/>
  <c r="AC145" i="5"/>
  <c r="AB145" i="5"/>
  <c r="AA145" i="5"/>
  <c r="Z145" i="5"/>
  <c r="Y145" i="5"/>
  <c r="X145" i="5"/>
  <c r="W145" i="5"/>
  <c r="V145" i="5"/>
  <c r="U145" i="5"/>
  <c r="T145" i="5"/>
  <c r="S145" i="5"/>
  <c r="R145" i="5"/>
  <c r="Q145" i="5"/>
  <c r="P145" i="5"/>
  <c r="O145" i="5"/>
  <c r="N145" i="5"/>
  <c r="M145" i="5"/>
  <c r="L145" i="5"/>
  <c r="K145" i="5"/>
  <c r="J145" i="5"/>
  <c r="I145" i="5"/>
  <c r="H145" i="5"/>
  <c r="G145" i="5"/>
  <c r="F145" i="5"/>
  <c r="E145" i="5"/>
  <c r="AR138" i="5"/>
  <c r="AQ138" i="5"/>
  <c r="AP138" i="5"/>
  <c r="AO138" i="5"/>
  <c r="AN138" i="5"/>
  <c r="AM138" i="5"/>
  <c r="AL138" i="5"/>
  <c r="AK138" i="5"/>
  <c r="AJ138" i="5"/>
  <c r="AI138" i="5"/>
  <c r="AH138" i="5"/>
  <c r="AG138" i="5"/>
  <c r="AF138" i="5"/>
  <c r="AE138" i="5"/>
  <c r="AD138" i="5"/>
  <c r="AC138" i="5"/>
  <c r="AB138" i="5"/>
  <c r="AA138" i="5"/>
  <c r="Z138" i="5"/>
  <c r="Y138" i="5"/>
  <c r="X138" i="5"/>
  <c r="W138" i="5"/>
  <c r="V138" i="5"/>
  <c r="U138" i="5"/>
  <c r="T138" i="5"/>
  <c r="S138" i="5"/>
  <c r="R138" i="5"/>
  <c r="Q138" i="5"/>
  <c r="P138" i="5"/>
  <c r="O138" i="5"/>
  <c r="N138" i="5"/>
  <c r="M138" i="5"/>
  <c r="L138" i="5"/>
  <c r="K138" i="5"/>
  <c r="J138" i="5"/>
  <c r="I138" i="5"/>
  <c r="H138" i="5"/>
  <c r="G138" i="5"/>
  <c r="F138" i="5"/>
  <c r="E138" i="5"/>
  <c r="AR130" i="5"/>
  <c r="AQ130" i="5"/>
  <c r="AP130" i="5"/>
  <c r="AO130" i="5"/>
  <c r="AN130" i="5"/>
  <c r="AM130" i="5"/>
  <c r="AL130" i="5"/>
  <c r="AK130" i="5"/>
  <c r="AJ130" i="5"/>
  <c r="AI130" i="5"/>
  <c r="AH130" i="5"/>
  <c r="AG130" i="5"/>
  <c r="AF130" i="5"/>
  <c r="AE130" i="5"/>
  <c r="AD130" i="5"/>
  <c r="AC130" i="5"/>
  <c r="AB130" i="5"/>
  <c r="AA130" i="5"/>
  <c r="Z130" i="5"/>
  <c r="Y130" i="5"/>
  <c r="X130" i="5"/>
  <c r="W130" i="5"/>
  <c r="V130" i="5"/>
  <c r="U130" i="5"/>
  <c r="T130" i="5"/>
  <c r="S130" i="5"/>
  <c r="R130" i="5"/>
  <c r="Q130" i="5"/>
  <c r="P130" i="5"/>
  <c r="O130" i="5"/>
  <c r="N130" i="5"/>
  <c r="M130" i="5"/>
  <c r="L130" i="5"/>
  <c r="K130" i="5"/>
  <c r="J130" i="5"/>
  <c r="I130" i="5"/>
  <c r="H130" i="5"/>
  <c r="G130" i="5"/>
  <c r="F130" i="5"/>
  <c r="E130" i="5"/>
  <c r="AR121" i="5" l="1"/>
  <c r="AQ121" i="5"/>
  <c r="AP121" i="5"/>
  <c r="AO121" i="5"/>
  <c r="AN121" i="5"/>
  <c r="AM121" i="5"/>
  <c r="AL121" i="5"/>
  <c r="AK121" i="5"/>
  <c r="AJ121" i="5"/>
  <c r="AI121" i="5"/>
  <c r="AH121" i="5"/>
  <c r="AG121" i="5"/>
  <c r="AF121" i="5"/>
  <c r="AE121" i="5"/>
  <c r="AD121" i="5"/>
  <c r="AC121" i="5"/>
  <c r="AB121" i="5"/>
  <c r="AA121" i="5"/>
  <c r="Z121" i="5"/>
  <c r="Y121" i="5"/>
  <c r="X121" i="5"/>
  <c r="W121" i="5"/>
  <c r="V121" i="5"/>
  <c r="U121" i="5"/>
  <c r="T121" i="5"/>
  <c r="S121" i="5"/>
  <c r="R121" i="5"/>
  <c r="Q121" i="5"/>
  <c r="P121" i="5"/>
  <c r="O121" i="5"/>
  <c r="N121" i="5"/>
  <c r="M121" i="5"/>
  <c r="L121" i="5"/>
  <c r="K121" i="5"/>
  <c r="J121" i="5"/>
  <c r="I121" i="5"/>
  <c r="H121" i="5"/>
  <c r="G121" i="5"/>
  <c r="F121" i="5"/>
  <c r="E121" i="5"/>
  <c r="AR111" i="5" l="1"/>
  <c r="AQ111" i="5"/>
  <c r="AP111" i="5"/>
  <c r="AO111" i="5"/>
  <c r="AN111" i="5"/>
  <c r="AM111" i="5"/>
  <c r="AL111" i="5"/>
  <c r="AK111" i="5"/>
  <c r="AJ111" i="5"/>
  <c r="AI111" i="5"/>
  <c r="AH111" i="5"/>
  <c r="AG111" i="5"/>
  <c r="AF111" i="5"/>
  <c r="AE111" i="5"/>
  <c r="AD111" i="5"/>
  <c r="AC111" i="5"/>
  <c r="AB111" i="5"/>
  <c r="AA111" i="5"/>
  <c r="Z111" i="5"/>
  <c r="Y111" i="5"/>
  <c r="X111" i="5"/>
  <c r="W111" i="5"/>
  <c r="V111" i="5"/>
  <c r="U111" i="5"/>
  <c r="T111" i="5"/>
  <c r="S111" i="5"/>
  <c r="R111" i="5"/>
  <c r="Q111" i="5"/>
  <c r="P111" i="5"/>
  <c r="O111" i="5"/>
  <c r="N111" i="5"/>
  <c r="M111" i="5"/>
  <c r="L111" i="5"/>
  <c r="K111" i="5"/>
  <c r="J111" i="5"/>
  <c r="I111" i="5"/>
  <c r="H111" i="5"/>
  <c r="G111" i="5"/>
  <c r="F111" i="5"/>
  <c r="E111" i="5"/>
  <c r="AR110" i="5"/>
  <c r="AQ110" i="5"/>
  <c r="AP110" i="5"/>
  <c r="AO110" i="5"/>
  <c r="AN110" i="5"/>
  <c r="AM110" i="5"/>
  <c r="AL110" i="5"/>
  <c r="AK110" i="5"/>
  <c r="AJ110" i="5"/>
  <c r="AI110" i="5"/>
  <c r="AH110" i="5"/>
  <c r="AG110" i="5"/>
  <c r="AF110" i="5"/>
  <c r="AE110" i="5"/>
  <c r="AD110" i="5"/>
  <c r="AC110" i="5"/>
  <c r="AB110" i="5"/>
  <c r="AA110" i="5"/>
  <c r="Z110" i="5"/>
  <c r="Y110" i="5"/>
  <c r="X110" i="5"/>
  <c r="W110" i="5"/>
  <c r="V110" i="5"/>
  <c r="U110" i="5"/>
  <c r="T110" i="5"/>
  <c r="S110" i="5"/>
  <c r="R110" i="5"/>
  <c r="Q110" i="5"/>
  <c r="P110" i="5"/>
  <c r="O110" i="5"/>
  <c r="N110" i="5"/>
  <c r="M110" i="5"/>
  <c r="L110" i="5"/>
  <c r="K110" i="5"/>
  <c r="J110" i="5"/>
  <c r="I110" i="5"/>
  <c r="H110" i="5"/>
  <c r="G110" i="5"/>
  <c r="F110" i="5"/>
  <c r="E110" i="5"/>
  <c r="AR108" i="5"/>
  <c r="AQ108" i="5"/>
  <c r="AP108" i="5"/>
  <c r="AO108" i="5"/>
  <c r="AN108" i="5"/>
  <c r="AM108" i="5"/>
  <c r="AL108" i="5"/>
  <c r="AK108" i="5"/>
  <c r="AJ108" i="5"/>
  <c r="AI108" i="5"/>
  <c r="AH108" i="5"/>
  <c r="AG108" i="5"/>
  <c r="AF108" i="5"/>
  <c r="AE108" i="5"/>
  <c r="AD108" i="5"/>
  <c r="AC108" i="5"/>
  <c r="AB108" i="5"/>
  <c r="AA108" i="5"/>
  <c r="Z108" i="5"/>
  <c r="Y108" i="5"/>
  <c r="X108" i="5"/>
  <c r="W108" i="5"/>
  <c r="V108" i="5"/>
  <c r="U108" i="5"/>
  <c r="T108" i="5"/>
  <c r="S108" i="5"/>
  <c r="R108" i="5"/>
  <c r="Q108" i="5"/>
  <c r="P108" i="5"/>
  <c r="O108" i="5"/>
  <c r="N108" i="5"/>
  <c r="M108" i="5"/>
  <c r="L108" i="5"/>
  <c r="K108" i="5"/>
  <c r="J108" i="5"/>
  <c r="I108" i="5"/>
  <c r="H108" i="5"/>
  <c r="G108" i="5"/>
  <c r="F108" i="5"/>
  <c r="E108" i="5"/>
  <c r="AR105" i="5"/>
  <c r="AQ105" i="5"/>
  <c r="AP105" i="5"/>
  <c r="AO105" i="5"/>
  <c r="AN105" i="5"/>
  <c r="AM105" i="5"/>
  <c r="AL105" i="5"/>
  <c r="AK105" i="5"/>
  <c r="AJ105" i="5"/>
  <c r="AI105" i="5"/>
  <c r="AH105" i="5"/>
  <c r="AG105" i="5"/>
  <c r="AF105" i="5"/>
  <c r="AE105" i="5"/>
  <c r="AD105" i="5"/>
  <c r="AC105" i="5"/>
  <c r="AB105" i="5"/>
  <c r="AA105" i="5"/>
  <c r="Z105" i="5"/>
  <c r="Y105" i="5"/>
  <c r="X105" i="5"/>
  <c r="W105" i="5"/>
  <c r="V105" i="5"/>
  <c r="U105" i="5"/>
  <c r="T105" i="5"/>
  <c r="S105" i="5"/>
  <c r="R105" i="5"/>
  <c r="Q105" i="5"/>
  <c r="P105" i="5"/>
  <c r="O105" i="5"/>
  <c r="N105" i="5"/>
  <c r="M105" i="5"/>
  <c r="L105" i="5"/>
  <c r="K105" i="5"/>
  <c r="J105" i="5"/>
  <c r="I105" i="5"/>
  <c r="H105" i="5"/>
  <c r="G105" i="5"/>
  <c r="F105" i="5"/>
  <c r="E105" i="5"/>
  <c r="AR101" i="5"/>
  <c r="AQ101" i="5"/>
  <c r="AP101" i="5"/>
  <c r="AO101" i="5"/>
  <c r="AN101" i="5"/>
  <c r="AM101" i="5"/>
  <c r="AL101" i="5"/>
  <c r="AK101" i="5"/>
  <c r="AJ101" i="5"/>
  <c r="AI101" i="5"/>
  <c r="AH101" i="5"/>
  <c r="AG101" i="5"/>
  <c r="AF101" i="5"/>
  <c r="AE101" i="5"/>
  <c r="AD101" i="5"/>
  <c r="AC101" i="5"/>
  <c r="AB101" i="5"/>
  <c r="AA101" i="5"/>
  <c r="Z101" i="5"/>
  <c r="Y101" i="5"/>
  <c r="X101" i="5"/>
  <c r="W101" i="5"/>
  <c r="V101" i="5"/>
  <c r="U101" i="5"/>
  <c r="T101" i="5"/>
  <c r="S101" i="5"/>
  <c r="R101" i="5"/>
  <c r="Q101" i="5"/>
  <c r="P101" i="5"/>
  <c r="O101" i="5"/>
  <c r="N101" i="5"/>
  <c r="M101" i="5"/>
  <c r="L101" i="5"/>
  <c r="K101" i="5"/>
  <c r="J101" i="5"/>
  <c r="I101" i="5"/>
  <c r="H101" i="5"/>
  <c r="G101" i="5"/>
  <c r="F101" i="5"/>
  <c r="E101" i="5"/>
  <c r="AR96" i="5"/>
  <c r="AQ96" i="5"/>
  <c r="AP96" i="5"/>
  <c r="AO96" i="5"/>
  <c r="AN96" i="5"/>
  <c r="AM96" i="5"/>
  <c r="AL96" i="5"/>
  <c r="AK96" i="5"/>
  <c r="AJ96" i="5"/>
  <c r="AI96" i="5"/>
  <c r="AH96" i="5"/>
  <c r="AG96" i="5"/>
  <c r="AF96" i="5"/>
  <c r="AE96" i="5"/>
  <c r="AD96" i="5"/>
  <c r="AC96" i="5"/>
  <c r="AB96" i="5"/>
  <c r="AA96" i="5"/>
  <c r="Z96" i="5"/>
  <c r="Y96" i="5"/>
  <c r="X96" i="5"/>
  <c r="W96" i="5"/>
  <c r="V96" i="5"/>
  <c r="U96" i="5"/>
  <c r="T96" i="5"/>
  <c r="S96" i="5"/>
  <c r="R96" i="5"/>
  <c r="Q96" i="5"/>
  <c r="P96" i="5"/>
  <c r="O96" i="5"/>
  <c r="N96" i="5"/>
  <c r="M96" i="5"/>
  <c r="L96" i="5"/>
  <c r="K96" i="5"/>
  <c r="J96" i="5"/>
  <c r="I96" i="5"/>
  <c r="H96" i="5"/>
  <c r="G96" i="5"/>
  <c r="F96" i="5"/>
  <c r="E96"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AR83" i="5"/>
  <c r="AQ83" i="5"/>
  <c r="AP83" i="5"/>
  <c r="AO83" i="5"/>
  <c r="AN83" i="5"/>
  <c r="AM83" i="5"/>
  <c r="AL83" i="5"/>
  <c r="AK83" i="5"/>
  <c r="AJ83" i="5"/>
  <c r="AI83" i="5"/>
  <c r="AH83" i="5"/>
  <c r="AG83" i="5"/>
  <c r="AF83" i="5"/>
  <c r="AE83" i="5"/>
  <c r="AD83" i="5"/>
  <c r="AC83" i="5"/>
  <c r="AB83" i="5"/>
  <c r="AA83" i="5"/>
  <c r="Z83" i="5"/>
  <c r="Y83" i="5"/>
  <c r="X83" i="5"/>
  <c r="W83" i="5"/>
  <c r="V83" i="5"/>
  <c r="U83" i="5"/>
  <c r="T83" i="5"/>
  <c r="S83" i="5"/>
  <c r="R83" i="5"/>
  <c r="Q83" i="5"/>
  <c r="P83" i="5"/>
  <c r="O83" i="5"/>
  <c r="N83" i="5"/>
  <c r="M83" i="5"/>
  <c r="L83" i="5"/>
  <c r="K83" i="5"/>
  <c r="J83" i="5"/>
  <c r="I83" i="5"/>
  <c r="H83" i="5"/>
  <c r="G83" i="5"/>
  <c r="F83" i="5"/>
  <c r="E83" i="5"/>
  <c r="AR75" i="5"/>
  <c r="AQ75" i="5"/>
  <c r="AP75" i="5"/>
  <c r="AO75" i="5"/>
  <c r="AN75" i="5"/>
  <c r="AM75" i="5"/>
  <c r="AL75" i="5"/>
  <c r="AK75" i="5"/>
  <c r="AJ75" i="5"/>
  <c r="AI75"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G75" i="5"/>
  <c r="F75" i="5"/>
  <c r="E75" i="5"/>
  <c r="AR66" i="5"/>
  <c r="AQ66" i="5"/>
  <c r="AP66" i="5"/>
  <c r="AO66" i="5"/>
  <c r="AN66" i="5"/>
  <c r="AM66" i="5"/>
  <c r="AL66" i="5"/>
  <c r="AK66" i="5"/>
  <c r="AJ66" i="5"/>
  <c r="AI66" i="5"/>
  <c r="AH66" i="5"/>
  <c r="AG66" i="5"/>
  <c r="AF66" i="5"/>
  <c r="AE66" i="5"/>
  <c r="AD66" i="5"/>
  <c r="AC66" i="5"/>
  <c r="AB66" i="5"/>
  <c r="AA66" i="5"/>
  <c r="Z66" i="5"/>
  <c r="Y66" i="5"/>
  <c r="X66" i="5"/>
  <c r="W66" i="5"/>
  <c r="V66" i="5"/>
  <c r="U66" i="5"/>
  <c r="T66" i="5"/>
  <c r="S66" i="5"/>
  <c r="R66" i="5"/>
  <c r="Q66" i="5"/>
  <c r="P66" i="5"/>
  <c r="O66" i="5"/>
  <c r="N66" i="5"/>
  <c r="M66" i="5"/>
  <c r="L66" i="5"/>
  <c r="K66" i="5"/>
  <c r="J66" i="5"/>
  <c r="I66" i="5"/>
  <c r="H66" i="5"/>
  <c r="G66" i="5"/>
  <c r="F66" i="5"/>
  <c r="E66" i="5"/>
  <c r="C165" i="5"/>
  <c r="C166" i="5"/>
  <c r="B165" i="5"/>
  <c r="B166" i="5"/>
  <c r="B163" i="5"/>
  <c r="C163" i="5"/>
  <c r="B160" i="5"/>
  <c r="C160" i="5"/>
  <c r="B156" i="5"/>
  <c r="C156" i="5"/>
  <c r="B151" i="5"/>
  <c r="C151" i="5"/>
  <c r="B145" i="5"/>
  <c r="C145" i="5"/>
  <c r="B138" i="5"/>
  <c r="C138" i="5"/>
  <c r="B130" i="5"/>
  <c r="C130" i="5"/>
  <c r="B121" i="5"/>
  <c r="C121" i="5"/>
  <c r="C111" i="5"/>
  <c r="C110" i="5"/>
  <c r="C108" i="5"/>
  <c r="C105" i="5"/>
  <c r="C101" i="5"/>
  <c r="C96" i="5"/>
  <c r="C90" i="5"/>
  <c r="C83"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C75" i="5"/>
  <c r="B75" i="5"/>
  <c r="C66" i="5"/>
  <c r="B66" i="5"/>
  <c r="C56" i="5"/>
  <c r="B56" i="5"/>
  <c r="C55" i="5"/>
  <c r="B55" i="5"/>
  <c r="C53" i="5"/>
  <c r="B53" i="5"/>
  <c r="C50" i="5"/>
  <c r="B50" i="5"/>
  <c r="C46" i="5"/>
  <c r="B46" i="5"/>
  <c r="C41" i="5"/>
  <c r="B41" i="5"/>
  <c r="C35" i="5"/>
  <c r="B35" i="5"/>
  <c r="C28" i="5"/>
  <c r="B28" i="5"/>
  <c r="C20" i="5"/>
  <c r="B20" i="5"/>
  <c r="B3" i="5"/>
  <c r="AR56" i="5"/>
  <c r="AQ56" i="5"/>
  <c r="AP56" i="5"/>
  <c r="AO56" i="5"/>
  <c r="AN56" i="5"/>
  <c r="AM56" i="5"/>
  <c r="AL56" i="5"/>
  <c r="AK56" i="5"/>
  <c r="AJ56" i="5"/>
  <c r="AI56" i="5"/>
  <c r="AH56" i="5"/>
  <c r="AG56" i="5"/>
  <c r="AF56" i="5"/>
  <c r="AE56" i="5"/>
  <c r="AD56" i="5"/>
  <c r="AC56" i="5"/>
  <c r="AB56" i="5"/>
  <c r="AA56" i="5"/>
  <c r="Z56" i="5"/>
  <c r="Y56" i="5"/>
  <c r="X56" i="5"/>
  <c r="W56" i="5"/>
  <c r="V56" i="5"/>
  <c r="U56" i="5"/>
  <c r="T56" i="5"/>
  <c r="S56" i="5"/>
  <c r="R56" i="5"/>
  <c r="Q56" i="5"/>
  <c r="P56" i="5"/>
  <c r="O56" i="5"/>
  <c r="N56" i="5"/>
  <c r="M56" i="5"/>
  <c r="L56" i="5"/>
  <c r="K56" i="5"/>
  <c r="J56" i="5"/>
  <c r="I56" i="5"/>
  <c r="H56" i="5"/>
  <c r="G56" i="5"/>
  <c r="F56" i="5"/>
  <c r="E56" i="5"/>
  <c r="AR55" i="5"/>
  <c r="AQ55" i="5"/>
  <c r="AP55" i="5"/>
  <c r="AO55" i="5"/>
  <c r="AN55" i="5"/>
  <c r="AM55" i="5"/>
  <c r="AL55" i="5"/>
  <c r="AK55" i="5"/>
  <c r="AJ55" i="5"/>
  <c r="AI55" i="5"/>
  <c r="AH55" i="5"/>
  <c r="AG55" i="5"/>
  <c r="AF55" i="5"/>
  <c r="AE55" i="5"/>
  <c r="AD55" i="5"/>
  <c r="AC55" i="5"/>
  <c r="AB55" i="5"/>
  <c r="AA55" i="5"/>
  <c r="Z55" i="5"/>
  <c r="Y55" i="5"/>
  <c r="X55" i="5"/>
  <c r="W55" i="5"/>
  <c r="V55" i="5"/>
  <c r="U55" i="5"/>
  <c r="T55" i="5"/>
  <c r="S55" i="5"/>
  <c r="R55" i="5"/>
  <c r="Q55" i="5"/>
  <c r="P55" i="5"/>
  <c r="O55" i="5"/>
  <c r="N55" i="5"/>
  <c r="M55" i="5"/>
  <c r="L55" i="5"/>
  <c r="K55" i="5"/>
  <c r="J55" i="5"/>
  <c r="I55" i="5"/>
  <c r="H55" i="5"/>
  <c r="G55" i="5"/>
  <c r="F55" i="5"/>
  <c r="E55" i="5"/>
  <c r="AR53" i="5"/>
  <c r="AQ53" i="5"/>
  <c r="AP53" i="5"/>
  <c r="AO53" i="5"/>
  <c r="AN53" i="5"/>
  <c r="AM53" i="5"/>
  <c r="AL53" i="5"/>
  <c r="AK53" i="5"/>
  <c r="AJ53" i="5"/>
  <c r="AI53" i="5"/>
  <c r="AH53" i="5"/>
  <c r="AG53" i="5"/>
  <c r="AF53" i="5"/>
  <c r="AE53" i="5"/>
  <c r="AD53" i="5"/>
  <c r="AC53" i="5"/>
  <c r="AB53" i="5"/>
  <c r="AA53" i="5"/>
  <c r="Z53" i="5"/>
  <c r="Y53" i="5"/>
  <c r="X53" i="5"/>
  <c r="W53" i="5"/>
  <c r="V53" i="5"/>
  <c r="U53" i="5"/>
  <c r="T53" i="5"/>
  <c r="S53" i="5"/>
  <c r="R53" i="5"/>
  <c r="Q53" i="5"/>
  <c r="P53" i="5"/>
  <c r="O53" i="5"/>
  <c r="N53" i="5"/>
  <c r="M53" i="5"/>
  <c r="L53" i="5"/>
  <c r="K53" i="5"/>
  <c r="J53" i="5"/>
  <c r="I53" i="5"/>
  <c r="H53" i="5"/>
  <c r="G53" i="5"/>
  <c r="F53" i="5"/>
  <c r="E53" i="5"/>
  <c r="AR50" i="5"/>
  <c r="AQ50" i="5"/>
  <c r="AP50" i="5"/>
  <c r="AO50" i="5"/>
  <c r="AN50" i="5"/>
  <c r="AM50" i="5"/>
  <c r="AL50" i="5"/>
  <c r="AK50" i="5"/>
  <c r="AJ50" i="5"/>
  <c r="AI50" i="5"/>
  <c r="AH50" i="5"/>
  <c r="AG50" i="5"/>
  <c r="AF50" i="5"/>
  <c r="AE50" i="5"/>
  <c r="AD50" i="5"/>
  <c r="AC50" i="5"/>
  <c r="AB50" i="5"/>
  <c r="AA50" i="5"/>
  <c r="Z50" i="5"/>
  <c r="Y50" i="5"/>
  <c r="X50" i="5"/>
  <c r="W50" i="5"/>
  <c r="V50" i="5"/>
  <c r="U50" i="5"/>
  <c r="T50" i="5"/>
  <c r="S50" i="5"/>
  <c r="R50" i="5"/>
  <c r="Q50" i="5"/>
  <c r="P50" i="5"/>
  <c r="O50" i="5"/>
  <c r="N50" i="5"/>
  <c r="M50" i="5"/>
  <c r="L50" i="5"/>
  <c r="K50" i="5"/>
  <c r="J50" i="5"/>
  <c r="I50" i="5"/>
  <c r="H50" i="5"/>
  <c r="G50" i="5"/>
  <c r="F50" i="5"/>
  <c r="E50" i="5"/>
  <c r="AR46" i="5"/>
  <c r="AQ46" i="5"/>
  <c r="AP46" i="5"/>
  <c r="AO46" i="5"/>
  <c r="AN46" i="5"/>
  <c r="AM46" i="5"/>
  <c r="AL46" i="5"/>
  <c r="AK46" i="5"/>
  <c r="AJ46" i="5"/>
  <c r="AI46" i="5"/>
  <c r="AH46" i="5"/>
  <c r="AG46" i="5"/>
  <c r="AF46" i="5"/>
  <c r="AE46" i="5"/>
  <c r="AD46" i="5"/>
  <c r="AC46" i="5"/>
  <c r="AB46" i="5"/>
  <c r="AA46" i="5"/>
  <c r="Z46" i="5"/>
  <c r="Y46" i="5"/>
  <c r="X46" i="5"/>
  <c r="W46" i="5"/>
  <c r="V46" i="5"/>
  <c r="U46" i="5"/>
  <c r="T46" i="5"/>
  <c r="S46" i="5"/>
  <c r="R46" i="5"/>
  <c r="Q46" i="5"/>
  <c r="P46" i="5"/>
  <c r="O46" i="5"/>
  <c r="N46" i="5"/>
  <c r="M46" i="5"/>
  <c r="L46" i="5"/>
  <c r="K46" i="5"/>
  <c r="J46" i="5"/>
  <c r="I46" i="5"/>
  <c r="H46" i="5"/>
  <c r="G46" i="5"/>
  <c r="F46" i="5"/>
  <c r="E46" i="5"/>
  <c r="AR41" i="5"/>
  <c r="AQ41" i="5"/>
  <c r="AP41" i="5"/>
  <c r="AO41" i="5"/>
  <c r="AN41" i="5"/>
  <c r="AM41" i="5"/>
  <c r="AL41" i="5"/>
  <c r="AK41" i="5"/>
  <c r="AJ41" i="5"/>
  <c r="AI41" i="5"/>
  <c r="AH41" i="5"/>
  <c r="AG41" i="5"/>
  <c r="AF41" i="5"/>
  <c r="AE41" i="5"/>
  <c r="AD41" i="5"/>
  <c r="AC41" i="5"/>
  <c r="AB41" i="5"/>
  <c r="AA41" i="5"/>
  <c r="Z41" i="5"/>
  <c r="Y41" i="5"/>
  <c r="X41" i="5"/>
  <c r="W41" i="5"/>
  <c r="V41" i="5"/>
  <c r="U41" i="5"/>
  <c r="T41" i="5"/>
  <c r="S41" i="5"/>
  <c r="R41" i="5"/>
  <c r="Q41" i="5"/>
  <c r="P41" i="5"/>
  <c r="O41" i="5"/>
  <c r="N41" i="5"/>
  <c r="M41" i="5"/>
  <c r="L41" i="5"/>
  <c r="K41" i="5"/>
  <c r="J41" i="5"/>
  <c r="I41" i="5"/>
  <c r="H41" i="5"/>
  <c r="G41" i="5"/>
  <c r="F41" i="5"/>
  <c r="E41" i="5"/>
  <c r="AR35" i="5"/>
  <c r="AQ35" i="5"/>
  <c r="AP35" i="5"/>
  <c r="AO35" i="5"/>
  <c r="AN35" i="5"/>
  <c r="AM35" i="5"/>
  <c r="AL35" i="5"/>
  <c r="AK35" i="5"/>
  <c r="AJ35" i="5"/>
  <c r="AI35" i="5"/>
  <c r="AH35" i="5"/>
  <c r="AG35" i="5"/>
  <c r="AF35" i="5"/>
  <c r="AE35" i="5"/>
  <c r="AD35" i="5"/>
  <c r="AC35" i="5"/>
  <c r="AB35" i="5"/>
  <c r="AA35" i="5"/>
  <c r="Z35" i="5"/>
  <c r="Y35" i="5"/>
  <c r="X35" i="5"/>
  <c r="W35" i="5"/>
  <c r="V35" i="5"/>
  <c r="U35" i="5"/>
  <c r="T35" i="5"/>
  <c r="S35" i="5"/>
  <c r="R35" i="5"/>
  <c r="Q35" i="5"/>
  <c r="P35" i="5"/>
  <c r="O35" i="5"/>
  <c r="N35" i="5"/>
  <c r="M35" i="5"/>
  <c r="L35" i="5"/>
  <c r="K35" i="5"/>
  <c r="J35" i="5"/>
  <c r="I35" i="5"/>
  <c r="H35" i="5"/>
  <c r="G35" i="5"/>
  <c r="F35" i="5"/>
  <c r="E35" i="5"/>
  <c r="AR28" i="5"/>
  <c r="AQ28" i="5"/>
  <c r="AP28" i="5"/>
  <c r="AO28" i="5"/>
  <c r="AN28" i="5"/>
  <c r="AM28" i="5"/>
  <c r="AL28" i="5"/>
  <c r="AK28" i="5"/>
  <c r="AJ28" i="5"/>
  <c r="AI28" i="5"/>
  <c r="AH28" i="5"/>
  <c r="AG28" i="5"/>
  <c r="AF28" i="5"/>
  <c r="AE28" i="5"/>
  <c r="AD28" i="5"/>
  <c r="AC28" i="5"/>
  <c r="AB28" i="5"/>
  <c r="AA28" i="5"/>
  <c r="Z28" i="5"/>
  <c r="Y28" i="5"/>
  <c r="X28" i="5"/>
  <c r="W28" i="5"/>
  <c r="V28" i="5"/>
  <c r="U28" i="5"/>
  <c r="T28" i="5"/>
  <c r="S28" i="5"/>
  <c r="R28" i="5"/>
  <c r="Q28" i="5"/>
  <c r="P28" i="5"/>
  <c r="O28" i="5"/>
  <c r="N28" i="5"/>
  <c r="M28" i="5"/>
  <c r="L28" i="5"/>
  <c r="K28" i="5"/>
  <c r="J28" i="5"/>
  <c r="I28" i="5"/>
  <c r="H28" i="5"/>
  <c r="G28" i="5"/>
  <c r="F28" i="5"/>
  <c r="E28"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AR11" i="5"/>
  <c r="AQ11" i="5"/>
  <c r="AP11" i="5"/>
  <c r="AO11" i="5"/>
  <c r="AN11" i="5"/>
  <c r="AM11" i="5"/>
  <c r="AL11" i="5"/>
  <c r="AK11" i="5"/>
  <c r="AJ11" i="5"/>
  <c r="AI11" i="5"/>
  <c r="AH11" i="5"/>
  <c r="AG11" i="5"/>
  <c r="AF11" i="5"/>
  <c r="AE11" i="5"/>
  <c r="AD11" i="5"/>
  <c r="AC11" i="5"/>
  <c r="AB11" i="5"/>
  <c r="AA11" i="5"/>
  <c r="Z11" i="5"/>
  <c r="Y11" i="5"/>
  <c r="X11" i="5"/>
  <c r="W11" i="5"/>
  <c r="V11" i="5"/>
  <c r="U11" i="5"/>
  <c r="T11" i="5"/>
  <c r="S11" i="5"/>
  <c r="R11" i="5"/>
  <c r="Q11" i="5"/>
  <c r="P11" i="5"/>
  <c r="O11" i="5"/>
  <c r="N11" i="5"/>
  <c r="M11" i="5"/>
  <c r="L11" i="5"/>
  <c r="K11" i="5"/>
  <c r="J11" i="5"/>
  <c r="I11" i="5"/>
  <c r="H11" i="5"/>
  <c r="G11" i="5"/>
  <c r="F11" i="5"/>
  <c r="E11" i="5"/>
  <c r="E10" i="5"/>
  <c r="G124" i="2" l="1"/>
  <c r="A124" i="2"/>
  <c r="AG124" i="2" s="1"/>
  <c r="G112" i="2"/>
  <c r="A112" i="2"/>
  <c r="AG112" i="2" s="1"/>
  <c r="G100" i="2"/>
  <c r="A100" i="2"/>
  <c r="AG100" i="2" s="1"/>
  <c r="G88" i="2"/>
  <c r="A88" i="2"/>
  <c r="AG88" i="2" s="1"/>
  <c r="G76" i="2"/>
  <c r="A76" i="2"/>
  <c r="AG76" i="2" s="1"/>
  <c r="G64" i="2"/>
  <c r="A64" i="2"/>
  <c r="AG64" i="2" s="1"/>
  <c r="G52" i="2"/>
  <c r="A52" i="2"/>
  <c r="AG52" i="2" s="1"/>
  <c r="U52" i="2" l="1"/>
  <c r="I52" i="2"/>
  <c r="U64" i="2"/>
  <c r="I64" i="2"/>
  <c r="U88" i="2"/>
  <c r="I88" i="2"/>
  <c r="U112" i="2"/>
  <c r="I112" i="2"/>
  <c r="I76" i="2"/>
  <c r="U76" i="2"/>
  <c r="I124" i="2"/>
  <c r="U124" i="2"/>
  <c r="U100" i="2"/>
  <c r="I100" i="2"/>
  <c r="G40" i="2"/>
  <c r="A40" i="2"/>
  <c r="AG40" i="2" s="1"/>
  <c r="G28" i="2"/>
  <c r="A28" i="2"/>
  <c r="AG28" i="2" s="1"/>
  <c r="G16" i="2"/>
  <c r="A16" i="2"/>
  <c r="AG16" i="2" s="1"/>
  <c r="G4" i="2"/>
  <c r="AG4" i="2" l="1"/>
  <c r="U4" i="2"/>
  <c r="I4" i="2"/>
  <c r="U40" i="2"/>
  <c r="I40" i="2"/>
  <c r="U16" i="2"/>
  <c r="I16" i="2"/>
  <c r="I28" i="2"/>
  <c r="U28" i="2"/>
  <c r="C11" i="5"/>
  <c r="B11" i="5"/>
  <c r="G133" i="5" l="1"/>
  <c r="G132" i="5"/>
  <c r="AR146" i="5"/>
  <c r="AQ146" i="5"/>
  <c r="AP146" i="5"/>
  <c r="AO146" i="5"/>
  <c r="AN146" i="5"/>
  <c r="AM146" i="5"/>
  <c r="AL146" i="5"/>
  <c r="AK146" i="5"/>
  <c r="AJ146" i="5"/>
  <c r="AI146" i="5"/>
  <c r="AR150" i="5"/>
  <c r="AR149" i="5"/>
  <c r="AR148" i="5"/>
  <c r="AR147" i="5"/>
  <c r="AQ150" i="5"/>
  <c r="AQ149" i="5"/>
  <c r="AQ148" i="5"/>
  <c r="AQ147" i="5"/>
  <c r="AP150" i="5"/>
  <c r="AP149" i="5"/>
  <c r="AP148" i="5"/>
  <c r="AP147" i="5"/>
  <c r="AO150" i="5"/>
  <c r="AO149" i="5"/>
  <c r="AO148" i="5"/>
  <c r="AO147" i="5"/>
  <c r="AN150" i="5"/>
  <c r="AN149" i="5"/>
  <c r="AN148" i="5"/>
  <c r="AN147" i="5"/>
  <c r="AM150" i="5"/>
  <c r="AM149" i="5"/>
  <c r="AM148" i="5"/>
  <c r="AM147" i="5"/>
  <c r="AL150" i="5"/>
  <c r="AL149" i="5"/>
  <c r="AL148" i="5"/>
  <c r="AL147" i="5"/>
  <c r="AK150" i="5"/>
  <c r="AK149" i="5"/>
  <c r="AK148" i="5"/>
  <c r="AK147" i="5"/>
  <c r="AJ150" i="5"/>
  <c r="AJ149" i="5"/>
  <c r="AJ148" i="5"/>
  <c r="AJ147" i="5"/>
  <c r="AI150" i="5"/>
  <c r="AI149" i="5"/>
  <c r="AI148" i="5"/>
  <c r="AI147" i="5"/>
  <c r="E164" i="5" l="1"/>
  <c r="AR164" i="5"/>
  <c r="AQ164" i="5"/>
  <c r="AP164" i="5"/>
  <c r="AO164" i="5"/>
  <c r="AN164" i="5"/>
  <c r="AM164" i="5"/>
  <c r="AL164" i="5"/>
  <c r="AK164" i="5"/>
  <c r="AJ164" i="5"/>
  <c r="AI164" i="5"/>
  <c r="AI157" i="5"/>
  <c r="AR159" i="5"/>
  <c r="AR158" i="5"/>
  <c r="AR157" i="5"/>
  <c r="AQ159" i="5"/>
  <c r="AQ158" i="5"/>
  <c r="AQ157" i="5"/>
  <c r="AP159" i="5"/>
  <c r="AP158" i="5"/>
  <c r="AP157" i="5"/>
  <c r="AO159" i="5"/>
  <c r="AO158" i="5"/>
  <c r="AO157" i="5"/>
  <c r="AN159" i="5"/>
  <c r="AN158" i="5"/>
  <c r="AN157" i="5"/>
  <c r="AM159" i="5"/>
  <c r="AM158" i="5"/>
  <c r="AM157" i="5"/>
  <c r="AL159" i="5"/>
  <c r="AL158" i="5"/>
  <c r="AL157" i="5"/>
  <c r="AK159" i="5"/>
  <c r="AK158" i="5"/>
  <c r="AK157" i="5"/>
  <c r="AJ159" i="5"/>
  <c r="AJ158" i="5"/>
  <c r="AJ157" i="5"/>
  <c r="AI159" i="5"/>
  <c r="AI158" i="5"/>
  <c r="AR144" i="5"/>
  <c r="AR143" i="5"/>
  <c r="AR142" i="5"/>
  <c r="AR141" i="5"/>
  <c r="AR140" i="5"/>
  <c r="AR139" i="5"/>
  <c r="AQ144" i="5"/>
  <c r="AQ143" i="5"/>
  <c r="AQ142" i="5"/>
  <c r="AQ141" i="5"/>
  <c r="AQ140" i="5"/>
  <c r="AQ139" i="5"/>
  <c r="AP144" i="5"/>
  <c r="AP143" i="5"/>
  <c r="AP142" i="5"/>
  <c r="AP141" i="5"/>
  <c r="AP140" i="5"/>
  <c r="AP139" i="5"/>
  <c r="AO144" i="5"/>
  <c r="AO143" i="5"/>
  <c r="AO142" i="5"/>
  <c r="AO141" i="5"/>
  <c r="AO140" i="5"/>
  <c r="AO139" i="5"/>
  <c r="AN144" i="5"/>
  <c r="AN143" i="5"/>
  <c r="AN142" i="5"/>
  <c r="AN141" i="5"/>
  <c r="AN140" i="5"/>
  <c r="AN139" i="5"/>
  <c r="AM144" i="5"/>
  <c r="AM143" i="5"/>
  <c r="AM142" i="5"/>
  <c r="AM141" i="5"/>
  <c r="AM140" i="5"/>
  <c r="AM139" i="5"/>
  <c r="AL144" i="5"/>
  <c r="AL143" i="5"/>
  <c r="AL142" i="5"/>
  <c r="AL141" i="5"/>
  <c r="AL140" i="5"/>
  <c r="AL139" i="5"/>
  <c r="AK144" i="5"/>
  <c r="AK143" i="5"/>
  <c r="AK142" i="5"/>
  <c r="AK141" i="5"/>
  <c r="AK140" i="5"/>
  <c r="AK139" i="5"/>
  <c r="AJ144" i="5"/>
  <c r="AJ143" i="5"/>
  <c r="AJ142" i="5"/>
  <c r="AJ141" i="5"/>
  <c r="AJ140" i="5"/>
  <c r="AJ139" i="5"/>
  <c r="AI144" i="5"/>
  <c r="AI143" i="5"/>
  <c r="AI142" i="5"/>
  <c r="AI141" i="5"/>
  <c r="AI140" i="5"/>
  <c r="AI139" i="5"/>
  <c r="AR137" i="5"/>
  <c r="AR136" i="5"/>
  <c r="AR135" i="5"/>
  <c r="AR134" i="5"/>
  <c r="AR133" i="5"/>
  <c r="AR132" i="5"/>
  <c r="AR131" i="5"/>
  <c r="AQ137" i="5"/>
  <c r="AQ136" i="5"/>
  <c r="AQ135" i="5"/>
  <c r="AQ134" i="5"/>
  <c r="AQ133" i="5"/>
  <c r="AQ132" i="5"/>
  <c r="AQ131" i="5"/>
  <c r="AP137" i="5"/>
  <c r="AP136" i="5"/>
  <c r="AP135" i="5"/>
  <c r="AP134" i="5"/>
  <c r="AP133" i="5"/>
  <c r="AP132" i="5"/>
  <c r="AP131" i="5"/>
  <c r="AO137" i="5"/>
  <c r="AO136" i="5"/>
  <c r="AO135" i="5"/>
  <c r="AO134" i="5"/>
  <c r="AO133" i="5"/>
  <c r="AO132" i="5"/>
  <c r="AO131" i="5"/>
  <c r="AN137" i="5"/>
  <c r="AN136" i="5"/>
  <c r="AN135" i="5"/>
  <c r="AN134" i="5"/>
  <c r="AN133" i="5"/>
  <c r="AN132" i="5"/>
  <c r="AN131" i="5"/>
  <c r="AM137" i="5"/>
  <c r="AM136" i="5"/>
  <c r="AM135" i="5"/>
  <c r="AM134" i="5"/>
  <c r="AM133" i="5"/>
  <c r="AM132" i="5"/>
  <c r="AM131" i="5"/>
  <c r="AL137" i="5"/>
  <c r="AL136" i="5"/>
  <c r="AL135" i="5"/>
  <c r="AL134" i="5"/>
  <c r="AL133" i="5"/>
  <c r="AL132" i="5"/>
  <c r="AL131" i="5"/>
  <c r="AK137" i="5"/>
  <c r="AK136" i="5"/>
  <c r="AK135" i="5"/>
  <c r="AK134" i="5"/>
  <c r="AK133" i="5"/>
  <c r="AK132" i="5"/>
  <c r="AK131" i="5"/>
  <c r="AJ137" i="5"/>
  <c r="AJ136" i="5"/>
  <c r="AJ135" i="5"/>
  <c r="AJ134" i="5"/>
  <c r="AJ133" i="5"/>
  <c r="AJ132" i="5"/>
  <c r="AJ131" i="5"/>
  <c r="AI137" i="5"/>
  <c r="AI136" i="5"/>
  <c r="AI135" i="5"/>
  <c r="AI134" i="5"/>
  <c r="AI133" i="5"/>
  <c r="AI132" i="5"/>
  <c r="AI131" i="5"/>
  <c r="AR129" i="5" l="1"/>
  <c r="AR128" i="5"/>
  <c r="AR127" i="5"/>
  <c r="AR126" i="5"/>
  <c r="AR125" i="5"/>
  <c r="AR124" i="5"/>
  <c r="AR123" i="5"/>
  <c r="AR122" i="5"/>
  <c r="AQ129" i="5"/>
  <c r="AQ128" i="5"/>
  <c r="AQ127" i="5"/>
  <c r="AQ126" i="5"/>
  <c r="AQ125" i="5"/>
  <c r="AQ124" i="5"/>
  <c r="AQ123" i="5"/>
  <c r="AQ122" i="5"/>
  <c r="AP129" i="5"/>
  <c r="AP128" i="5"/>
  <c r="AP127" i="5"/>
  <c r="AP126" i="5"/>
  <c r="AP125" i="5"/>
  <c r="AP124" i="5"/>
  <c r="AP123" i="5"/>
  <c r="AP122" i="5"/>
  <c r="AO129" i="5"/>
  <c r="AO128" i="5"/>
  <c r="AO127" i="5"/>
  <c r="AO126" i="5"/>
  <c r="AO125" i="5"/>
  <c r="AO124" i="5"/>
  <c r="AO123" i="5"/>
  <c r="AO122" i="5"/>
  <c r="AN129" i="5"/>
  <c r="AN128" i="5"/>
  <c r="AN127" i="5"/>
  <c r="AN126" i="5"/>
  <c r="AN125" i="5"/>
  <c r="AN124" i="5"/>
  <c r="AN123" i="5"/>
  <c r="AN122" i="5"/>
  <c r="AM129" i="5"/>
  <c r="AM128" i="5"/>
  <c r="AM127" i="5"/>
  <c r="AM126" i="5"/>
  <c r="AM125" i="5"/>
  <c r="AM124" i="5"/>
  <c r="AM123" i="5"/>
  <c r="AM122" i="5"/>
  <c r="AL129" i="5"/>
  <c r="AL128" i="5"/>
  <c r="AL127" i="5"/>
  <c r="AL126" i="5"/>
  <c r="AL125" i="5"/>
  <c r="AL124" i="5"/>
  <c r="AL123" i="5"/>
  <c r="AL122" i="5"/>
  <c r="AK129" i="5"/>
  <c r="AK128" i="5"/>
  <c r="AK127" i="5"/>
  <c r="AK126" i="5"/>
  <c r="AK125" i="5"/>
  <c r="AK124" i="5"/>
  <c r="AK123" i="5"/>
  <c r="AK122" i="5"/>
  <c r="AJ129" i="5"/>
  <c r="AJ128" i="5"/>
  <c r="AJ127" i="5"/>
  <c r="AJ126" i="5"/>
  <c r="AJ125" i="5"/>
  <c r="AJ124" i="5"/>
  <c r="AJ123" i="5"/>
  <c r="AJ122" i="5"/>
  <c r="AI129" i="5"/>
  <c r="AI128" i="5"/>
  <c r="AI127" i="5"/>
  <c r="AI126" i="5"/>
  <c r="AI125" i="5"/>
  <c r="AI124" i="5"/>
  <c r="AI123" i="5"/>
  <c r="AI122" i="5"/>
  <c r="AI109" i="5"/>
  <c r="AR109" i="5"/>
  <c r="AQ109" i="5"/>
  <c r="AP109" i="5"/>
  <c r="AO109" i="5"/>
  <c r="AN109" i="5"/>
  <c r="AM109" i="5"/>
  <c r="AL109" i="5"/>
  <c r="AK109" i="5"/>
  <c r="AJ109" i="5"/>
  <c r="AI102" i="5"/>
  <c r="AR104" i="5"/>
  <c r="AR103" i="5"/>
  <c r="AR102" i="5"/>
  <c r="AQ104" i="5"/>
  <c r="AQ103" i="5"/>
  <c r="AQ102" i="5"/>
  <c r="AP104" i="5"/>
  <c r="AP103" i="5"/>
  <c r="AP102" i="5"/>
  <c r="AO104" i="5"/>
  <c r="AO103" i="5"/>
  <c r="AO102" i="5"/>
  <c r="AN104" i="5"/>
  <c r="AN103" i="5"/>
  <c r="AN102" i="5"/>
  <c r="AM104" i="5"/>
  <c r="AM103" i="5"/>
  <c r="AM102" i="5"/>
  <c r="AL104" i="5"/>
  <c r="AL103" i="5"/>
  <c r="AL102" i="5"/>
  <c r="AK104" i="5"/>
  <c r="AK103" i="5"/>
  <c r="AK102" i="5"/>
  <c r="AJ104" i="5"/>
  <c r="AJ103" i="5"/>
  <c r="AJ102" i="5"/>
  <c r="AI104" i="5"/>
  <c r="AI103" i="5"/>
  <c r="AR95" i="5"/>
  <c r="AR94" i="5"/>
  <c r="AR93" i="5"/>
  <c r="AR92" i="5"/>
  <c r="AR91" i="5"/>
  <c r="AQ95" i="5"/>
  <c r="AQ94" i="5"/>
  <c r="AQ93" i="5"/>
  <c r="AQ92" i="5"/>
  <c r="AQ91" i="5"/>
  <c r="AP95" i="5"/>
  <c r="AP94" i="5"/>
  <c r="AP93" i="5"/>
  <c r="AP92" i="5"/>
  <c r="AP91" i="5"/>
  <c r="AO95" i="5"/>
  <c r="AO94" i="5"/>
  <c r="AO93" i="5"/>
  <c r="AO92" i="5"/>
  <c r="AO91" i="5"/>
  <c r="AN95" i="5"/>
  <c r="AN94" i="5"/>
  <c r="AN93" i="5"/>
  <c r="AN92" i="5"/>
  <c r="AN91" i="5"/>
  <c r="AM95" i="5"/>
  <c r="AM94" i="5"/>
  <c r="AM93" i="5"/>
  <c r="AM92" i="5"/>
  <c r="AM91" i="5"/>
  <c r="AL95" i="5"/>
  <c r="AL94" i="5"/>
  <c r="AL93" i="5"/>
  <c r="AL92" i="5"/>
  <c r="AL91" i="5"/>
  <c r="AK95" i="5"/>
  <c r="AK94" i="5"/>
  <c r="AK93" i="5"/>
  <c r="AK92" i="5"/>
  <c r="AK91" i="5"/>
  <c r="AJ95" i="5"/>
  <c r="AJ94" i="5"/>
  <c r="AJ93" i="5"/>
  <c r="AJ92" i="5"/>
  <c r="AJ91" i="5"/>
  <c r="AI95" i="5"/>
  <c r="AI94" i="5"/>
  <c r="AI93" i="5"/>
  <c r="AI92" i="5"/>
  <c r="AI91" i="5"/>
  <c r="AR89" i="5"/>
  <c r="AR88" i="5"/>
  <c r="AR87" i="5"/>
  <c r="AR86" i="5"/>
  <c r="AR85" i="5"/>
  <c r="AR84" i="5"/>
  <c r="AQ89" i="5"/>
  <c r="AQ88" i="5"/>
  <c r="AQ87" i="5"/>
  <c r="AQ86" i="5"/>
  <c r="AQ85" i="5"/>
  <c r="AQ84" i="5"/>
  <c r="AP89" i="5"/>
  <c r="AP88" i="5"/>
  <c r="AP87" i="5"/>
  <c r="AP86" i="5"/>
  <c r="AP85" i="5"/>
  <c r="AP84" i="5"/>
  <c r="AO89" i="5"/>
  <c r="AO88" i="5"/>
  <c r="AO87" i="5"/>
  <c r="AO86" i="5"/>
  <c r="AO85" i="5"/>
  <c r="AO84" i="5"/>
  <c r="AN89" i="5"/>
  <c r="AN88" i="5"/>
  <c r="AN87" i="5"/>
  <c r="AN86" i="5"/>
  <c r="AN85" i="5"/>
  <c r="AN84" i="5"/>
  <c r="AM89" i="5"/>
  <c r="AM88" i="5"/>
  <c r="AM87" i="5"/>
  <c r="AM86" i="5"/>
  <c r="AM85" i="5"/>
  <c r="AM84" i="5"/>
  <c r="AL89" i="5"/>
  <c r="AL88" i="5"/>
  <c r="AL87" i="5"/>
  <c r="AL86" i="5"/>
  <c r="AL85" i="5"/>
  <c r="AL84" i="5"/>
  <c r="AK89" i="5"/>
  <c r="AK88" i="5"/>
  <c r="AK87" i="5"/>
  <c r="AK86" i="5"/>
  <c r="AK85" i="5"/>
  <c r="AK84" i="5"/>
  <c r="AJ89" i="5"/>
  <c r="AJ88" i="5"/>
  <c r="AJ87" i="5"/>
  <c r="AJ86" i="5"/>
  <c r="AJ85" i="5"/>
  <c r="AJ84" i="5"/>
  <c r="AI89" i="5"/>
  <c r="AI88" i="5"/>
  <c r="AI87" i="5"/>
  <c r="AI86" i="5"/>
  <c r="AI85" i="5"/>
  <c r="AI84" i="5"/>
  <c r="AI76" i="5"/>
  <c r="AR82" i="5"/>
  <c r="AR81" i="5"/>
  <c r="AR80" i="5"/>
  <c r="AR79" i="5"/>
  <c r="AR78" i="5"/>
  <c r="AR77" i="5"/>
  <c r="AR76" i="5"/>
  <c r="AQ82" i="5"/>
  <c r="AQ81" i="5"/>
  <c r="AQ80" i="5"/>
  <c r="AQ79" i="5"/>
  <c r="AQ78" i="5"/>
  <c r="AQ77" i="5"/>
  <c r="AQ76" i="5"/>
  <c r="AP82" i="5"/>
  <c r="AP81" i="5"/>
  <c r="AP80" i="5"/>
  <c r="AP79" i="5"/>
  <c r="AP78" i="5"/>
  <c r="AP77" i="5"/>
  <c r="AP76" i="5"/>
  <c r="AO82" i="5"/>
  <c r="AO81" i="5"/>
  <c r="AO80" i="5"/>
  <c r="AO79" i="5"/>
  <c r="AO78" i="5"/>
  <c r="AO77" i="5"/>
  <c r="AO76" i="5"/>
  <c r="AN82" i="5"/>
  <c r="AN81" i="5"/>
  <c r="AN80" i="5"/>
  <c r="AN79" i="5"/>
  <c r="AN78" i="5"/>
  <c r="AN77" i="5"/>
  <c r="AN76" i="5"/>
  <c r="AM82" i="5"/>
  <c r="AM81" i="5"/>
  <c r="AM80" i="5"/>
  <c r="AM79" i="5"/>
  <c r="AM78" i="5"/>
  <c r="AM77" i="5"/>
  <c r="AM76" i="5"/>
  <c r="AL82" i="5"/>
  <c r="AL81" i="5"/>
  <c r="AL80" i="5"/>
  <c r="AL79" i="5"/>
  <c r="AL78" i="5"/>
  <c r="AL77" i="5"/>
  <c r="AL76" i="5"/>
  <c r="AK82" i="5"/>
  <c r="AK81" i="5"/>
  <c r="AK80" i="5"/>
  <c r="AK79" i="5"/>
  <c r="AK78" i="5"/>
  <c r="AK77" i="5"/>
  <c r="AK76" i="5"/>
  <c r="AJ82" i="5"/>
  <c r="AJ81" i="5"/>
  <c r="AJ80" i="5"/>
  <c r="AJ79" i="5"/>
  <c r="AJ78" i="5"/>
  <c r="AJ77" i="5"/>
  <c r="AJ76" i="5"/>
  <c r="AI82" i="5"/>
  <c r="AI81" i="5"/>
  <c r="AI80" i="5"/>
  <c r="AI79" i="5"/>
  <c r="AI78" i="5"/>
  <c r="AI77" i="5"/>
  <c r="G78" i="5"/>
  <c r="G77" i="5"/>
  <c r="AR74" i="5"/>
  <c r="AR73" i="5"/>
  <c r="AR72" i="5"/>
  <c r="AR71" i="5"/>
  <c r="AR70" i="5"/>
  <c r="AR69" i="5"/>
  <c r="AR68" i="5"/>
  <c r="AR67" i="5"/>
  <c r="AQ74" i="5"/>
  <c r="AQ73" i="5"/>
  <c r="AQ72" i="5"/>
  <c r="AQ71" i="5"/>
  <c r="AQ70" i="5"/>
  <c r="AQ69" i="5"/>
  <c r="AQ68" i="5"/>
  <c r="AQ67" i="5"/>
  <c r="AP74" i="5"/>
  <c r="AP73" i="5"/>
  <c r="AP72" i="5"/>
  <c r="AP71" i="5"/>
  <c r="AP70" i="5"/>
  <c r="AP69" i="5"/>
  <c r="AP68" i="5"/>
  <c r="AP67" i="5"/>
  <c r="AO74" i="5"/>
  <c r="AO73" i="5"/>
  <c r="AO72" i="5"/>
  <c r="AO71" i="5"/>
  <c r="AO70" i="5"/>
  <c r="AO69" i="5"/>
  <c r="AO68" i="5"/>
  <c r="AO67" i="5"/>
  <c r="AN74" i="5"/>
  <c r="AN73" i="5"/>
  <c r="AN72" i="5"/>
  <c r="AN71" i="5"/>
  <c r="AN70" i="5"/>
  <c r="AN69" i="5"/>
  <c r="AN68" i="5"/>
  <c r="AN67" i="5"/>
  <c r="AM74" i="5"/>
  <c r="AM73" i="5"/>
  <c r="AM72" i="5"/>
  <c r="AM71" i="5"/>
  <c r="AM70" i="5"/>
  <c r="AM69" i="5"/>
  <c r="AM68" i="5"/>
  <c r="AM67" i="5"/>
  <c r="AL74" i="5"/>
  <c r="AL73" i="5"/>
  <c r="AL72" i="5"/>
  <c r="AL71" i="5"/>
  <c r="AL70" i="5"/>
  <c r="AL69" i="5"/>
  <c r="AL68" i="5"/>
  <c r="AL67" i="5"/>
  <c r="AK74" i="5"/>
  <c r="AK73" i="5"/>
  <c r="AK72" i="5"/>
  <c r="AK71" i="5"/>
  <c r="AK70" i="5"/>
  <c r="AK69" i="5"/>
  <c r="AK68" i="5"/>
  <c r="AK67" i="5"/>
  <c r="AJ74" i="5"/>
  <c r="AJ73" i="5"/>
  <c r="AJ72" i="5"/>
  <c r="AJ71" i="5"/>
  <c r="AJ70" i="5"/>
  <c r="AJ69" i="5"/>
  <c r="AJ68" i="5"/>
  <c r="AJ67" i="5"/>
  <c r="AI74" i="5"/>
  <c r="AI73" i="5"/>
  <c r="AI72" i="5"/>
  <c r="AI71" i="5"/>
  <c r="AI70" i="5"/>
  <c r="AI69" i="5"/>
  <c r="AI68" i="5"/>
  <c r="AI67" i="5"/>
  <c r="AI54" i="5"/>
  <c r="AR54" i="5"/>
  <c r="AQ54" i="5"/>
  <c r="AP54" i="5"/>
  <c r="AO54" i="5"/>
  <c r="AN54" i="5"/>
  <c r="AM54" i="5"/>
  <c r="AL54" i="5"/>
  <c r="AK54" i="5"/>
  <c r="AJ54" i="5"/>
  <c r="AI47" i="5"/>
  <c r="AR49" i="5"/>
  <c r="AR48" i="5"/>
  <c r="AR47" i="5"/>
  <c r="AQ49" i="5"/>
  <c r="AQ48" i="5"/>
  <c r="AQ47" i="5"/>
  <c r="AP49" i="5"/>
  <c r="AP48" i="5"/>
  <c r="AP47" i="5"/>
  <c r="AO49" i="5"/>
  <c r="AO48" i="5"/>
  <c r="AO47" i="5"/>
  <c r="AN49" i="5"/>
  <c r="AN48" i="5"/>
  <c r="AN47" i="5"/>
  <c r="AM49" i="5"/>
  <c r="AM48" i="5"/>
  <c r="AM47" i="5"/>
  <c r="AL49" i="5"/>
  <c r="AL48" i="5"/>
  <c r="AL47" i="5"/>
  <c r="AK49" i="5"/>
  <c r="AK48" i="5"/>
  <c r="AK47" i="5"/>
  <c r="AJ49" i="5"/>
  <c r="AJ48" i="5"/>
  <c r="AJ47" i="5"/>
  <c r="AI49" i="5"/>
  <c r="AI48" i="5"/>
  <c r="AR40" i="5"/>
  <c r="AR39" i="5"/>
  <c r="AR38" i="5"/>
  <c r="AR37" i="5"/>
  <c r="AR36" i="5"/>
  <c r="AQ40" i="5"/>
  <c r="AQ39" i="5"/>
  <c r="AQ38" i="5"/>
  <c r="AQ37" i="5"/>
  <c r="AQ36" i="5"/>
  <c r="AP40" i="5"/>
  <c r="AP39" i="5"/>
  <c r="AP38" i="5"/>
  <c r="AP37" i="5"/>
  <c r="AP36" i="5"/>
  <c r="AO40" i="5"/>
  <c r="AO39" i="5"/>
  <c r="AO38" i="5"/>
  <c r="AO37" i="5"/>
  <c r="AO36" i="5"/>
  <c r="AN40" i="5"/>
  <c r="AN39" i="5"/>
  <c r="AN38" i="5"/>
  <c r="AN37" i="5"/>
  <c r="AN36" i="5"/>
  <c r="AM40" i="5"/>
  <c r="AM39" i="5"/>
  <c r="AM38" i="5"/>
  <c r="AM37" i="5"/>
  <c r="AM36" i="5"/>
  <c r="AL40" i="5"/>
  <c r="AL39" i="5"/>
  <c r="AL38" i="5"/>
  <c r="AL37" i="5"/>
  <c r="AL36" i="5"/>
  <c r="AK40" i="5"/>
  <c r="AK39" i="5"/>
  <c r="AK38" i="5"/>
  <c r="AK37" i="5"/>
  <c r="AK36" i="5"/>
  <c r="AJ40" i="5"/>
  <c r="AJ39" i="5"/>
  <c r="AJ38" i="5"/>
  <c r="AJ37" i="5"/>
  <c r="AJ36" i="5"/>
  <c r="AI40" i="5"/>
  <c r="AI39" i="5"/>
  <c r="AI38" i="5"/>
  <c r="AI37" i="5"/>
  <c r="AI36" i="5"/>
  <c r="AG29" i="5"/>
  <c r="AR34" i="5"/>
  <c r="AR33" i="5"/>
  <c r="AR32" i="5"/>
  <c r="AR31" i="5"/>
  <c r="AR30" i="5"/>
  <c r="AR29" i="5"/>
  <c r="AQ34" i="5"/>
  <c r="AQ33" i="5"/>
  <c r="AQ32" i="5"/>
  <c r="AQ31" i="5"/>
  <c r="AQ30" i="5"/>
  <c r="AQ29" i="5"/>
  <c r="AP34" i="5"/>
  <c r="AP33" i="5"/>
  <c r="AP32" i="5"/>
  <c r="AP31" i="5"/>
  <c r="AP30" i="5"/>
  <c r="AP29" i="5"/>
  <c r="AO34" i="5"/>
  <c r="AO33" i="5"/>
  <c r="AO32" i="5"/>
  <c r="AO31" i="5"/>
  <c r="AO30" i="5"/>
  <c r="AO29" i="5"/>
  <c r="AN34" i="5"/>
  <c r="AN33" i="5"/>
  <c r="AN32" i="5"/>
  <c r="AN31" i="5"/>
  <c r="AN30" i="5"/>
  <c r="AN29" i="5"/>
  <c r="AM34" i="5"/>
  <c r="AM33" i="5"/>
  <c r="AM32" i="5"/>
  <c r="AM31" i="5"/>
  <c r="AM30" i="5"/>
  <c r="AM29" i="5"/>
  <c r="AL34" i="5"/>
  <c r="AL33" i="5"/>
  <c r="AL32" i="5"/>
  <c r="AL31" i="5"/>
  <c r="AL30" i="5"/>
  <c r="AL29" i="5"/>
  <c r="AK34" i="5"/>
  <c r="AK33" i="5"/>
  <c r="AK32" i="5"/>
  <c r="AK31" i="5"/>
  <c r="AK30" i="5"/>
  <c r="AK29" i="5"/>
  <c r="AJ34" i="5"/>
  <c r="AJ33" i="5"/>
  <c r="AJ32" i="5"/>
  <c r="AJ31" i="5"/>
  <c r="AJ30" i="5"/>
  <c r="AJ29" i="5"/>
  <c r="AI34" i="5"/>
  <c r="AI33" i="5"/>
  <c r="AI32" i="5"/>
  <c r="AI31" i="5"/>
  <c r="AI30" i="5"/>
  <c r="AI29" i="5"/>
  <c r="AR21" i="5"/>
  <c r="AQ21" i="5"/>
  <c r="AP21" i="5"/>
  <c r="AO21" i="5"/>
  <c r="AN21" i="5"/>
  <c r="AM21" i="5"/>
  <c r="AL21" i="5"/>
  <c r="AK21" i="5"/>
  <c r="AJ21" i="5"/>
  <c r="AI21" i="5"/>
  <c r="AR27" i="5"/>
  <c r="AR26" i="5"/>
  <c r="AR25" i="5"/>
  <c r="AR24" i="5"/>
  <c r="AR23" i="5"/>
  <c r="AR22" i="5"/>
  <c r="AQ27" i="5"/>
  <c r="AQ26" i="5"/>
  <c r="AQ25" i="5"/>
  <c r="AQ24" i="5"/>
  <c r="AQ23" i="5"/>
  <c r="AQ22" i="5"/>
  <c r="AP27" i="5"/>
  <c r="AP26" i="5"/>
  <c r="AP25" i="5"/>
  <c r="AP24" i="5"/>
  <c r="AP23" i="5"/>
  <c r="AP22" i="5"/>
  <c r="AO27" i="5"/>
  <c r="AO26" i="5"/>
  <c r="AO25" i="5"/>
  <c r="AO24" i="5"/>
  <c r="AO23" i="5"/>
  <c r="AO22" i="5"/>
  <c r="AN27" i="5"/>
  <c r="AN26" i="5"/>
  <c r="AN25" i="5"/>
  <c r="AN24" i="5"/>
  <c r="AN23" i="5"/>
  <c r="AN22" i="5"/>
  <c r="AM27" i="5"/>
  <c r="AM26" i="5"/>
  <c r="AM25" i="5"/>
  <c r="AM24" i="5"/>
  <c r="AM23" i="5"/>
  <c r="AM22" i="5"/>
  <c r="AL27" i="5"/>
  <c r="AL26" i="5"/>
  <c r="AL25" i="5"/>
  <c r="AL24" i="5"/>
  <c r="AL23" i="5"/>
  <c r="AL22" i="5"/>
  <c r="AK27" i="5"/>
  <c r="AK26" i="5"/>
  <c r="AK25" i="5"/>
  <c r="AK24" i="5"/>
  <c r="AK23" i="5"/>
  <c r="AK22" i="5"/>
  <c r="AJ27" i="5"/>
  <c r="AJ26" i="5"/>
  <c r="AJ25" i="5"/>
  <c r="AJ24" i="5"/>
  <c r="AJ23" i="5"/>
  <c r="AJ22" i="5"/>
  <c r="AI27" i="5"/>
  <c r="AI26" i="5"/>
  <c r="AI25" i="5"/>
  <c r="AI24" i="5"/>
  <c r="AI23" i="5"/>
  <c r="AI22" i="5"/>
  <c r="AR19" i="5"/>
  <c r="AR18" i="5"/>
  <c r="AR17" i="5"/>
  <c r="AR16" i="5"/>
  <c r="AR15" i="5"/>
  <c r="AR14" i="5"/>
  <c r="AR13" i="5"/>
  <c r="AR12" i="5"/>
  <c r="AQ19" i="5"/>
  <c r="AQ18" i="5"/>
  <c r="AQ17" i="5"/>
  <c r="AQ16" i="5"/>
  <c r="AQ15" i="5"/>
  <c r="AQ14" i="5"/>
  <c r="AQ13" i="5"/>
  <c r="AQ12" i="5"/>
  <c r="AP19" i="5"/>
  <c r="AP18" i="5"/>
  <c r="AP17" i="5"/>
  <c r="AP16" i="5"/>
  <c r="AP15" i="5"/>
  <c r="AP14" i="5"/>
  <c r="AP13" i="5"/>
  <c r="AP12" i="5"/>
  <c r="AO19" i="5"/>
  <c r="AO18" i="5"/>
  <c r="AO17" i="5"/>
  <c r="AO16" i="5"/>
  <c r="AO15" i="5"/>
  <c r="AO14" i="5"/>
  <c r="AO13" i="5"/>
  <c r="AO12" i="5"/>
  <c r="AN19" i="5"/>
  <c r="AN18" i="5"/>
  <c r="AN17" i="5"/>
  <c r="AN16" i="5"/>
  <c r="AN15" i="5"/>
  <c r="AN14" i="5"/>
  <c r="AN13" i="5"/>
  <c r="AN12" i="5"/>
  <c r="AM19" i="5"/>
  <c r="AM18" i="5"/>
  <c r="AM17" i="5"/>
  <c r="AM16" i="5"/>
  <c r="AM15" i="5"/>
  <c r="AM14" i="5"/>
  <c r="AM13" i="5"/>
  <c r="AM12" i="5"/>
  <c r="AL19" i="5"/>
  <c r="AL18" i="5"/>
  <c r="AL17" i="5"/>
  <c r="AL16" i="5"/>
  <c r="AL15" i="5"/>
  <c r="AL14" i="5"/>
  <c r="AL13" i="5"/>
  <c r="AL12" i="5"/>
  <c r="AK19" i="5"/>
  <c r="AK18" i="5"/>
  <c r="AK17" i="5"/>
  <c r="AK16" i="5"/>
  <c r="AK15" i="5"/>
  <c r="AK14" i="5"/>
  <c r="AK13" i="5"/>
  <c r="AK12" i="5"/>
  <c r="AJ19" i="5"/>
  <c r="AJ18" i="5"/>
  <c r="AJ17" i="5"/>
  <c r="AJ16" i="5"/>
  <c r="AJ15" i="5"/>
  <c r="AJ14" i="5"/>
  <c r="AJ13" i="5"/>
  <c r="AJ12" i="5"/>
  <c r="AI19" i="5"/>
  <c r="AI18" i="5"/>
  <c r="AI17" i="5"/>
  <c r="AI16" i="5"/>
  <c r="AI15" i="5"/>
  <c r="AI14" i="5"/>
  <c r="AI13" i="5"/>
  <c r="AI12" i="5"/>
  <c r="G23" i="5"/>
  <c r="G22" i="5"/>
  <c r="AR162" i="5" l="1"/>
  <c r="AR161" i="5"/>
  <c r="AR155" i="5"/>
  <c r="AR154" i="5"/>
  <c r="AR153" i="5"/>
  <c r="AR152" i="5"/>
  <c r="AR120" i="5"/>
  <c r="AR119" i="5"/>
  <c r="AR118" i="5"/>
  <c r="AR117" i="5"/>
  <c r="AR116" i="5"/>
  <c r="AR115" i="5"/>
  <c r="AR114" i="5"/>
  <c r="AR113" i="5"/>
  <c r="AR112" i="5"/>
  <c r="AR107" i="5"/>
  <c r="AR106" i="5"/>
  <c r="AR100" i="5"/>
  <c r="AR99" i="5"/>
  <c r="AR98" i="5"/>
  <c r="AR97" i="5"/>
  <c r="AR65" i="5"/>
  <c r="AR64" i="5"/>
  <c r="AR63" i="5"/>
  <c r="AR62" i="5"/>
  <c r="AR61" i="5"/>
  <c r="AR60" i="5"/>
  <c r="AR59" i="5"/>
  <c r="AR58" i="5"/>
  <c r="AR57" i="5"/>
  <c r="AR52" i="5"/>
  <c r="AR51" i="5"/>
  <c r="AR45" i="5"/>
  <c r="AR44" i="5"/>
  <c r="AR43" i="5"/>
  <c r="AR42" i="5"/>
  <c r="AR10" i="5"/>
  <c r="AR9" i="5"/>
  <c r="AR8" i="5"/>
  <c r="AR7" i="5"/>
  <c r="AR6" i="5"/>
  <c r="AR5" i="5"/>
  <c r="AR4" i="5"/>
  <c r="AR3" i="5"/>
  <c r="AR2" i="5"/>
  <c r="AP162" i="5"/>
  <c r="AP161" i="5"/>
  <c r="AP155" i="5"/>
  <c r="AP154" i="5"/>
  <c r="AP153" i="5"/>
  <c r="AP152" i="5"/>
  <c r="AP120" i="5"/>
  <c r="AP119" i="5"/>
  <c r="AP118" i="5"/>
  <c r="AP117" i="5"/>
  <c r="AP116" i="5"/>
  <c r="AP115" i="5"/>
  <c r="AP114" i="5"/>
  <c r="AP113" i="5"/>
  <c r="AP112" i="5"/>
  <c r="AP107" i="5"/>
  <c r="AP106" i="5"/>
  <c r="AP100" i="5"/>
  <c r="AP99" i="5"/>
  <c r="AP98" i="5"/>
  <c r="AP97" i="5"/>
  <c r="AP65" i="5"/>
  <c r="AP64" i="5"/>
  <c r="AP63" i="5"/>
  <c r="AP62" i="5"/>
  <c r="AP61" i="5"/>
  <c r="AP60" i="5"/>
  <c r="AP59" i="5"/>
  <c r="AP58" i="5"/>
  <c r="AP57" i="5"/>
  <c r="AP52" i="5"/>
  <c r="AP51" i="5"/>
  <c r="AP45" i="5"/>
  <c r="AP44" i="5"/>
  <c r="AP43" i="5"/>
  <c r="AP42" i="5"/>
  <c r="AP10" i="5"/>
  <c r="AP9" i="5"/>
  <c r="AP8" i="5"/>
  <c r="AP7" i="5"/>
  <c r="AP6" i="5"/>
  <c r="AP5" i="5"/>
  <c r="AP4" i="5"/>
  <c r="AP3" i="5"/>
  <c r="AP2" i="5"/>
  <c r="AN162" i="5"/>
  <c r="AN161" i="5"/>
  <c r="AN155" i="5"/>
  <c r="AN154" i="5"/>
  <c r="AN153" i="5"/>
  <c r="AN152" i="5"/>
  <c r="AN120" i="5"/>
  <c r="AN119" i="5"/>
  <c r="AN118" i="5"/>
  <c r="AN117" i="5"/>
  <c r="AN116" i="5"/>
  <c r="AN115" i="5"/>
  <c r="AN114" i="5"/>
  <c r="AN113" i="5"/>
  <c r="AN112" i="5"/>
  <c r="AN107" i="5"/>
  <c r="AN106" i="5"/>
  <c r="AN100" i="5"/>
  <c r="AN99" i="5"/>
  <c r="AN98" i="5"/>
  <c r="AN97" i="5"/>
  <c r="AN65" i="5"/>
  <c r="AN64" i="5"/>
  <c r="AN63" i="5"/>
  <c r="AN62" i="5"/>
  <c r="AN61" i="5"/>
  <c r="AN60" i="5"/>
  <c r="AN59" i="5"/>
  <c r="AN58" i="5"/>
  <c r="AN57" i="5"/>
  <c r="AN52" i="5"/>
  <c r="AN51" i="5"/>
  <c r="AN45" i="5"/>
  <c r="AN44" i="5"/>
  <c r="AN43" i="5"/>
  <c r="AN42" i="5"/>
  <c r="AN10" i="5"/>
  <c r="AN9" i="5"/>
  <c r="AN8" i="5"/>
  <c r="AN7" i="5"/>
  <c r="AN6" i="5"/>
  <c r="AN5" i="5"/>
  <c r="AN4" i="5"/>
  <c r="AN3" i="5"/>
  <c r="AN2" i="5"/>
  <c r="AL162" i="5"/>
  <c r="AL161" i="5"/>
  <c r="AL155" i="5"/>
  <c r="AL154" i="5"/>
  <c r="AL153" i="5"/>
  <c r="AL152" i="5"/>
  <c r="AL120" i="5"/>
  <c r="AL119" i="5"/>
  <c r="AL118" i="5"/>
  <c r="AL117" i="5"/>
  <c r="AL116" i="5"/>
  <c r="AL115" i="5"/>
  <c r="AL114" i="5"/>
  <c r="AL113" i="5"/>
  <c r="AL112" i="5"/>
  <c r="AL107" i="5"/>
  <c r="AL106" i="5"/>
  <c r="AL100" i="5"/>
  <c r="AL99" i="5"/>
  <c r="AL98" i="5"/>
  <c r="AL97" i="5"/>
  <c r="AL65" i="5"/>
  <c r="AL64" i="5"/>
  <c r="AL63" i="5"/>
  <c r="AL62" i="5"/>
  <c r="AL61" i="5"/>
  <c r="AL60" i="5"/>
  <c r="AL59" i="5"/>
  <c r="AL58" i="5"/>
  <c r="AL57" i="5"/>
  <c r="AL52" i="5"/>
  <c r="AL51" i="5"/>
  <c r="AL45" i="5"/>
  <c r="AL44" i="5"/>
  <c r="AL43" i="5"/>
  <c r="AL42" i="5"/>
  <c r="AL10" i="5"/>
  <c r="AL9" i="5"/>
  <c r="AL8" i="5"/>
  <c r="AL7" i="5"/>
  <c r="AL6" i="5"/>
  <c r="AL5" i="5"/>
  <c r="AL4" i="5"/>
  <c r="AL3" i="5"/>
  <c r="AL2" i="5"/>
  <c r="AJ162" i="5"/>
  <c r="AJ161" i="5"/>
  <c r="AJ155" i="5"/>
  <c r="AJ154" i="5"/>
  <c r="AJ153" i="5"/>
  <c r="AJ152" i="5"/>
  <c r="AJ120" i="5"/>
  <c r="AJ119" i="5"/>
  <c r="AJ118" i="5"/>
  <c r="AJ117" i="5"/>
  <c r="AJ116" i="5"/>
  <c r="AJ115" i="5"/>
  <c r="AJ114" i="5"/>
  <c r="AJ113" i="5"/>
  <c r="AJ112" i="5"/>
  <c r="AJ107" i="5"/>
  <c r="AJ106" i="5"/>
  <c r="AJ100" i="5"/>
  <c r="AJ99" i="5"/>
  <c r="AJ98" i="5"/>
  <c r="AJ97" i="5"/>
  <c r="AJ65" i="5"/>
  <c r="AJ64" i="5"/>
  <c r="AJ63" i="5"/>
  <c r="AJ62" i="5"/>
  <c r="AJ61" i="5"/>
  <c r="AJ60" i="5"/>
  <c r="AJ59" i="5"/>
  <c r="AJ58" i="5"/>
  <c r="AJ57" i="5"/>
  <c r="AJ52" i="5"/>
  <c r="AJ51" i="5"/>
  <c r="AJ45" i="5"/>
  <c r="AJ44" i="5"/>
  <c r="AJ43" i="5"/>
  <c r="AJ42" i="5"/>
  <c r="AJ10" i="5"/>
  <c r="AJ9" i="5"/>
  <c r="AJ8" i="5"/>
  <c r="AJ7" i="5"/>
  <c r="AJ6" i="5"/>
  <c r="AJ5" i="5"/>
  <c r="AJ4" i="5"/>
  <c r="AJ3" i="5"/>
  <c r="AJ2" i="5"/>
  <c r="AH164" i="5"/>
  <c r="AH162" i="5"/>
  <c r="AH161" i="5"/>
  <c r="AH159" i="5"/>
  <c r="AH158" i="5"/>
  <c r="AH157" i="5"/>
  <c r="AH155" i="5"/>
  <c r="AH154" i="5"/>
  <c r="AH153" i="5"/>
  <c r="AH152" i="5"/>
  <c r="AH150" i="5"/>
  <c r="AH149" i="5"/>
  <c r="AH148" i="5"/>
  <c r="AH147" i="5"/>
  <c r="AH146" i="5"/>
  <c r="AH144" i="5"/>
  <c r="AH143" i="5"/>
  <c r="AH142" i="5"/>
  <c r="AH141" i="5"/>
  <c r="AH140" i="5"/>
  <c r="AH139" i="5"/>
  <c r="AH137" i="5"/>
  <c r="AH136" i="5"/>
  <c r="AH135" i="5"/>
  <c r="AH134" i="5"/>
  <c r="AH133" i="5"/>
  <c r="AH132" i="5"/>
  <c r="AH131" i="5"/>
  <c r="AH129" i="5"/>
  <c r="AH128" i="5"/>
  <c r="AH127" i="5"/>
  <c r="AH126" i="5"/>
  <c r="AH125" i="5"/>
  <c r="AH124" i="5"/>
  <c r="AH123" i="5"/>
  <c r="AH122" i="5"/>
  <c r="AH120" i="5"/>
  <c r="AH119" i="5"/>
  <c r="AH118" i="5"/>
  <c r="AH117" i="5"/>
  <c r="AH116" i="5"/>
  <c r="AH115" i="5"/>
  <c r="AH114" i="5"/>
  <c r="AH113" i="5"/>
  <c r="AH112" i="5"/>
  <c r="AH109" i="5"/>
  <c r="AH107" i="5"/>
  <c r="AH106" i="5"/>
  <c r="AH104" i="5"/>
  <c r="AH103" i="5"/>
  <c r="AH102" i="5"/>
  <c r="AH100" i="5"/>
  <c r="AH99" i="5"/>
  <c r="AH98" i="5"/>
  <c r="AH97" i="5"/>
  <c r="AH95" i="5"/>
  <c r="AH94" i="5"/>
  <c r="AH93" i="5"/>
  <c r="AH92" i="5"/>
  <c r="AH91" i="5"/>
  <c r="AH89" i="5"/>
  <c r="AH88" i="5"/>
  <c r="AH87" i="5"/>
  <c r="AH86" i="5"/>
  <c r="AH85" i="5"/>
  <c r="AH84" i="5"/>
  <c r="AH82" i="5"/>
  <c r="AH81" i="5"/>
  <c r="AH80" i="5"/>
  <c r="AH79" i="5"/>
  <c r="AH78" i="5"/>
  <c r="AH77" i="5"/>
  <c r="AH76" i="5"/>
  <c r="AH74" i="5"/>
  <c r="AH73" i="5"/>
  <c r="AH72" i="5"/>
  <c r="AH71" i="5"/>
  <c r="AH70" i="5"/>
  <c r="AH69" i="5"/>
  <c r="AH68" i="5"/>
  <c r="AH67" i="5"/>
  <c r="AH65" i="5"/>
  <c r="AH64" i="5"/>
  <c r="AH63" i="5"/>
  <c r="AH62" i="5"/>
  <c r="AH61" i="5"/>
  <c r="AH60" i="5"/>
  <c r="AH59" i="5"/>
  <c r="AH58" i="5"/>
  <c r="AH57" i="5"/>
  <c r="AH54" i="5"/>
  <c r="AH52" i="5"/>
  <c r="AH51" i="5"/>
  <c r="AH49" i="5"/>
  <c r="AH48" i="5"/>
  <c r="AH47" i="5"/>
  <c r="AH45" i="5"/>
  <c r="AH44" i="5"/>
  <c r="AH43" i="5"/>
  <c r="AH42" i="5"/>
  <c r="AH40" i="5"/>
  <c r="AH39" i="5"/>
  <c r="AH38" i="5"/>
  <c r="AH37" i="5"/>
  <c r="AH36" i="5"/>
  <c r="AH34" i="5"/>
  <c r="AH33" i="5"/>
  <c r="AH32" i="5"/>
  <c r="AH31" i="5"/>
  <c r="AH30" i="5"/>
  <c r="AH29" i="5"/>
  <c r="AH27" i="5"/>
  <c r="AH26" i="5"/>
  <c r="AH25" i="5"/>
  <c r="AH24" i="5"/>
  <c r="AH23" i="5"/>
  <c r="AH22" i="5"/>
  <c r="AH21" i="5"/>
  <c r="AH19" i="5"/>
  <c r="AH18" i="5"/>
  <c r="AH17" i="5"/>
  <c r="AH16" i="5"/>
  <c r="AH15" i="5"/>
  <c r="AH14" i="5"/>
  <c r="AH13" i="5"/>
  <c r="AH12" i="5"/>
  <c r="AH10" i="5"/>
  <c r="AH9" i="5"/>
  <c r="AH8" i="5"/>
  <c r="AH7" i="5"/>
  <c r="AH6" i="5"/>
  <c r="AH5" i="5"/>
  <c r="AH4" i="5"/>
  <c r="AH3" i="5"/>
  <c r="AH2" i="5"/>
  <c r="AF164" i="5"/>
  <c r="AF162" i="5"/>
  <c r="AF161" i="5"/>
  <c r="AF159" i="5"/>
  <c r="AF158" i="5"/>
  <c r="AF157" i="5"/>
  <c r="AF155" i="5"/>
  <c r="AF154" i="5"/>
  <c r="AF153" i="5"/>
  <c r="AF152" i="5"/>
  <c r="AF150" i="5"/>
  <c r="AF149" i="5"/>
  <c r="AF148" i="5"/>
  <c r="AF147" i="5"/>
  <c r="AF146" i="5"/>
  <c r="AF144" i="5"/>
  <c r="AF143" i="5"/>
  <c r="AF142" i="5"/>
  <c r="AF141" i="5"/>
  <c r="AF140" i="5"/>
  <c r="AF139" i="5"/>
  <c r="AF137" i="5"/>
  <c r="AF136" i="5"/>
  <c r="AF135" i="5"/>
  <c r="AF134" i="5"/>
  <c r="AF133" i="5"/>
  <c r="AF132" i="5"/>
  <c r="AF131" i="5"/>
  <c r="AF129" i="5"/>
  <c r="AF128" i="5"/>
  <c r="AF127" i="5"/>
  <c r="AF126" i="5"/>
  <c r="AF125" i="5"/>
  <c r="AF124" i="5"/>
  <c r="AF123" i="5"/>
  <c r="AF122" i="5"/>
  <c r="AF120" i="5"/>
  <c r="AF119" i="5"/>
  <c r="AF118" i="5"/>
  <c r="AF117" i="5"/>
  <c r="AF116" i="5"/>
  <c r="AF115" i="5"/>
  <c r="AF114" i="5"/>
  <c r="AF113" i="5"/>
  <c r="AF112" i="5"/>
  <c r="AF109" i="5"/>
  <c r="AF107" i="5"/>
  <c r="AF106" i="5"/>
  <c r="AF104" i="5"/>
  <c r="AF103" i="5"/>
  <c r="AF102" i="5"/>
  <c r="AF100" i="5"/>
  <c r="AF99" i="5"/>
  <c r="AF98" i="5"/>
  <c r="AF97" i="5"/>
  <c r="AF95" i="5"/>
  <c r="AF94" i="5"/>
  <c r="AF93" i="5"/>
  <c r="AF92" i="5"/>
  <c r="AF91" i="5"/>
  <c r="AF89" i="5"/>
  <c r="AF88" i="5"/>
  <c r="AF87" i="5"/>
  <c r="AF86" i="5"/>
  <c r="AF85" i="5"/>
  <c r="AF84" i="5"/>
  <c r="AF82" i="5"/>
  <c r="AF81" i="5"/>
  <c r="AF80" i="5"/>
  <c r="AF79" i="5"/>
  <c r="AF78" i="5"/>
  <c r="AF77" i="5"/>
  <c r="AF76" i="5"/>
  <c r="AF74" i="5"/>
  <c r="AF73" i="5"/>
  <c r="AF72" i="5"/>
  <c r="AF71" i="5"/>
  <c r="AF70" i="5"/>
  <c r="AF69" i="5"/>
  <c r="AF68" i="5"/>
  <c r="AF67" i="5"/>
  <c r="AF65" i="5"/>
  <c r="AF64" i="5"/>
  <c r="AF63" i="5"/>
  <c r="AF62" i="5"/>
  <c r="AF61" i="5"/>
  <c r="AF60" i="5"/>
  <c r="AF59" i="5"/>
  <c r="AF58" i="5"/>
  <c r="AF57" i="5"/>
  <c r="AF54" i="5"/>
  <c r="AF52" i="5"/>
  <c r="AF51" i="5"/>
  <c r="AF49" i="5"/>
  <c r="AF48" i="5"/>
  <c r="AF47" i="5"/>
  <c r="AF45" i="5"/>
  <c r="AF44" i="5"/>
  <c r="AF43" i="5"/>
  <c r="AF42" i="5"/>
  <c r="AF40" i="5"/>
  <c r="AF39" i="5"/>
  <c r="AF38" i="5"/>
  <c r="AF37" i="5"/>
  <c r="AF36" i="5"/>
  <c r="AF34" i="5"/>
  <c r="AF33" i="5"/>
  <c r="AF32" i="5"/>
  <c r="AF31" i="5"/>
  <c r="AF30" i="5"/>
  <c r="AF29" i="5"/>
  <c r="AF27" i="5"/>
  <c r="AF26" i="5"/>
  <c r="AF25" i="5"/>
  <c r="AF24" i="5"/>
  <c r="AF23" i="5"/>
  <c r="AF22" i="5"/>
  <c r="AF21" i="5"/>
  <c r="AF19" i="5"/>
  <c r="AF18" i="5"/>
  <c r="AF17" i="5"/>
  <c r="AF16" i="5"/>
  <c r="AF15" i="5"/>
  <c r="AF14" i="5"/>
  <c r="AF13" i="5"/>
  <c r="AF12" i="5"/>
  <c r="AF10" i="5"/>
  <c r="AF9" i="5"/>
  <c r="AF8" i="5"/>
  <c r="AF7" i="5"/>
  <c r="AF6" i="5"/>
  <c r="AF5" i="5"/>
  <c r="AF4" i="5"/>
  <c r="AF3" i="5"/>
  <c r="AF2" i="5"/>
  <c r="AD164" i="5"/>
  <c r="AD162" i="5"/>
  <c r="AD161" i="5"/>
  <c r="AD159" i="5"/>
  <c r="AD158" i="5"/>
  <c r="AD157" i="5"/>
  <c r="AD155" i="5"/>
  <c r="AD154" i="5"/>
  <c r="AD153" i="5"/>
  <c r="AD152" i="5"/>
  <c r="AD150" i="5"/>
  <c r="AD149" i="5"/>
  <c r="AD148" i="5"/>
  <c r="AD147" i="5"/>
  <c r="AD146" i="5"/>
  <c r="AD144" i="5"/>
  <c r="AD143" i="5"/>
  <c r="AD142" i="5"/>
  <c r="AD141" i="5"/>
  <c r="AD140" i="5"/>
  <c r="AD139" i="5"/>
  <c r="AD137" i="5"/>
  <c r="AD136" i="5"/>
  <c r="AD135" i="5"/>
  <c r="AD134" i="5"/>
  <c r="AD133" i="5"/>
  <c r="AD132" i="5"/>
  <c r="AD131" i="5"/>
  <c r="AD129" i="5"/>
  <c r="AD128" i="5"/>
  <c r="AD127" i="5"/>
  <c r="AD126" i="5"/>
  <c r="AD125" i="5"/>
  <c r="AD124" i="5"/>
  <c r="AD123" i="5"/>
  <c r="AD122" i="5"/>
  <c r="AD120" i="5"/>
  <c r="AD119" i="5"/>
  <c r="AD118" i="5"/>
  <c r="AD117" i="5"/>
  <c r="AD116" i="5"/>
  <c r="AD115" i="5"/>
  <c r="AD114" i="5"/>
  <c r="AD113" i="5"/>
  <c r="AD112" i="5"/>
  <c r="AD109" i="5"/>
  <c r="AD107" i="5"/>
  <c r="AD106" i="5"/>
  <c r="AD104" i="5"/>
  <c r="AD103" i="5"/>
  <c r="AD102" i="5"/>
  <c r="AD100" i="5"/>
  <c r="AD99" i="5"/>
  <c r="AD98" i="5"/>
  <c r="AD97" i="5"/>
  <c r="AD95" i="5"/>
  <c r="AD94" i="5"/>
  <c r="AD93" i="5"/>
  <c r="AD92" i="5"/>
  <c r="AD91" i="5"/>
  <c r="AD89" i="5"/>
  <c r="AD88" i="5"/>
  <c r="AD87" i="5"/>
  <c r="AD86" i="5"/>
  <c r="AD85" i="5"/>
  <c r="AD84" i="5"/>
  <c r="AD82" i="5"/>
  <c r="AD81" i="5"/>
  <c r="AD80" i="5"/>
  <c r="AD79" i="5"/>
  <c r="AD78" i="5"/>
  <c r="AD77" i="5"/>
  <c r="AD76" i="5"/>
  <c r="AD74" i="5"/>
  <c r="AD73" i="5"/>
  <c r="AD72" i="5"/>
  <c r="AD71" i="5"/>
  <c r="AD70" i="5"/>
  <c r="AD69" i="5"/>
  <c r="AD68" i="5"/>
  <c r="AD67" i="5"/>
  <c r="AD65" i="5"/>
  <c r="AD64" i="5"/>
  <c r="AD63" i="5"/>
  <c r="AD62" i="5"/>
  <c r="AD61" i="5"/>
  <c r="AD60" i="5"/>
  <c r="AD59" i="5"/>
  <c r="AD58" i="5"/>
  <c r="AD57" i="5"/>
  <c r="AD54" i="5"/>
  <c r="AD52" i="5"/>
  <c r="AD51" i="5"/>
  <c r="AD49" i="5"/>
  <c r="AD48" i="5"/>
  <c r="AD47" i="5"/>
  <c r="AD45" i="5"/>
  <c r="AD44" i="5"/>
  <c r="AD43" i="5"/>
  <c r="AD42" i="5"/>
  <c r="AD40" i="5"/>
  <c r="AD39" i="5"/>
  <c r="AD38" i="5"/>
  <c r="AD37" i="5"/>
  <c r="AD36" i="5"/>
  <c r="AD34" i="5"/>
  <c r="AD33" i="5"/>
  <c r="AD32" i="5"/>
  <c r="AD31" i="5"/>
  <c r="AD30" i="5"/>
  <c r="AD29" i="5"/>
  <c r="AD27" i="5"/>
  <c r="AD26" i="5"/>
  <c r="AD25" i="5"/>
  <c r="AD24" i="5"/>
  <c r="AD23" i="5"/>
  <c r="AD22" i="5"/>
  <c r="AD21" i="5"/>
  <c r="AD19" i="5"/>
  <c r="AD18" i="5"/>
  <c r="AD17" i="5"/>
  <c r="AD16" i="5"/>
  <c r="AD15" i="5"/>
  <c r="AD14" i="5"/>
  <c r="AD13" i="5"/>
  <c r="AD12" i="5"/>
  <c r="AD10" i="5"/>
  <c r="AD9" i="5"/>
  <c r="AD8" i="5"/>
  <c r="AD7" i="5"/>
  <c r="AD6" i="5"/>
  <c r="AD5" i="5"/>
  <c r="AD4" i="5"/>
  <c r="AD3" i="5"/>
  <c r="AD2" i="5"/>
  <c r="AB164" i="5"/>
  <c r="AB162" i="5"/>
  <c r="AB161" i="5"/>
  <c r="AB159" i="5"/>
  <c r="AB158" i="5"/>
  <c r="AB157" i="5"/>
  <c r="AB155" i="5"/>
  <c r="AB154" i="5"/>
  <c r="AB153" i="5"/>
  <c r="AB152" i="5"/>
  <c r="AB150" i="5"/>
  <c r="AB149" i="5"/>
  <c r="AB148" i="5"/>
  <c r="AB147" i="5"/>
  <c r="AB146" i="5"/>
  <c r="AB144" i="5"/>
  <c r="AB143" i="5"/>
  <c r="AB142" i="5"/>
  <c r="AB141" i="5"/>
  <c r="AB140" i="5"/>
  <c r="AB139" i="5"/>
  <c r="AB137" i="5"/>
  <c r="AB136" i="5"/>
  <c r="AB135" i="5"/>
  <c r="AB134" i="5"/>
  <c r="AB133" i="5"/>
  <c r="AB132" i="5"/>
  <c r="AB131" i="5"/>
  <c r="AB129" i="5"/>
  <c r="AB128" i="5"/>
  <c r="AB127" i="5"/>
  <c r="AB126" i="5"/>
  <c r="AB125" i="5"/>
  <c r="AB124" i="5"/>
  <c r="AB123" i="5"/>
  <c r="AB122" i="5"/>
  <c r="AB120" i="5"/>
  <c r="AB119" i="5"/>
  <c r="AB118" i="5"/>
  <c r="AB117" i="5"/>
  <c r="AB116" i="5"/>
  <c r="AB115" i="5"/>
  <c r="AB114" i="5"/>
  <c r="AB113" i="5"/>
  <c r="AB112" i="5"/>
  <c r="AB109" i="5"/>
  <c r="AB107" i="5"/>
  <c r="AB106" i="5"/>
  <c r="AB104" i="5"/>
  <c r="AB103" i="5"/>
  <c r="AB102" i="5"/>
  <c r="AB100" i="5"/>
  <c r="AB99" i="5"/>
  <c r="AB98" i="5"/>
  <c r="AB97" i="5"/>
  <c r="AB95" i="5"/>
  <c r="AB94" i="5"/>
  <c r="AB93" i="5"/>
  <c r="AB92" i="5"/>
  <c r="AB91" i="5"/>
  <c r="AB89" i="5"/>
  <c r="AB88" i="5"/>
  <c r="AB87" i="5"/>
  <c r="AB86" i="5"/>
  <c r="AB85" i="5"/>
  <c r="AB84" i="5"/>
  <c r="AB82" i="5"/>
  <c r="AB81" i="5"/>
  <c r="AB80" i="5"/>
  <c r="AB79" i="5"/>
  <c r="AB78" i="5"/>
  <c r="AB77" i="5"/>
  <c r="AB76" i="5"/>
  <c r="AB74" i="5"/>
  <c r="AB73" i="5"/>
  <c r="AB72" i="5"/>
  <c r="AB71" i="5"/>
  <c r="AB70" i="5"/>
  <c r="AB69" i="5"/>
  <c r="AB68" i="5"/>
  <c r="AB67" i="5"/>
  <c r="AB65" i="5"/>
  <c r="AB64" i="5"/>
  <c r="AB63" i="5"/>
  <c r="AB62" i="5"/>
  <c r="AB61" i="5"/>
  <c r="AB60" i="5"/>
  <c r="AB59" i="5"/>
  <c r="AB58" i="5"/>
  <c r="AB57" i="5"/>
  <c r="AB54" i="5"/>
  <c r="AB52" i="5"/>
  <c r="AB51" i="5"/>
  <c r="AB49" i="5"/>
  <c r="AB48" i="5"/>
  <c r="AB47" i="5"/>
  <c r="AB45" i="5"/>
  <c r="AB44" i="5"/>
  <c r="AB43" i="5"/>
  <c r="AB42" i="5"/>
  <c r="AB40" i="5"/>
  <c r="AB39" i="5"/>
  <c r="AB38" i="5"/>
  <c r="AB37" i="5"/>
  <c r="AB36" i="5"/>
  <c r="AB34" i="5"/>
  <c r="AB33" i="5"/>
  <c r="AB32" i="5"/>
  <c r="AB31" i="5"/>
  <c r="AB30" i="5"/>
  <c r="AB29" i="5"/>
  <c r="AB27" i="5"/>
  <c r="AB26" i="5"/>
  <c r="AB25" i="5"/>
  <c r="AB24" i="5"/>
  <c r="AB23" i="5"/>
  <c r="AB22" i="5"/>
  <c r="AB21" i="5"/>
  <c r="AB19" i="5"/>
  <c r="AB18" i="5"/>
  <c r="AB17" i="5"/>
  <c r="AB16" i="5"/>
  <c r="AB15" i="5"/>
  <c r="AB14" i="5"/>
  <c r="AB13" i="5"/>
  <c r="AB12" i="5"/>
  <c r="AB10" i="5"/>
  <c r="AB9" i="5"/>
  <c r="AB8" i="5"/>
  <c r="AB7" i="5"/>
  <c r="AB6" i="5"/>
  <c r="AB5" i="5"/>
  <c r="AB4" i="5"/>
  <c r="AB3" i="5"/>
  <c r="AB2" i="5"/>
  <c r="Z164" i="5"/>
  <c r="Z162" i="5"/>
  <c r="Z161" i="5"/>
  <c r="Z159" i="5"/>
  <c r="Z158" i="5"/>
  <c r="Z157" i="5"/>
  <c r="Z155" i="5"/>
  <c r="Z154" i="5"/>
  <c r="Z153" i="5"/>
  <c r="Z152" i="5"/>
  <c r="Z150" i="5"/>
  <c r="Z149" i="5"/>
  <c r="Z148" i="5"/>
  <c r="Z147" i="5"/>
  <c r="Z146" i="5"/>
  <c r="Z144" i="5"/>
  <c r="Z143" i="5"/>
  <c r="Z142" i="5"/>
  <c r="Z141" i="5"/>
  <c r="Z140" i="5"/>
  <c r="Z139" i="5"/>
  <c r="Z137" i="5"/>
  <c r="Z136" i="5"/>
  <c r="Z135" i="5"/>
  <c r="Z134" i="5"/>
  <c r="Z133" i="5"/>
  <c r="Z132" i="5"/>
  <c r="Z131" i="5"/>
  <c r="Z129" i="5"/>
  <c r="Z128" i="5"/>
  <c r="Z127" i="5"/>
  <c r="Z126" i="5"/>
  <c r="Z125" i="5"/>
  <c r="Z124" i="5"/>
  <c r="Z123" i="5"/>
  <c r="Z122" i="5"/>
  <c r="Z120" i="5"/>
  <c r="Z119" i="5"/>
  <c r="Z118" i="5"/>
  <c r="Z117" i="5"/>
  <c r="Z116" i="5"/>
  <c r="Z115" i="5"/>
  <c r="Z114" i="5"/>
  <c r="Z113" i="5"/>
  <c r="Z112" i="5"/>
  <c r="Z109" i="5"/>
  <c r="Z107" i="5"/>
  <c r="Z106" i="5"/>
  <c r="Z104" i="5"/>
  <c r="Z103" i="5"/>
  <c r="Z102" i="5"/>
  <c r="Z100" i="5"/>
  <c r="Z99" i="5"/>
  <c r="Z98" i="5"/>
  <c r="Z97" i="5"/>
  <c r="Z95" i="5"/>
  <c r="Z94" i="5"/>
  <c r="Z93" i="5"/>
  <c r="Z92" i="5"/>
  <c r="Z91" i="5"/>
  <c r="Z89" i="5"/>
  <c r="Z88" i="5"/>
  <c r="Z87" i="5"/>
  <c r="Z86" i="5"/>
  <c r="Z85" i="5"/>
  <c r="Z84" i="5"/>
  <c r="Z82" i="5"/>
  <c r="Z81" i="5"/>
  <c r="Z80" i="5"/>
  <c r="Z79" i="5"/>
  <c r="Z78" i="5"/>
  <c r="Z77" i="5"/>
  <c r="Z76" i="5"/>
  <c r="Z74" i="5"/>
  <c r="Z73" i="5"/>
  <c r="Z72" i="5"/>
  <c r="Z71" i="5"/>
  <c r="Z70" i="5"/>
  <c r="Z69" i="5"/>
  <c r="Z68" i="5"/>
  <c r="Z67" i="5"/>
  <c r="Z65" i="5"/>
  <c r="Z64" i="5"/>
  <c r="Z63" i="5"/>
  <c r="Z62" i="5"/>
  <c r="Z61" i="5"/>
  <c r="Z60" i="5"/>
  <c r="Z59" i="5"/>
  <c r="Z58" i="5"/>
  <c r="Z57" i="5"/>
  <c r="Z54" i="5"/>
  <c r="Z52" i="5"/>
  <c r="Z51" i="5"/>
  <c r="Z49" i="5"/>
  <c r="Z48" i="5"/>
  <c r="Z47" i="5"/>
  <c r="Z45" i="5"/>
  <c r="Z44" i="5"/>
  <c r="Z43" i="5"/>
  <c r="Z42" i="5"/>
  <c r="Z40" i="5"/>
  <c r="Z39" i="5"/>
  <c r="Z38" i="5"/>
  <c r="Z37" i="5"/>
  <c r="Z36" i="5"/>
  <c r="Z34" i="5"/>
  <c r="Z33" i="5"/>
  <c r="Z32" i="5"/>
  <c r="Z31" i="5"/>
  <c r="Z30" i="5"/>
  <c r="Z29" i="5"/>
  <c r="Z27" i="5"/>
  <c r="Z26" i="5"/>
  <c r="Z25" i="5"/>
  <c r="Z24" i="5"/>
  <c r="Z23" i="5"/>
  <c r="Z22" i="5"/>
  <c r="Z21" i="5"/>
  <c r="Z19" i="5"/>
  <c r="Z18" i="5"/>
  <c r="Z17" i="5"/>
  <c r="Z16" i="5"/>
  <c r="Z15" i="5"/>
  <c r="Z14" i="5"/>
  <c r="Z13" i="5"/>
  <c r="Z12" i="5"/>
  <c r="Z10" i="5"/>
  <c r="Z9" i="5"/>
  <c r="Z8" i="5"/>
  <c r="Z7" i="5"/>
  <c r="Z6" i="5"/>
  <c r="Z5" i="5"/>
  <c r="Z4" i="5"/>
  <c r="Z3" i="5"/>
  <c r="Z2" i="5"/>
  <c r="X164" i="5"/>
  <c r="X162" i="5"/>
  <c r="X161" i="5"/>
  <c r="X159" i="5"/>
  <c r="X158" i="5"/>
  <c r="X157" i="5"/>
  <c r="X155" i="5"/>
  <c r="X154" i="5"/>
  <c r="X153" i="5"/>
  <c r="X152" i="5"/>
  <c r="X150" i="5"/>
  <c r="X149" i="5"/>
  <c r="X148" i="5"/>
  <c r="X147" i="5"/>
  <c r="X146" i="5"/>
  <c r="X144" i="5"/>
  <c r="X143" i="5"/>
  <c r="X142" i="5"/>
  <c r="X141" i="5"/>
  <c r="X140" i="5"/>
  <c r="X139" i="5"/>
  <c r="X137" i="5"/>
  <c r="X136" i="5"/>
  <c r="X135" i="5"/>
  <c r="X134" i="5"/>
  <c r="X133" i="5"/>
  <c r="X132" i="5"/>
  <c r="X131" i="5"/>
  <c r="X129" i="5"/>
  <c r="X128" i="5"/>
  <c r="X127" i="5"/>
  <c r="X126" i="5"/>
  <c r="X125" i="5"/>
  <c r="X124" i="5"/>
  <c r="X123" i="5"/>
  <c r="X122" i="5"/>
  <c r="X120" i="5"/>
  <c r="X119" i="5"/>
  <c r="X118" i="5"/>
  <c r="X117" i="5"/>
  <c r="X116" i="5"/>
  <c r="X115" i="5"/>
  <c r="X114" i="5"/>
  <c r="X113" i="5"/>
  <c r="X112" i="5"/>
  <c r="X109" i="5"/>
  <c r="X107" i="5"/>
  <c r="X106" i="5"/>
  <c r="X104" i="5"/>
  <c r="X103" i="5"/>
  <c r="X102" i="5"/>
  <c r="X100" i="5"/>
  <c r="X99" i="5"/>
  <c r="X98" i="5"/>
  <c r="X97" i="5"/>
  <c r="X95" i="5"/>
  <c r="X94" i="5"/>
  <c r="X93" i="5"/>
  <c r="X92" i="5"/>
  <c r="X91" i="5"/>
  <c r="X89" i="5"/>
  <c r="X88" i="5"/>
  <c r="X87" i="5"/>
  <c r="X86" i="5"/>
  <c r="X85" i="5"/>
  <c r="X84" i="5"/>
  <c r="X82" i="5"/>
  <c r="X81" i="5"/>
  <c r="X80" i="5"/>
  <c r="X79" i="5"/>
  <c r="X78" i="5"/>
  <c r="X77" i="5"/>
  <c r="X76" i="5"/>
  <c r="X74" i="5"/>
  <c r="X73" i="5"/>
  <c r="X72" i="5"/>
  <c r="X71" i="5"/>
  <c r="X70" i="5"/>
  <c r="X69" i="5"/>
  <c r="X68" i="5"/>
  <c r="X67" i="5"/>
  <c r="X65" i="5"/>
  <c r="X64" i="5"/>
  <c r="X63" i="5"/>
  <c r="X62" i="5"/>
  <c r="X61" i="5"/>
  <c r="X60" i="5"/>
  <c r="X59" i="5"/>
  <c r="X58" i="5"/>
  <c r="X57" i="5"/>
  <c r="X54" i="5"/>
  <c r="X52" i="5"/>
  <c r="X51" i="5"/>
  <c r="X49" i="5"/>
  <c r="X48" i="5"/>
  <c r="X47" i="5"/>
  <c r="X45" i="5"/>
  <c r="X44" i="5"/>
  <c r="X43" i="5"/>
  <c r="X42" i="5"/>
  <c r="X40" i="5"/>
  <c r="X39" i="5"/>
  <c r="X38" i="5"/>
  <c r="X37" i="5"/>
  <c r="X36" i="5"/>
  <c r="X34" i="5"/>
  <c r="X33" i="5"/>
  <c r="X32" i="5"/>
  <c r="X31" i="5"/>
  <c r="X30" i="5"/>
  <c r="X29" i="5"/>
  <c r="X27" i="5"/>
  <c r="X26" i="5"/>
  <c r="X25" i="5"/>
  <c r="X24" i="5"/>
  <c r="X23" i="5"/>
  <c r="X22" i="5"/>
  <c r="X21" i="5"/>
  <c r="X19" i="5"/>
  <c r="X18" i="5"/>
  <c r="X17" i="5"/>
  <c r="X16" i="5"/>
  <c r="X15" i="5"/>
  <c r="X14" i="5"/>
  <c r="X13" i="5"/>
  <c r="X12" i="5"/>
  <c r="X10" i="5"/>
  <c r="X9" i="5"/>
  <c r="X8" i="5"/>
  <c r="X7" i="5"/>
  <c r="X6" i="5"/>
  <c r="X5" i="5"/>
  <c r="X4" i="5"/>
  <c r="X3" i="5"/>
  <c r="X2" i="5"/>
  <c r="V164" i="5"/>
  <c r="V162" i="5"/>
  <c r="V161" i="5"/>
  <c r="V159" i="5"/>
  <c r="V158" i="5"/>
  <c r="V157" i="5"/>
  <c r="V155" i="5"/>
  <c r="V154" i="5"/>
  <c r="V153" i="5"/>
  <c r="V152" i="5"/>
  <c r="V150" i="5"/>
  <c r="V149" i="5"/>
  <c r="V148" i="5"/>
  <c r="V147" i="5"/>
  <c r="V146" i="5"/>
  <c r="V144" i="5"/>
  <c r="V143" i="5"/>
  <c r="V142" i="5"/>
  <c r="V141" i="5"/>
  <c r="V140" i="5"/>
  <c r="V139" i="5"/>
  <c r="V137" i="5"/>
  <c r="V136" i="5"/>
  <c r="V135" i="5"/>
  <c r="V134" i="5"/>
  <c r="V133" i="5"/>
  <c r="V132" i="5"/>
  <c r="V131" i="5"/>
  <c r="V129" i="5"/>
  <c r="V128" i="5"/>
  <c r="V127" i="5"/>
  <c r="V126" i="5"/>
  <c r="V125" i="5"/>
  <c r="V124" i="5"/>
  <c r="V123" i="5"/>
  <c r="V122" i="5"/>
  <c r="V120" i="5"/>
  <c r="V119" i="5"/>
  <c r="V118" i="5"/>
  <c r="V117" i="5"/>
  <c r="V116" i="5"/>
  <c r="V115" i="5"/>
  <c r="V114" i="5"/>
  <c r="V113" i="5"/>
  <c r="V112" i="5"/>
  <c r="V109" i="5"/>
  <c r="V107" i="5"/>
  <c r="V106" i="5"/>
  <c r="V104" i="5"/>
  <c r="V103" i="5"/>
  <c r="V102" i="5"/>
  <c r="V100" i="5"/>
  <c r="V99" i="5"/>
  <c r="V98" i="5"/>
  <c r="V97" i="5"/>
  <c r="V95" i="5"/>
  <c r="V94" i="5"/>
  <c r="V93" i="5"/>
  <c r="V92" i="5"/>
  <c r="V91" i="5"/>
  <c r="V89" i="5"/>
  <c r="V88" i="5"/>
  <c r="V87" i="5"/>
  <c r="V86" i="5"/>
  <c r="V85" i="5"/>
  <c r="V84" i="5"/>
  <c r="V82" i="5"/>
  <c r="V81" i="5"/>
  <c r="V80" i="5"/>
  <c r="V79" i="5"/>
  <c r="V78" i="5"/>
  <c r="V77" i="5"/>
  <c r="V76" i="5"/>
  <c r="V74" i="5"/>
  <c r="V73" i="5"/>
  <c r="V72" i="5"/>
  <c r="V71" i="5"/>
  <c r="V70" i="5"/>
  <c r="V69" i="5"/>
  <c r="V68" i="5"/>
  <c r="V67" i="5"/>
  <c r="V65" i="5"/>
  <c r="V64" i="5"/>
  <c r="V63" i="5"/>
  <c r="V62" i="5"/>
  <c r="V61" i="5"/>
  <c r="V60" i="5"/>
  <c r="V59" i="5"/>
  <c r="V58" i="5"/>
  <c r="V57" i="5"/>
  <c r="V54" i="5"/>
  <c r="V52" i="5"/>
  <c r="V51" i="5"/>
  <c r="V49" i="5"/>
  <c r="V48" i="5"/>
  <c r="V47" i="5"/>
  <c r="V45" i="5"/>
  <c r="V44" i="5"/>
  <c r="V43" i="5"/>
  <c r="V42" i="5"/>
  <c r="V40" i="5"/>
  <c r="V39" i="5"/>
  <c r="V38" i="5"/>
  <c r="V37" i="5"/>
  <c r="V36" i="5"/>
  <c r="V34" i="5"/>
  <c r="V33" i="5"/>
  <c r="V32" i="5"/>
  <c r="V31" i="5"/>
  <c r="V30" i="5"/>
  <c r="V29" i="5"/>
  <c r="V27" i="5"/>
  <c r="V26" i="5"/>
  <c r="V25" i="5"/>
  <c r="V24" i="5"/>
  <c r="V23" i="5"/>
  <c r="V22" i="5"/>
  <c r="V21" i="5"/>
  <c r="V19" i="5"/>
  <c r="V18" i="5"/>
  <c r="V17" i="5"/>
  <c r="V16" i="5"/>
  <c r="V15" i="5"/>
  <c r="V14" i="5"/>
  <c r="V13" i="5"/>
  <c r="V12" i="5"/>
  <c r="V10" i="5"/>
  <c r="V9" i="5"/>
  <c r="V8" i="5"/>
  <c r="V7" i="5"/>
  <c r="V6" i="5"/>
  <c r="V5" i="5"/>
  <c r="V4" i="5"/>
  <c r="V3" i="5"/>
  <c r="V2" i="5"/>
  <c r="T164" i="5"/>
  <c r="T162" i="5"/>
  <c r="T161" i="5"/>
  <c r="T159" i="5"/>
  <c r="T158" i="5"/>
  <c r="T157" i="5"/>
  <c r="T155" i="5"/>
  <c r="T154" i="5"/>
  <c r="T153" i="5"/>
  <c r="T152" i="5"/>
  <c r="T150" i="5"/>
  <c r="T149" i="5"/>
  <c r="T148" i="5"/>
  <c r="T147" i="5"/>
  <c r="T146" i="5"/>
  <c r="T144" i="5"/>
  <c r="T143" i="5"/>
  <c r="T142" i="5"/>
  <c r="T141" i="5"/>
  <c r="T140" i="5"/>
  <c r="T139" i="5"/>
  <c r="T137" i="5"/>
  <c r="T136" i="5"/>
  <c r="T135" i="5"/>
  <c r="T134" i="5"/>
  <c r="T133" i="5"/>
  <c r="T132" i="5"/>
  <c r="T131" i="5"/>
  <c r="T129" i="5"/>
  <c r="T128" i="5"/>
  <c r="T127" i="5"/>
  <c r="T126" i="5"/>
  <c r="T125" i="5"/>
  <c r="T124" i="5"/>
  <c r="T123" i="5"/>
  <c r="T122" i="5"/>
  <c r="T120" i="5"/>
  <c r="T119" i="5"/>
  <c r="T118" i="5"/>
  <c r="T117" i="5"/>
  <c r="T116" i="5"/>
  <c r="T115" i="5"/>
  <c r="T114" i="5"/>
  <c r="T113" i="5"/>
  <c r="T112" i="5"/>
  <c r="T109" i="5"/>
  <c r="T107" i="5"/>
  <c r="T106" i="5"/>
  <c r="T104" i="5"/>
  <c r="T103" i="5"/>
  <c r="T102" i="5"/>
  <c r="T100" i="5"/>
  <c r="T99" i="5"/>
  <c r="T98" i="5"/>
  <c r="T97" i="5"/>
  <c r="T95" i="5"/>
  <c r="T94" i="5"/>
  <c r="T93" i="5"/>
  <c r="T92" i="5"/>
  <c r="T91" i="5"/>
  <c r="T89" i="5"/>
  <c r="T88" i="5"/>
  <c r="T87" i="5"/>
  <c r="T86" i="5"/>
  <c r="T85" i="5"/>
  <c r="T84" i="5"/>
  <c r="T82" i="5"/>
  <c r="T81" i="5"/>
  <c r="T80" i="5"/>
  <c r="T79" i="5"/>
  <c r="T78" i="5"/>
  <c r="T77" i="5"/>
  <c r="T76" i="5"/>
  <c r="T74" i="5"/>
  <c r="T73" i="5"/>
  <c r="T72" i="5"/>
  <c r="T71" i="5"/>
  <c r="T70" i="5"/>
  <c r="T69" i="5"/>
  <c r="T68" i="5"/>
  <c r="T67" i="5"/>
  <c r="T65" i="5"/>
  <c r="T64" i="5"/>
  <c r="T63" i="5"/>
  <c r="T62" i="5"/>
  <c r="T61" i="5"/>
  <c r="T60" i="5"/>
  <c r="T59" i="5"/>
  <c r="T58" i="5"/>
  <c r="T57" i="5"/>
  <c r="T54" i="5"/>
  <c r="T52" i="5"/>
  <c r="T51" i="5"/>
  <c r="T49" i="5"/>
  <c r="T48" i="5"/>
  <c r="T47" i="5"/>
  <c r="T45" i="5"/>
  <c r="T44" i="5"/>
  <c r="T43" i="5"/>
  <c r="T42" i="5"/>
  <c r="T40" i="5"/>
  <c r="T39" i="5"/>
  <c r="T38" i="5"/>
  <c r="T37" i="5"/>
  <c r="T36" i="5"/>
  <c r="T34" i="5"/>
  <c r="T33" i="5"/>
  <c r="T32" i="5"/>
  <c r="T31" i="5"/>
  <c r="T30" i="5"/>
  <c r="T29" i="5"/>
  <c r="T27" i="5"/>
  <c r="T26" i="5"/>
  <c r="T25" i="5"/>
  <c r="T24" i="5"/>
  <c r="T23" i="5"/>
  <c r="T22" i="5"/>
  <c r="T21" i="5"/>
  <c r="T19" i="5"/>
  <c r="T18" i="5"/>
  <c r="T17" i="5"/>
  <c r="T16" i="5"/>
  <c r="T15" i="5"/>
  <c r="T14" i="5"/>
  <c r="T13" i="5"/>
  <c r="T12" i="5"/>
  <c r="T10" i="5"/>
  <c r="T9" i="5"/>
  <c r="T8" i="5"/>
  <c r="T7" i="5"/>
  <c r="T6" i="5"/>
  <c r="T5" i="5"/>
  <c r="T4" i="5"/>
  <c r="T3" i="5"/>
  <c r="T2" i="5"/>
  <c r="R164" i="5"/>
  <c r="R162" i="5"/>
  <c r="R161" i="5"/>
  <c r="R159" i="5"/>
  <c r="R158" i="5"/>
  <c r="R157" i="5"/>
  <c r="R155" i="5"/>
  <c r="R154" i="5"/>
  <c r="R153" i="5"/>
  <c r="R152" i="5"/>
  <c r="R150" i="5"/>
  <c r="R149" i="5"/>
  <c r="R148" i="5"/>
  <c r="R147" i="5"/>
  <c r="R146" i="5"/>
  <c r="R144" i="5"/>
  <c r="R143" i="5"/>
  <c r="R142" i="5"/>
  <c r="R141" i="5"/>
  <c r="R140" i="5"/>
  <c r="R139" i="5"/>
  <c r="R137" i="5"/>
  <c r="R136" i="5"/>
  <c r="R135" i="5"/>
  <c r="R134" i="5"/>
  <c r="R133" i="5"/>
  <c r="R132" i="5"/>
  <c r="R131" i="5"/>
  <c r="R129" i="5"/>
  <c r="R128" i="5"/>
  <c r="R127" i="5"/>
  <c r="R126" i="5"/>
  <c r="R125" i="5"/>
  <c r="R124" i="5"/>
  <c r="R123" i="5"/>
  <c r="R122" i="5"/>
  <c r="R120" i="5"/>
  <c r="R119" i="5"/>
  <c r="R118" i="5"/>
  <c r="R117" i="5"/>
  <c r="R116" i="5"/>
  <c r="R115" i="5"/>
  <c r="R114" i="5"/>
  <c r="R113" i="5"/>
  <c r="R112" i="5"/>
  <c r="R109" i="5"/>
  <c r="R107" i="5"/>
  <c r="R106" i="5"/>
  <c r="R104" i="5"/>
  <c r="R103" i="5"/>
  <c r="R102" i="5"/>
  <c r="R100" i="5"/>
  <c r="R99" i="5"/>
  <c r="R98" i="5"/>
  <c r="R97" i="5"/>
  <c r="R95" i="5"/>
  <c r="R94" i="5"/>
  <c r="R93" i="5"/>
  <c r="R92" i="5"/>
  <c r="R91" i="5"/>
  <c r="R89" i="5"/>
  <c r="R88" i="5"/>
  <c r="R87" i="5"/>
  <c r="R86" i="5"/>
  <c r="R85" i="5"/>
  <c r="R84" i="5"/>
  <c r="R82" i="5"/>
  <c r="R81" i="5"/>
  <c r="R80" i="5"/>
  <c r="R79" i="5"/>
  <c r="R78" i="5"/>
  <c r="R77" i="5"/>
  <c r="R76" i="5"/>
  <c r="R74" i="5"/>
  <c r="R73" i="5"/>
  <c r="R72" i="5"/>
  <c r="R71" i="5"/>
  <c r="R70" i="5"/>
  <c r="R69" i="5"/>
  <c r="R68" i="5"/>
  <c r="R67" i="5"/>
  <c r="R65" i="5"/>
  <c r="R64" i="5"/>
  <c r="R63" i="5"/>
  <c r="R62" i="5"/>
  <c r="R61" i="5"/>
  <c r="R60" i="5"/>
  <c r="R59" i="5"/>
  <c r="R58" i="5"/>
  <c r="R57" i="5"/>
  <c r="R54" i="5"/>
  <c r="R52" i="5"/>
  <c r="R51" i="5"/>
  <c r="R49" i="5"/>
  <c r="R48" i="5"/>
  <c r="R47" i="5"/>
  <c r="R45" i="5"/>
  <c r="R44" i="5"/>
  <c r="R43" i="5"/>
  <c r="R42" i="5"/>
  <c r="R40" i="5"/>
  <c r="R39" i="5"/>
  <c r="R38" i="5"/>
  <c r="R37" i="5"/>
  <c r="R36" i="5"/>
  <c r="R34" i="5"/>
  <c r="R33" i="5"/>
  <c r="R32" i="5"/>
  <c r="R31" i="5"/>
  <c r="R30" i="5"/>
  <c r="R29" i="5"/>
  <c r="R27" i="5"/>
  <c r="R26" i="5"/>
  <c r="R25" i="5"/>
  <c r="R24" i="5"/>
  <c r="R23" i="5"/>
  <c r="R22" i="5"/>
  <c r="R21" i="5"/>
  <c r="R19" i="5"/>
  <c r="R18" i="5"/>
  <c r="R17" i="5"/>
  <c r="R16" i="5"/>
  <c r="R15" i="5"/>
  <c r="R14" i="5"/>
  <c r="R13" i="5"/>
  <c r="R12" i="5"/>
  <c r="R10" i="5"/>
  <c r="R9" i="5"/>
  <c r="R8" i="5"/>
  <c r="R7" i="5"/>
  <c r="R6" i="5"/>
  <c r="R5" i="5"/>
  <c r="R4" i="5"/>
  <c r="R3" i="5"/>
  <c r="R2" i="5"/>
  <c r="P164" i="5"/>
  <c r="P162" i="5"/>
  <c r="P161" i="5"/>
  <c r="P159" i="5"/>
  <c r="P158" i="5"/>
  <c r="P157" i="5"/>
  <c r="P155" i="5"/>
  <c r="P154" i="5"/>
  <c r="P153" i="5"/>
  <c r="P152" i="5"/>
  <c r="P150" i="5"/>
  <c r="P149" i="5"/>
  <c r="P148" i="5"/>
  <c r="P147" i="5"/>
  <c r="P146" i="5"/>
  <c r="P144" i="5"/>
  <c r="P143" i="5"/>
  <c r="P142" i="5"/>
  <c r="P141" i="5"/>
  <c r="P140" i="5"/>
  <c r="P139" i="5"/>
  <c r="P137" i="5"/>
  <c r="P136" i="5"/>
  <c r="P135" i="5"/>
  <c r="P134" i="5"/>
  <c r="P133" i="5"/>
  <c r="P132" i="5"/>
  <c r="P131" i="5"/>
  <c r="P129" i="5"/>
  <c r="P128" i="5"/>
  <c r="P127" i="5"/>
  <c r="P126" i="5"/>
  <c r="P125" i="5"/>
  <c r="P124" i="5"/>
  <c r="P123" i="5"/>
  <c r="P122" i="5"/>
  <c r="P120" i="5"/>
  <c r="P119" i="5"/>
  <c r="P118" i="5"/>
  <c r="P117" i="5"/>
  <c r="P116" i="5"/>
  <c r="P115" i="5"/>
  <c r="P114" i="5"/>
  <c r="P113" i="5"/>
  <c r="P112" i="5"/>
  <c r="P109" i="5"/>
  <c r="P107" i="5"/>
  <c r="P106" i="5"/>
  <c r="P104" i="5"/>
  <c r="P103" i="5"/>
  <c r="P102" i="5"/>
  <c r="P100" i="5"/>
  <c r="P99" i="5"/>
  <c r="P98" i="5"/>
  <c r="P97" i="5"/>
  <c r="P95" i="5"/>
  <c r="P94" i="5"/>
  <c r="P93" i="5"/>
  <c r="P92" i="5"/>
  <c r="P91" i="5"/>
  <c r="P89" i="5"/>
  <c r="P88" i="5"/>
  <c r="P87" i="5"/>
  <c r="P86" i="5"/>
  <c r="P85" i="5"/>
  <c r="P84" i="5"/>
  <c r="P82" i="5"/>
  <c r="P81" i="5"/>
  <c r="P80" i="5"/>
  <c r="P79" i="5"/>
  <c r="P78" i="5"/>
  <c r="P77" i="5"/>
  <c r="P76" i="5"/>
  <c r="P74" i="5"/>
  <c r="P73" i="5"/>
  <c r="P72" i="5"/>
  <c r="P71" i="5"/>
  <c r="P70" i="5"/>
  <c r="P69" i="5"/>
  <c r="P68" i="5"/>
  <c r="P67" i="5"/>
  <c r="P65" i="5"/>
  <c r="P64" i="5"/>
  <c r="P63" i="5"/>
  <c r="P62" i="5"/>
  <c r="P61" i="5"/>
  <c r="P60" i="5"/>
  <c r="P59" i="5"/>
  <c r="P58" i="5"/>
  <c r="P57" i="5"/>
  <c r="P54" i="5"/>
  <c r="P52" i="5"/>
  <c r="P51" i="5"/>
  <c r="P49" i="5"/>
  <c r="P48" i="5"/>
  <c r="P47" i="5"/>
  <c r="P45" i="5"/>
  <c r="P44" i="5"/>
  <c r="P43" i="5"/>
  <c r="P42" i="5"/>
  <c r="P40" i="5"/>
  <c r="P39" i="5"/>
  <c r="P38" i="5"/>
  <c r="P37" i="5"/>
  <c r="P36" i="5"/>
  <c r="P34" i="5"/>
  <c r="P33" i="5"/>
  <c r="P32" i="5"/>
  <c r="P31" i="5"/>
  <c r="P30" i="5"/>
  <c r="P29" i="5"/>
  <c r="P27" i="5"/>
  <c r="P26" i="5"/>
  <c r="P25" i="5"/>
  <c r="P24" i="5"/>
  <c r="P23" i="5"/>
  <c r="P22" i="5"/>
  <c r="P21" i="5"/>
  <c r="P19" i="5"/>
  <c r="P18" i="5"/>
  <c r="P17" i="5"/>
  <c r="P16" i="5"/>
  <c r="P15" i="5"/>
  <c r="P14" i="5"/>
  <c r="P13" i="5"/>
  <c r="P12" i="5"/>
  <c r="P10" i="5"/>
  <c r="P9" i="5"/>
  <c r="P8" i="5"/>
  <c r="P7" i="5"/>
  <c r="P6" i="5"/>
  <c r="P5" i="5"/>
  <c r="P4" i="5"/>
  <c r="P3" i="5"/>
  <c r="P2" i="5"/>
  <c r="N164" i="5"/>
  <c r="N162" i="5"/>
  <c r="N161" i="5"/>
  <c r="N159" i="5"/>
  <c r="N158" i="5"/>
  <c r="N157" i="5"/>
  <c r="N155" i="5"/>
  <c r="N154" i="5"/>
  <c r="N153" i="5"/>
  <c r="N152" i="5"/>
  <c r="N150" i="5"/>
  <c r="N149" i="5"/>
  <c r="N148" i="5"/>
  <c r="N147" i="5"/>
  <c r="N146" i="5"/>
  <c r="N144" i="5"/>
  <c r="N143" i="5"/>
  <c r="N142" i="5"/>
  <c r="N141" i="5"/>
  <c r="N140" i="5"/>
  <c r="N139" i="5"/>
  <c r="N137" i="5"/>
  <c r="N136" i="5"/>
  <c r="N135" i="5"/>
  <c r="N134" i="5"/>
  <c r="N133" i="5"/>
  <c r="N132" i="5"/>
  <c r="N131" i="5"/>
  <c r="N129" i="5"/>
  <c r="N128" i="5"/>
  <c r="N127" i="5"/>
  <c r="N126" i="5"/>
  <c r="N125" i="5"/>
  <c r="N124" i="5"/>
  <c r="N123" i="5"/>
  <c r="N122" i="5"/>
  <c r="N120" i="5"/>
  <c r="N119" i="5"/>
  <c r="N118" i="5"/>
  <c r="N117" i="5"/>
  <c r="N116" i="5"/>
  <c r="N115" i="5"/>
  <c r="N114" i="5"/>
  <c r="N113" i="5"/>
  <c r="N112" i="5"/>
  <c r="N109" i="5"/>
  <c r="N107" i="5"/>
  <c r="N106" i="5"/>
  <c r="N104" i="5"/>
  <c r="N103" i="5"/>
  <c r="N102" i="5"/>
  <c r="N100" i="5"/>
  <c r="N99" i="5"/>
  <c r="N98" i="5"/>
  <c r="N97" i="5"/>
  <c r="N95" i="5"/>
  <c r="N94" i="5"/>
  <c r="N93" i="5"/>
  <c r="N92" i="5"/>
  <c r="N91" i="5"/>
  <c r="N89" i="5"/>
  <c r="N88" i="5"/>
  <c r="N87" i="5"/>
  <c r="N86" i="5"/>
  <c r="N85" i="5"/>
  <c r="N84" i="5"/>
  <c r="N82" i="5"/>
  <c r="N81" i="5"/>
  <c r="N80" i="5"/>
  <c r="N79" i="5"/>
  <c r="N78" i="5"/>
  <c r="N77" i="5"/>
  <c r="N76" i="5"/>
  <c r="N74" i="5"/>
  <c r="N73" i="5"/>
  <c r="N72" i="5"/>
  <c r="N71" i="5"/>
  <c r="N70" i="5"/>
  <c r="N69" i="5"/>
  <c r="N68" i="5"/>
  <c r="N67" i="5"/>
  <c r="N65" i="5"/>
  <c r="N64" i="5"/>
  <c r="N63" i="5"/>
  <c r="N62" i="5"/>
  <c r="N61" i="5"/>
  <c r="N60" i="5"/>
  <c r="N59" i="5"/>
  <c r="N58" i="5"/>
  <c r="N57" i="5"/>
  <c r="N54" i="5"/>
  <c r="N52" i="5"/>
  <c r="N51" i="5"/>
  <c r="N49" i="5"/>
  <c r="N48" i="5"/>
  <c r="N47" i="5"/>
  <c r="N45" i="5"/>
  <c r="N44" i="5"/>
  <c r="N43" i="5"/>
  <c r="N42" i="5"/>
  <c r="N40" i="5"/>
  <c r="N39" i="5"/>
  <c r="N38" i="5"/>
  <c r="N37" i="5"/>
  <c r="N36" i="5"/>
  <c r="N34" i="5"/>
  <c r="N33" i="5"/>
  <c r="N32" i="5"/>
  <c r="N31" i="5"/>
  <c r="N30" i="5"/>
  <c r="N29" i="5"/>
  <c r="N27" i="5"/>
  <c r="N26" i="5"/>
  <c r="N25" i="5"/>
  <c r="N24" i="5"/>
  <c r="N23" i="5"/>
  <c r="N22" i="5"/>
  <c r="N21" i="5"/>
  <c r="N19" i="5"/>
  <c r="N18" i="5"/>
  <c r="N17" i="5"/>
  <c r="N16" i="5"/>
  <c r="N15" i="5"/>
  <c r="N14" i="5"/>
  <c r="N13" i="5"/>
  <c r="N12" i="5"/>
  <c r="N10" i="5"/>
  <c r="N9" i="5"/>
  <c r="N8" i="5"/>
  <c r="N7" i="5"/>
  <c r="N6" i="5"/>
  <c r="N5" i="5"/>
  <c r="N4" i="5"/>
  <c r="N3" i="5"/>
  <c r="N2" i="5"/>
  <c r="L164" i="5"/>
  <c r="L162" i="5"/>
  <c r="L161" i="5"/>
  <c r="L159" i="5"/>
  <c r="L158" i="5"/>
  <c r="L157" i="5"/>
  <c r="L155" i="5"/>
  <c r="L154" i="5"/>
  <c r="L153" i="5"/>
  <c r="L152" i="5"/>
  <c r="L150" i="5"/>
  <c r="L149" i="5"/>
  <c r="L148" i="5"/>
  <c r="L147" i="5"/>
  <c r="L146" i="5"/>
  <c r="L144" i="5"/>
  <c r="L143" i="5"/>
  <c r="L142" i="5"/>
  <c r="L141" i="5"/>
  <c r="L140" i="5"/>
  <c r="L139" i="5"/>
  <c r="L137" i="5"/>
  <c r="L136" i="5"/>
  <c r="L135" i="5"/>
  <c r="L134" i="5"/>
  <c r="L133" i="5"/>
  <c r="L132" i="5"/>
  <c r="L131" i="5"/>
  <c r="L129" i="5"/>
  <c r="L128" i="5"/>
  <c r="L127" i="5"/>
  <c r="L126" i="5"/>
  <c r="L125" i="5"/>
  <c r="L124" i="5"/>
  <c r="L123" i="5"/>
  <c r="L122" i="5"/>
  <c r="L120" i="5"/>
  <c r="L119" i="5"/>
  <c r="L118" i="5"/>
  <c r="L117" i="5"/>
  <c r="L116" i="5"/>
  <c r="L115" i="5"/>
  <c r="L114" i="5"/>
  <c r="L113" i="5"/>
  <c r="L112" i="5"/>
  <c r="L109" i="5"/>
  <c r="L107" i="5"/>
  <c r="L106" i="5"/>
  <c r="L104" i="5"/>
  <c r="L103" i="5"/>
  <c r="L102" i="5"/>
  <c r="L100" i="5"/>
  <c r="L99" i="5"/>
  <c r="L98" i="5"/>
  <c r="L97" i="5"/>
  <c r="L95" i="5"/>
  <c r="L94" i="5"/>
  <c r="L93" i="5"/>
  <c r="L92" i="5"/>
  <c r="L91" i="5"/>
  <c r="L89" i="5"/>
  <c r="L88" i="5"/>
  <c r="L87" i="5"/>
  <c r="L86" i="5"/>
  <c r="L85" i="5"/>
  <c r="L84" i="5"/>
  <c r="L82" i="5"/>
  <c r="L81" i="5"/>
  <c r="L80" i="5"/>
  <c r="L79" i="5"/>
  <c r="L78" i="5"/>
  <c r="L77" i="5"/>
  <c r="L76" i="5"/>
  <c r="L74" i="5"/>
  <c r="L73" i="5"/>
  <c r="L72" i="5"/>
  <c r="L71" i="5"/>
  <c r="L70" i="5"/>
  <c r="L69" i="5"/>
  <c r="L68" i="5"/>
  <c r="L67" i="5"/>
  <c r="L65" i="5"/>
  <c r="L64" i="5"/>
  <c r="L63" i="5"/>
  <c r="L62" i="5"/>
  <c r="L61" i="5"/>
  <c r="L60" i="5"/>
  <c r="L59" i="5"/>
  <c r="L58" i="5"/>
  <c r="L57" i="5"/>
  <c r="L54" i="5"/>
  <c r="L52" i="5"/>
  <c r="L51" i="5"/>
  <c r="L49" i="5"/>
  <c r="L48" i="5"/>
  <c r="L47" i="5"/>
  <c r="L45" i="5"/>
  <c r="L44" i="5"/>
  <c r="L43" i="5"/>
  <c r="L42" i="5"/>
  <c r="L40" i="5"/>
  <c r="L39" i="5"/>
  <c r="L38" i="5"/>
  <c r="L37" i="5"/>
  <c r="L36" i="5"/>
  <c r="L34" i="5"/>
  <c r="L33" i="5"/>
  <c r="L32" i="5"/>
  <c r="L31" i="5"/>
  <c r="L30" i="5"/>
  <c r="L29" i="5"/>
  <c r="L27" i="5"/>
  <c r="L26" i="5"/>
  <c r="L25" i="5"/>
  <c r="L24" i="5"/>
  <c r="L23" i="5"/>
  <c r="L22" i="5"/>
  <c r="L21" i="5"/>
  <c r="L19" i="5"/>
  <c r="L18" i="5"/>
  <c r="L17" i="5"/>
  <c r="L16" i="5"/>
  <c r="L15" i="5"/>
  <c r="L14" i="5"/>
  <c r="L13" i="5"/>
  <c r="L12" i="5"/>
  <c r="L10" i="5"/>
  <c r="L9" i="5"/>
  <c r="L8" i="5"/>
  <c r="L7" i="5"/>
  <c r="L6" i="5"/>
  <c r="L5" i="5"/>
  <c r="L4" i="5"/>
  <c r="L3" i="5"/>
  <c r="L2" i="5"/>
  <c r="J164" i="5"/>
  <c r="J162" i="5"/>
  <c r="J161" i="5"/>
  <c r="J159" i="5"/>
  <c r="J158" i="5"/>
  <c r="J157" i="5"/>
  <c r="J155" i="5"/>
  <c r="J154" i="5"/>
  <c r="J153" i="5"/>
  <c r="J152" i="5"/>
  <c r="J150" i="5"/>
  <c r="J149" i="5"/>
  <c r="J148" i="5"/>
  <c r="J147" i="5"/>
  <c r="J146" i="5"/>
  <c r="J144" i="5"/>
  <c r="J143" i="5"/>
  <c r="J142" i="5"/>
  <c r="J141" i="5"/>
  <c r="J140" i="5"/>
  <c r="J139" i="5"/>
  <c r="J137" i="5"/>
  <c r="J136" i="5"/>
  <c r="J135" i="5"/>
  <c r="J134" i="5"/>
  <c r="J133" i="5"/>
  <c r="J132" i="5"/>
  <c r="J131" i="5"/>
  <c r="J129" i="5"/>
  <c r="J128" i="5"/>
  <c r="J127" i="5"/>
  <c r="J126" i="5"/>
  <c r="J125" i="5"/>
  <c r="J124" i="5"/>
  <c r="J123" i="5"/>
  <c r="J122" i="5"/>
  <c r="J120" i="5"/>
  <c r="J119" i="5"/>
  <c r="J118" i="5"/>
  <c r="J117" i="5"/>
  <c r="J116" i="5"/>
  <c r="J115" i="5"/>
  <c r="J114" i="5"/>
  <c r="J113" i="5"/>
  <c r="J112" i="5"/>
  <c r="J109" i="5"/>
  <c r="J107" i="5"/>
  <c r="J106" i="5"/>
  <c r="J104" i="5"/>
  <c r="J103" i="5"/>
  <c r="J102" i="5"/>
  <c r="J100" i="5"/>
  <c r="J99" i="5"/>
  <c r="J98" i="5"/>
  <c r="J97" i="5"/>
  <c r="J95" i="5"/>
  <c r="J94" i="5"/>
  <c r="J93" i="5"/>
  <c r="J92" i="5"/>
  <c r="J91" i="5"/>
  <c r="J89" i="5"/>
  <c r="J88" i="5"/>
  <c r="J87" i="5"/>
  <c r="J86" i="5"/>
  <c r="J85" i="5"/>
  <c r="J84" i="5"/>
  <c r="J82" i="5"/>
  <c r="J81" i="5"/>
  <c r="J80" i="5"/>
  <c r="J79" i="5"/>
  <c r="J78" i="5"/>
  <c r="J77" i="5"/>
  <c r="J76" i="5"/>
  <c r="J74" i="5"/>
  <c r="J73" i="5"/>
  <c r="J72" i="5"/>
  <c r="J71" i="5"/>
  <c r="J70" i="5"/>
  <c r="J69" i="5"/>
  <c r="J68" i="5"/>
  <c r="J67" i="5"/>
  <c r="J65" i="5"/>
  <c r="J64" i="5"/>
  <c r="J63" i="5"/>
  <c r="J62" i="5"/>
  <c r="J61" i="5"/>
  <c r="J60" i="5"/>
  <c r="J59" i="5"/>
  <c r="J58" i="5"/>
  <c r="J57" i="5"/>
  <c r="J54" i="5"/>
  <c r="J52" i="5"/>
  <c r="J51" i="5"/>
  <c r="J49" i="5"/>
  <c r="J48" i="5"/>
  <c r="J47" i="5"/>
  <c r="J45" i="5"/>
  <c r="J44" i="5"/>
  <c r="J43" i="5"/>
  <c r="J42" i="5"/>
  <c r="J40" i="5"/>
  <c r="J39" i="5"/>
  <c r="J38" i="5"/>
  <c r="J37" i="5"/>
  <c r="J36" i="5"/>
  <c r="J34" i="5"/>
  <c r="J33" i="5"/>
  <c r="J32" i="5"/>
  <c r="J31" i="5"/>
  <c r="J30" i="5"/>
  <c r="J29" i="5"/>
  <c r="J27" i="5"/>
  <c r="J26" i="5"/>
  <c r="J25" i="5"/>
  <c r="J24" i="5"/>
  <c r="J23" i="5"/>
  <c r="J22" i="5"/>
  <c r="J21" i="5"/>
  <c r="J19" i="5"/>
  <c r="J18" i="5"/>
  <c r="J17" i="5"/>
  <c r="J16" i="5"/>
  <c r="J15" i="5"/>
  <c r="J14" i="5"/>
  <c r="J13" i="5"/>
  <c r="J12" i="5"/>
  <c r="J10" i="5"/>
  <c r="J9" i="5"/>
  <c r="J8" i="5"/>
  <c r="J7" i="5"/>
  <c r="J6" i="5"/>
  <c r="J5" i="5"/>
  <c r="J4" i="5"/>
  <c r="J3" i="5"/>
  <c r="J2" i="5"/>
  <c r="H164" i="5"/>
  <c r="H162" i="5"/>
  <c r="H161" i="5"/>
  <c r="H159" i="5"/>
  <c r="H158" i="5"/>
  <c r="H157" i="5"/>
  <c r="H155" i="5"/>
  <c r="H154" i="5"/>
  <c r="H153" i="5"/>
  <c r="H152" i="5"/>
  <c r="H150" i="5"/>
  <c r="H149" i="5"/>
  <c r="H148" i="5"/>
  <c r="H147" i="5"/>
  <c r="H146" i="5"/>
  <c r="H144" i="5"/>
  <c r="H143" i="5"/>
  <c r="H142" i="5"/>
  <c r="H141" i="5"/>
  <c r="H140" i="5"/>
  <c r="H139" i="5"/>
  <c r="H137" i="5"/>
  <c r="H136" i="5"/>
  <c r="H135" i="5"/>
  <c r="H134" i="5"/>
  <c r="H133" i="5"/>
  <c r="H132" i="5"/>
  <c r="H131" i="5"/>
  <c r="H129" i="5"/>
  <c r="H128" i="5"/>
  <c r="H127" i="5"/>
  <c r="H126" i="5"/>
  <c r="H125" i="5"/>
  <c r="H124" i="5"/>
  <c r="H123" i="5"/>
  <c r="H122" i="5"/>
  <c r="H120" i="5"/>
  <c r="H119" i="5"/>
  <c r="H118" i="5"/>
  <c r="H117" i="5"/>
  <c r="H116" i="5"/>
  <c r="H115" i="5"/>
  <c r="H114" i="5"/>
  <c r="H113" i="5"/>
  <c r="H112" i="5"/>
  <c r="H109" i="5"/>
  <c r="H107" i="5"/>
  <c r="H106" i="5"/>
  <c r="H104" i="5"/>
  <c r="H103" i="5"/>
  <c r="H102" i="5"/>
  <c r="H100" i="5"/>
  <c r="H99" i="5"/>
  <c r="H98" i="5"/>
  <c r="H97" i="5"/>
  <c r="H95" i="5"/>
  <c r="H94" i="5"/>
  <c r="H93" i="5"/>
  <c r="H92" i="5"/>
  <c r="H91" i="5"/>
  <c r="H89" i="5"/>
  <c r="H88" i="5"/>
  <c r="H87" i="5"/>
  <c r="H86" i="5"/>
  <c r="H85" i="5"/>
  <c r="H84" i="5"/>
  <c r="H82" i="5"/>
  <c r="H81" i="5"/>
  <c r="H80" i="5"/>
  <c r="H79" i="5"/>
  <c r="H78" i="5"/>
  <c r="H77" i="5"/>
  <c r="H76" i="5"/>
  <c r="H74" i="5"/>
  <c r="H73" i="5"/>
  <c r="H72" i="5"/>
  <c r="H71" i="5"/>
  <c r="H70" i="5"/>
  <c r="H69" i="5"/>
  <c r="H68" i="5"/>
  <c r="H67" i="5"/>
  <c r="H65" i="5"/>
  <c r="H64" i="5"/>
  <c r="H63" i="5"/>
  <c r="H62" i="5"/>
  <c r="H61" i="5"/>
  <c r="H60" i="5"/>
  <c r="H59" i="5"/>
  <c r="H58" i="5"/>
  <c r="H57" i="5"/>
  <c r="H54" i="5"/>
  <c r="H52" i="5"/>
  <c r="H51" i="5"/>
  <c r="H49" i="5"/>
  <c r="H48" i="5"/>
  <c r="H47" i="5"/>
  <c r="H45" i="5"/>
  <c r="H44" i="5"/>
  <c r="H43" i="5"/>
  <c r="H42" i="5"/>
  <c r="H40" i="5"/>
  <c r="H39" i="5"/>
  <c r="H38" i="5"/>
  <c r="H37" i="5"/>
  <c r="H36" i="5"/>
  <c r="H34" i="5"/>
  <c r="H33" i="5"/>
  <c r="H32" i="5"/>
  <c r="H31" i="5"/>
  <c r="H30" i="5"/>
  <c r="H29" i="5"/>
  <c r="H27" i="5"/>
  <c r="H26" i="5"/>
  <c r="H25" i="5"/>
  <c r="H24" i="5"/>
  <c r="H23" i="5"/>
  <c r="H22" i="5"/>
  <c r="H21" i="5"/>
  <c r="H19" i="5"/>
  <c r="H18" i="5"/>
  <c r="H17" i="5"/>
  <c r="H16" i="5"/>
  <c r="H15" i="5"/>
  <c r="H14" i="5"/>
  <c r="H13" i="5"/>
  <c r="H12" i="5"/>
  <c r="H10" i="5"/>
  <c r="H9" i="5"/>
  <c r="H8" i="5"/>
  <c r="H7" i="5"/>
  <c r="H6" i="5"/>
  <c r="H5" i="5"/>
  <c r="H4" i="5"/>
  <c r="H3" i="5"/>
  <c r="H2" i="5"/>
  <c r="F164" i="5"/>
  <c r="F162" i="5"/>
  <c r="F161" i="5"/>
  <c r="F159" i="5"/>
  <c r="F158" i="5"/>
  <c r="F157" i="5"/>
  <c r="F155" i="5"/>
  <c r="F154" i="5"/>
  <c r="F153" i="5"/>
  <c r="F152" i="5"/>
  <c r="F150" i="5"/>
  <c r="F149" i="5"/>
  <c r="F148" i="5"/>
  <c r="F147" i="5"/>
  <c r="F146" i="5"/>
  <c r="F144" i="5"/>
  <c r="F143" i="5"/>
  <c r="F142" i="5"/>
  <c r="F141" i="5"/>
  <c r="F140" i="5"/>
  <c r="F139" i="5"/>
  <c r="F137" i="5"/>
  <c r="F136" i="5"/>
  <c r="F135" i="5"/>
  <c r="F134" i="5"/>
  <c r="F133" i="5"/>
  <c r="F132" i="5"/>
  <c r="F131" i="5"/>
  <c r="F129" i="5"/>
  <c r="F128" i="5"/>
  <c r="F127" i="5"/>
  <c r="F126" i="5"/>
  <c r="F125" i="5"/>
  <c r="F124" i="5"/>
  <c r="F123" i="5"/>
  <c r="F122" i="5"/>
  <c r="F120" i="5"/>
  <c r="F119" i="5"/>
  <c r="F118" i="5"/>
  <c r="F117" i="5"/>
  <c r="F116" i="5"/>
  <c r="F115" i="5"/>
  <c r="F114" i="5"/>
  <c r="F113" i="5"/>
  <c r="F112" i="5"/>
  <c r="F109" i="5"/>
  <c r="F107" i="5"/>
  <c r="F106" i="5"/>
  <c r="F104" i="5"/>
  <c r="F103" i="5"/>
  <c r="F102" i="5"/>
  <c r="F100" i="5"/>
  <c r="F99" i="5"/>
  <c r="F98" i="5"/>
  <c r="F97" i="5"/>
  <c r="F95" i="5"/>
  <c r="F94" i="5"/>
  <c r="F93" i="5"/>
  <c r="F92" i="5"/>
  <c r="F91" i="5"/>
  <c r="F89" i="5"/>
  <c r="F88" i="5"/>
  <c r="F87" i="5"/>
  <c r="F86" i="5"/>
  <c r="F85" i="5"/>
  <c r="F84" i="5"/>
  <c r="F82" i="5"/>
  <c r="F81" i="5"/>
  <c r="F80" i="5"/>
  <c r="F79" i="5"/>
  <c r="F78" i="5"/>
  <c r="F77" i="5"/>
  <c r="F76" i="5"/>
  <c r="F74" i="5"/>
  <c r="F73" i="5"/>
  <c r="F72" i="5"/>
  <c r="F71" i="5"/>
  <c r="F70" i="5"/>
  <c r="F69" i="5"/>
  <c r="F68" i="5"/>
  <c r="F67" i="5"/>
  <c r="F65" i="5"/>
  <c r="F64" i="5"/>
  <c r="F63" i="5"/>
  <c r="F62" i="5"/>
  <c r="F61" i="5"/>
  <c r="F60" i="5"/>
  <c r="F59" i="5"/>
  <c r="F58" i="5"/>
  <c r="F57" i="5"/>
  <c r="F54" i="5"/>
  <c r="F52" i="5"/>
  <c r="F51" i="5"/>
  <c r="F49" i="5"/>
  <c r="F48" i="5"/>
  <c r="F47" i="5"/>
  <c r="F45" i="5"/>
  <c r="F44" i="5"/>
  <c r="F43" i="5"/>
  <c r="F42" i="5"/>
  <c r="F40" i="5"/>
  <c r="F39" i="5"/>
  <c r="F38" i="5"/>
  <c r="F37" i="5"/>
  <c r="F36" i="5"/>
  <c r="F34" i="5"/>
  <c r="F33" i="5"/>
  <c r="F32" i="5"/>
  <c r="F31" i="5"/>
  <c r="F30" i="5"/>
  <c r="F29" i="5"/>
  <c r="F27" i="5"/>
  <c r="F26" i="5"/>
  <c r="F25" i="5"/>
  <c r="F24" i="5"/>
  <c r="F23" i="5"/>
  <c r="F22" i="5"/>
  <c r="F21" i="5"/>
  <c r="F19" i="5"/>
  <c r="F18" i="5"/>
  <c r="F17" i="5"/>
  <c r="F16" i="5"/>
  <c r="F15" i="5"/>
  <c r="F14" i="5"/>
  <c r="F13" i="5"/>
  <c r="F12" i="5"/>
  <c r="F10" i="5"/>
  <c r="F9" i="5"/>
  <c r="F8" i="5"/>
  <c r="F7" i="5"/>
  <c r="F6" i="5"/>
  <c r="F5" i="5"/>
  <c r="F4" i="5"/>
  <c r="F3" i="5"/>
  <c r="F2" i="5"/>
  <c r="E2" i="5" l="1"/>
  <c r="B112" i="5"/>
  <c r="C112" i="5"/>
  <c r="E112" i="5"/>
  <c r="G112" i="5"/>
  <c r="I112" i="5"/>
  <c r="K112" i="5"/>
  <c r="M112" i="5"/>
  <c r="O112" i="5"/>
  <c r="Q112" i="5"/>
  <c r="S112" i="5"/>
  <c r="U112" i="5"/>
  <c r="W112" i="5"/>
  <c r="Y112" i="5"/>
  <c r="AA112" i="5"/>
  <c r="AC112" i="5"/>
  <c r="AE112" i="5"/>
  <c r="AG112" i="5"/>
  <c r="AI112" i="5"/>
  <c r="AK112" i="5"/>
  <c r="AM112" i="5"/>
  <c r="AO112" i="5"/>
  <c r="AQ112" i="5"/>
  <c r="B113" i="5"/>
  <c r="C113" i="5"/>
  <c r="E113" i="5"/>
  <c r="G113" i="5"/>
  <c r="I113" i="5"/>
  <c r="K113" i="5"/>
  <c r="M113" i="5"/>
  <c r="O113" i="5"/>
  <c r="Q113" i="5"/>
  <c r="S113" i="5"/>
  <c r="U113" i="5"/>
  <c r="W113" i="5"/>
  <c r="Y113" i="5"/>
  <c r="AA113" i="5"/>
  <c r="AC113" i="5"/>
  <c r="AE113" i="5"/>
  <c r="AG113" i="5"/>
  <c r="AI113" i="5"/>
  <c r="AK113" i="5"/>
  <c r="AM113" i="5"/>
  <c r="AO113" i="5"/>
  <c r="AQ113" i="5"/>
  <c r="B114" i="5"/>
  <c r="C114" i="5"/>
  <c r="E114" i="5"/>
  <c r="G114" i="5"/>
  <c r="I114" i="5"/>
  <c r="K114" i="5"/>
  <c r="M114" i="5"/>
  <c r="O114" i="5"/>
  <c r="Q114" i="5"/>
  <c r="S114" i="5"/>
  <c r="U114" i="5"/>
  <c r="W114" i="5"/>
  <c r="Y114" i="5"/>
  <c r="AA114" i="5"/>
  <c r="AC114" i="5"/>
  <c r="AE114" i="5"/>
  <c r="AG114" i="5"/>
  <c r="AI114" i="5"/>
  <c r="AK114" i="5"/>
  <c r="AM114" i="5"/>
  <c r="AO114" i="5"/>
  <c r="AQ114" i="5"/>
  <c r="B115" i="5"/>
  <c r="C115" i="5"/>
  <c r="E115" i="5"/>
  <c r="G115" i="5"/>
  <c r="I115" i="5"/>
  <c r="K115" i="5"/>
  <c r="M115" i="5"/>
  <c r="O115" i="5"/>
  <c r="Q115" i="5"/>
  <c r="S115" i="5"/>
  <c r="U115" i="5"/>
  <c r="W115" i="5"/>
  <c r="Y115" i="5"/>
  <c r="AA115" i="5"/>
  <c r="AC115" i="5"/>
  <c r="AE115" i="5"/>
  <c r="AG115" i="5"/>
  <c r="AI115" i="5"/>
  <c r="AK115" i="5"/>
  <c r="AM115" i="5"/>
  <c r="AO115" i="5"/>
  <c r="AQ115" i="5"/>
  <c r="B116" i="5"/>
  <c r="C116" i="5"/>
  <c r="E116" i="5"/>
  <c r="G116" i="5"/>
  <c r="I116" i="5"/>
  <c r="K116" i="5"/>
  <c r="M116" i="5"/>
  <c r="O116" i="5"/>
  <c r="Q116" i="5"/>
  <c r="S116" i="5"/>
  <c r="U116" i="5"/>
  <c r="W116" i="5"/>
  <c r="Y116" i="5"/>
  <c r="AA116" i="5"/>
  <c r="AC116" i="5"/>
  <c r="AE116" i="5"/>
  <c r="AG116" i="5"/>
  <c r="AI116" i="5"/>
  <c r="AK116" i="5"/>
  <c r="AM116" i="5"/>
  <c r="AO116" i="5"/>
  <c r="AQ116" i="5"/>
  <c r="B117" i="5"/>
  <c r="C117" i="5"/>
  <c r="E117" i="5"/>
  <c r="G117" i="5"/>
  <c r="I117" i="5"/>
  <c r="K117" i="5"/>
  <c r="M117" i="5"/>
  <c r="O117" i="5"/>
  <c r="Q117" i="5"/>
  <c r="S117" i="5"/>
  <c r="U117" i="5"/>
  <c r="W117" i="5"/>
  <c r="Y117" i="5"/>
  <c r="AA117" i="5"/>
  <c r="AC117" i="5"/>
  <c r="AE117" i="5"/>
  <c r="AG117" i="5"/>
  <c r="AI117" i="5"/>
  <c r="AK117" i="5"/>
  <c r="AM117" i="5"/>
  <c r="AO117" i="5"/>
  <c r="AQ117" i="5"/>
  <c r="B118" i="5"/>
  <c r="C118" i="5"/>
  <c r="E118" i="5"/>
  <c r="G118" i="5"/>
  <c r="I118" i="5"/>
  <c r="K118" i="5"/>
  <c r="M118" i="5"/>
  <c r="O118" i="5"/>
  <c r="Q118" i="5"/>
  <c r="S118" i="5"/>
  <c r="U118" i="5"/>
  <c r="W118" i="5"/>
  <c r="Y118" i="5"/>
  <c r="AA118" i="5"/>
  <c r="AC118" i="5"/>
  <c r="AE118" i="5"/>
  <c r="AG118" i="5"/>
  <c r="AI118" i="5"/>
  <c r="AK118" i="5"/>
  <c r="AM118" i="5"/>
  <c r="AO118" i="5"/>
  <c r="AQ118" i="5"/>
  <c r="B119" i="5"/>
  <c r="C119" i="5"/>
  <c r="E119" i="5"/>
  <c r="G119" i="5"/>
  <c r="I119" i="5"/>
  <c r="K119" i="5"/>
  <c r="M119" i="5"/>
  <c r="O119" i="5"/>
  <c r="Q119" i="5"/>
  <c r="S119" i="5"/>
  <c r="U119" i="5"/>
  <c r="W119" i="5"/>
  <c r="Y119" i="5"/>
  <c r="AA119" i="5"/>
  <c r="AC119" i="5"/>
  <c r="AE119" i="5"/>
  <c r="AG119" i="5"/>
  <c r="AI119" i="5"/>
  <c r="AK119" i="5"/>
  <c r="AM119" i="5"/>
  <c r="AO119" i="5"/>
  <c r="AQ119" i="5"/>
  <c r="B120" i="5"/>
  <c r="C120" i="5"/>
  <c r="E120" i="5"/>
  <c r="G120" i="5"/>
  <c r="I120" i="5"/>
  <c r="K120" i="5"/>
  <c r="M120" i="5"/>
  <c r="O120" i="5"/>
  <c r="Q120" i="5"/>
  <c r="S120" i="5"/>
  <c r="U120" i="5"/>
  <c r="W120" i="5"/>
  <c r="Y120" i="5"/>
  <c r="AA120" i="5"/>
  <c r="AC120" i="5"/>
  <c r="AE120" i="5"/>
  <c r="AG120" i="5"/>
  <c r="AI120" i="5"/>
  <c r="AK120" i="5"/>
  <c r="AM120" i="5"/>
  <c r="AO120" i="5"/>
  <c r="AQ120" i="5"/>
  <c r="B122" i="5"/>
  <c r="C122" i="5"/>
  <c r="E122" i="5"/>
  <c r="G122" i="5"/>
  <c r="I122" i="5"/>
  <c r="K122" i="5"/>
  <c r="M122" i="5"/>
  <c r="O122" i="5"/>
  <c r="Q122" i="5"/>
  <c r="S122" i="5"/>
  <c r="U122" i="5"/>
  <c r="W122" i="5"/>
  <c r="Y122" i="5"/>
  <c r="AA122" i="5"/>
  <c r="AC122" i="5"/>
  <c r="AE122" i="5"/>
  <c r="AG122" i="5"/>
  <c r="B123" i="5"/>
  <c r="C123" i="5"/>
  <c r="E123" i="5"/>
  <c r="G123" i="5"/>
  <c r="I123" i="5"/>
  <c r="K123" i="5"/>
  <c r="M123" i="5"/>
  <c r="O123" i="5"/>
  <c r="Q123" i="5"/>
  <c r="S123" i="5"/>
  <c r="U123" i="5"/>
  <c r="W123" i="5"/>
  <c r="Y123" i="5"/>
  <c r="AA123" i="5"/>
  <c r="AC123" i="5"/>
  <c r="AE123" i="5"/>
  <c r="AG123" i="5"/>
  <c r="B124" i="5"/>
  <c r="C124" i="5"/>
  <c r="E124" i="5"/>
  <c r="G124" i="5"/>
  <c r="I124" i="5"/>
  <c r="K124" i="5"/>
  <c r="M124" i="5"/>
  <c r="O124" i="5"/>
  <c r="Q124" i="5"/>
  <c r="S124" i="5"/>
  <c r="U124" i="5"/>
  <c r="W124" i="5"/>
  <c r="Y124" i="5"/>
  <c r="AA124" i="5"/>
  <c r="AC124" i="5"/>
  <c r="AE124" i="5"/>
  <c r="AG124" i="5"/>
  <c r="B125" i="5"/>
  <c r="C125" i="5"/>
  <c r="E125" i="5"/>
  <c r="G125" i="5"/>
  <c r="I125" i="5"/>
  <c r="K125" i="5"/>
  <c r="M125" i="5"/>
  <c r="O125" i="5"/>
  <c r="Q125" i="5"/>
  <c r="S125" i="5"/>
  <c r="U125" i="5"/>
  <c r="W125" i="5"/>
  <c r="Y125" i="5"/>
  <c r="AA125" i="5"/>
  <c r="AC125" i="5"/>
  <c r="AE125" i="5"/>
  <c r="AG125" i="5"/>
  <c r="B126" i="5"/>
  <c r="C126" i="5"/>
  <c r="E126" i="5"/>
  <c r="G126" i="5"/>
  <c r="I126" i="5"/>
  <c r="K126" i="5"/>
  <c r="M126" i="5"/>
  <c r="O126" i="5"/>
  <c r="Q126" i="5"/>
  <c r="S126" i="5"/>
  <c r="U126" i="5"/>
  <c r="W126" i="5"/>
  <c r="Y126" i="5"/>
  <c r="AA126" i="5"/>
  <c r="AC126" i="5"/>
  <c r="AE126" i="5"/>
  <c r="AG126" i="5"/>
  <c r="B127" i="5"/>
  <c r="C127" i="5"/>
  <c r="E127" i="5"/>
  <c r="G127" i="5"/>
  <c r="I127" i="5"/>
  <c r="K127" i="5"/>
  <c r="M127" i="5"/>
  <c r="O127" i="5"/>
  <c r="Q127" i="5"/>
  <c r="S127" i="5"/>
  <c r="U127" i="5"/>
  <c r="W127" i="5"/>
  <c r="Y127" i="5"/>
  <c r="AA127" i="5"/>
  <c r="AC127" i="5"/>
  <c r="AE127" i="5"/>
  <c r="AG127" i="5"/>
  <c r="B128" i="5"/>
  <c r="C128" i="5"/>
  <c r="E128" i="5"/>
  <c r="G128" i="5"/>
  <c r="I128" i="5"/>
  <c r="K128" i="5"/>
  <c r="M128" i="5"/>
  <c r="O128" i="5"/>
  <c r="Q128" i="5"/>
  <c r="S128" i="5"/>
  <c r="U128" i="5"/>
  <c r="W128" i="5"/>
  <c r="Y128" i="5"/>
  <c r="AA128" i="5"/>
  <c r="AC128" i="5"/>
  <c r="AE128" i="5"/>
  <c r="AG128" i="5"/>
  <c r="B129" i="5"/>
  <c r="C129" i="5"/>
  <c r="E129" i="5"/>
  <c r="G129" i="5"/>
  <c r="I129" i="5"/>
  <c r="K129" i="5"/>
  <c r="M129" i="5"/>
  <c r="O129" i="5"/>
  <c r="Q129" i="5"/>
  <c r="S129" i="5"/>
  <c r="U129" i="5"/>
  <c r="W129" i="5"/>
  <c r="Y129" i="5"/>
  <c r="AA129" i="5"/>
  <c r="AC129" i="5"/>
  <c r="AE129" i="5"/>
  <c r="AG129" i="5"/>
  <c r="B131" i="5"/>
  <c r="C131" i="5"/>
  <c r="E131" i="5"/>
  <c r="G131" i="5"/>
  <c r="I131" i="5"/>
  <c r="K131" i="5"/>
  <c r="M131" i="5"/>
  <c r="O131" i="5"/>
  <c r="Q131" i="5"/>
  <c r="S131" i="5"/>
  <c r="U131" i="5"/>
  <c r="W131" i="5"/>
  <c r="Y131" i="5"/>
  <c r="AA131" i="5"/>
  <c r="AC131" i="5"/>
  <c r="AE131" i="5"/>
  <c r="AG131" i="5"/>
  <c r="B132" i="5"/>
  <c r="C132" i="5"/>
  <c r="E132" i="5"/>
  <c r="I132" i="5"/>
  <c r="K132" i="5"/>
  <c r="M132" i="5"/>
  <c r="O132" i="5"/>
  <c r="Q132" i="5"/>
  <c r="S132" i="5"/>
  <c r="U132" i="5"/>
  <c r="W132" i="5"/>
  <c r="Y132" i="5"/>
  <c r="AA132" i="5"/>
  <c r="AC132" i="5"/>
  <c r="AE132" i="5"/>
  <c r="AG132" i="5"/>
  <c r="B133" i="5"/>
  <c r="C133" i="5"/>
  <c r="E133" i="5"/>
  <c r="I133" i="5"/>
  <c r="K133" i="5"/>
  <c r="M133" i="5"/>
  <c r="O133" i="5"/>
  <c r="Q133" i="5"/>
  <c r="S133" i="5"/>
  <c r="U133" i="5"/>
  <c r="W133" i="5"/>
  <c r="Y133" i="5"/>
  <c r="AA133" i="5"/>
  <c r="AC133" i="5"/>
  <c r="AE133" i="5"/>
  <c r="AG133" i="5"/>
  <c r="B134" i="5"/>
  <c r="C134" i="5"/>
  <c r="E134" i="5"/>
  <c r="G134" i="5"/>
  <c r="I134" i="5"/>
  <c r="K134" i="5"/>
  <c r="M134" i="5"/>
  <c r="O134" i="5"/>
  <c r="Q134" i="5"/>
  <c r="S134" i="5"/>
  <c r="U134" i="5"/>
  <c r="W134" i="5"/>
  <c r="Y134" i="5"/>
  <c r="AA134" i="5"/>
  <c r="AC134" i="5"/>
  <c r="AE134" i="5"/>
  <c r="AG134" i="5"/>
  <c r="B135" i="5"/>
  <c r="C135" i="5"/>
  <c r="E135" i="5"/>
  <c r="G135" i="5"/>
  <c r="I135" i="5"/>
  <c r="K135" i="5"/>
  <c r="M135" i="5"/>
  <c r="O135" i="5"/>
  <c r="Q135" i="5"/>
  <c r="S135" i="5"/>
  <c r="U135" i="5"/>
  <c r="W135" i="5"/>
  <c r="Y135" i="5"/>
  <c r="AA135" i="5"/>
  <c r="AC135" i="5"/>
  <c r="AE135" i="5"/>
  <c r="AG135" i="5"/>
  <c r="B136" i="5"/>
  <c r="C136" i="5"/>
  <c r="E136" i="5"/>
  <c r="G136" i="5"/>
  <c r="I136" i="5"/>
  <c r="K136" i="5"/>
  <c r="M136" i="5"/>
  <c r="O136" i="5"/>
  <c r="Q136" i="5"/>
  <c r="S136" i="5"/>
  <c r="U136" i="5"/>
  <c r="W136" i="5"/>
  <c r="Y136" i="5"/>
  <c r="AA136" i="5"/>
  <c r="AC136" i="5"/>
  <c r="AE136" i="5"/>
  <c r="AG136" i="5"/>
  <c r="B137" i="5"/>
  <c r="C137" i="5"/>
  <c r="E137" i="5"/>
  <c r="G137" i="5"/>
  <c r="I137" i="5"/>
  <c r="K137" i="5"/>
  <c r="M137" i="5"/>
  <c r="O137" i="5"/>
  <c r="Q137" i="5"/>
  <c r="S137" i="5"/>
  <c r="U137" i="5"/>
  <c r="W137" i="5"/>
  <c r="Y137" i="5"/>
  <c r="AA137" i="5"/>
  <c r="AC137" i="5"/>
  <c r="AE137" i="5"/>
  <c r="AG137" i="5"/>
  <c r="B139" i="5"/>
  <c r="C139" i="5"/>
  <c r="E139" i="5"/>
  <c r="G139" i="5"/>
  <c r="I139" i="5"/>
  <c r="K139" i="5"/>
  <c r="M139" i="5"/>
  <c r="O139" i="5"/>
  <c r="Q139" i="5"/>
  <c r="S139" i="5"/>
  <c r="U139" i="5"/>
  <c r="W139" i="5"/>
  <c r="Y139" i="5"/>
  <c r="AA139" i="5"/>
  <c r="AC139" i="5"/>
  <c r="AE139" i="5"/>
  <c r="AG139" i="5"/>
  <c r="B140" i="5"/>
  <c r="C140" i="5"/>
  <c r="E140" i="5"/>
  <c r="G140" i="5"/>
  <c r="I140" i="5"/>
  <c r="K140" i="5"/>
  <c r="M140" i="5"/>
  <c r="O140" i="5"/>
  <c r="Q140" i="5"/>
  <c r="S140" i="5"/>
  <c r="U140" i="5"/>
  <c r="W140" i="5"/>
  <c r="Y140" i="5"/>
  <c r="AA140" i="5"/>
  <c r="AC140" i="5"/>
  <c r="AE140" i="5"/>
  <c r="AG140" i="5"/>
  <c r="B141" i="5"/>
  <c r="C141" i="5"/>
  <c r="E141" i="5"/>
  <c r="G141" i="5"/>
  <c r="I141" i="5"/>
  <c r="K141" i="5"/>
  <c r="M141" i="5"/>
  <c r="O141" i="5"/>
  <c r="Q141" i="5"/>
  <c r="S141" i="5"/>
  <c r="U141" i="5"/>
  <c r="W141" i="5"/>
  <c r="Y141" i="5"/>
  <c r="AA141" i="5"/>
  <c r="AC141" i="5"/>
  <c r="AE141" i="5"/>
  <c r="AG141" i="5"/>
  <c r="B142" i="5"/>
  <c r="C142" i="5"/>
  <c r="E142" i="5"/>
  <c r="G142" i="5"/>
  <c r="I142" i="5"/>
  <c r="K142" i="5"/>
  <c r="M142" i="5"/>
  <c r="O142" i="5"/>
  <c r="Q142" i="5"/>
  <c r="S142" i="5"/>
  <c r="U142" i="5"/>
  <c r="W142" i="5"/>
  <c r="Y142" i="5"/>
  <c r="AA142" i="5"/>
  <c r="AC142" i="5"/>
  <c r="AE142" i="5"/>
  <c r="AG142" i="5"/>
  <c r="B143" i="5"/>
  <c r="C143" i="5"/>
  <c r="E143" i="5"/>
  <c r="G143" i="5"/>
  <c r="I143" i="5"/>
  <c r="K143" i="5"/>
  <c r="M143" i="5"/>
  <c r="O143" i="5"/>
  <c r="Q143" i="5"/>
  <c r="S143" i="5"/>
  <c r="U143" i="5"/>
  <c r="W143" i="5"/>
  <c r="Y143" i="5"/>
  <c r="AA143" i="5"/>
  <c r="AC143" i="5"/>
  <c r="AE143" i="5"/>
  <c r="AG143" i="5"/>
  <c r="B144" i="5"/>
  <c r="C144" i="5"/>
  <c r="E144" i="5"/>
  <c r="G144" i="5"/>
  <c r="I144" i="5"/>
  <c r="K144" i="5"/>
  <c r="M144" i="5"/>
  <c r="O144" i="5"/>
  <c r="Q144" i="5"/>
  <c r="S144" i="5"/>
  <c r="U144" i="5"/>
  <c r="W144" i="5"/>
  <c r="Y144" i="5"/>
  <c r="AA144" i="5"/>
  <c r="AC144" i="5"/>
  <c r="AE144" i="5"/>
  <c r="AG144" i="5"/>
  <c r="B146" i="5"/>
  <c r="C146" i="5"/>
  <c r="E146" i="5"/>
  <c r="G146" i="5"/>
  <c r="I146" i="5"/>
  <c r="K146" i="5"/>
  <c r="M146" i="5"/>
  <c r="O146" i="5"/>
  <c r="Q146" i="5"/>
  <c r="S146" i="5"/>
  <c r="U146" i="5"/>
  <c r="W146" i="5"/>
  <c r="Y146" i="5"/>
  <c r="AA146" i="5"/>
  <c r="AC146" i="5"/>
  <c r="AE146" i="5"/>
  <c r="AG146" i="5"/>
  <c r="B147" i="5"/>
  <c r="C147" i="5"/>
  <c r="E147" i="5"/>
  <c r="G147" i="5"/>
  <c r="I147" i="5"/>
  <c r="K147" i="5"/>
  <c r="M147" i="5"/>
  <c r="O147" i="5"/>
  <c r="Q147" i="5"/>
  <c r="S147" i="5"/>
  <c r="U147" i="5"/>
  <c r="W147" i="5"/>
  <c r="Y147" i="5"/>
  <c r="AA147" i="5"/>
  <c r="AC147" i="5"/>
  <c r="AE147" i="5"/>
  <c r="AG147" i="5"/>
  <c r="B148" i="5"/>
  <c r="C148" i="5"/>
  <c r="E148" i="5"/>
  <c r="G148" i="5"/>
  <c r="I148" i="5"/>
  <c r="K148" i="5"/>
  <c r="M148" i="5"/>
  <c r="O148" i="5"/>
  <c r="Q148" i="5"/>
  <c r="S148" i="5"/>
  <c r="U148" i="5"/>
  <c r="W148" i="5"/>
  <c r="Y148" i="5"/>
  <c r="AA148" i="5"/>
  <c r="AC148" i="5"/>
  <c r="AE148" i="5"/>
  <c r="AG148" i="5"/>
  <c r="B149" i="5"/>
  <c r="C149" i="5"/>
  <c r="E149" i="5"/>
  <c r="G149" i="5"/>
  <c r="I149" i="5"/>
  <c r="K149" i="5"/>
  <c r="M149" i="5"/>
  <c r="O149" i="5"/>
  <c r="Q149" i="5"/>
  <c r="S149" i="5"/>
  <c r="U149" i="5"/>
  <c r="W149" i="5"/>
  <c r="Y149" i="5"/>
  <c r="AA149" i="5"/>
  <c r="AC149" i="5"/>
  <c r="AE149" i="5"/>
  <c r="AG149" i="5"/>
  <c r="B150" i="5"/>
  <c r="C150" i="5"/>
  <c r="E150" i="5"/>
  <c r="G150" i="5"/>
  <c r="I150" i="5"/>
  <c r="K150" i="5"/>
  <c r="M150" i="5"/>
  <c r="O150" i="5"/>
  <c r="Q150" i="5"/>
  <c r="S150" i="5"/>
  <c r="U150" i="5"/>
  <c r="W150" i="5"/>
  <c r="Y150" i="5"/>
  <c r="AA150" i="5"/>
  <c r="AC150" i="5"/>
  <c r="AE150" i="5"/>
  <c r="AG150" i="5"/>
  <c r="B152" i="5"/>
  <c r="C152" i="5"/>
  <c r="E152" i="5"/>
  <c r="G152" i="5"/>
  <c r="I152" i="5"/>
  <c r="K152" i="5"/>
  <c r="M152" i="5"/>
  <c r="O152" i="5"/>
  <c r="Q152" i="5"/>
  <c r="S152" i="5"/>
  <c r="U152" i="5"/>
  <c r="W152" i="5"/>
  <c r="Y152" i="5"/>
  <c r="AA152" i="5"/>
  <c r="AC152" i="5"/>
  <c r="AE152" i="5"/>
  <c r="AG152" i="5"/>
  <c r="AI152" i="5"/>
  <c r="AK152" i="5"/>
  <c r="AM152" i="5"/>
  <c r="AO152" i="5"/>
  <c r="AQ152" i="5"/>
  <c r="B153" i="5"/>
  <c r="C153" i="5"/>
  <c r="E153" i="5"/>
  <c r="G153" i="5"/>
  <c r="I153" i="5"/>
  <c r="K153" i="5"/>
  <c r="M153" i="5"/>
  <c r="O153" i="5"/>
  <c r="Q153" i="5"/>
  <c r="S153" i="5"/>
  <c r="U153" i="5"/>
  <c r="W153" i="5"/>
  <c r="Y153" i="5"/>
  <c r="AA153" i="5"/>
  <c r="AC153" i="5"/>
  <c r="AE153" i="5"/>
  <c r="AG153" i="5"/>
  <c r="AI153" i="5"/>
  <c r="AK153" i="5"/>
  <c r="AM153" i="5"/>
  <c r="AO153" i="5"/>
  <c r="AQ153" i="5"/>
  <c r="B154" i="5"/>
  <c r="C154" i="5"/>
  <c r="E154" i="5"/>
  <c r="G154" i="5"/>
  <c r="I154" i="5"/>
  <c r="K154" i="5"/>
  <c r="M154" i="5"/>
  <c r="O154" i="5"/>
  <c r="Q154" i="5"/>
  <c r="S154" i="5"/>
  <c r="U154" i="5"/>
  <c r="W154" i="5"/>
  <c r="Y154" i="5"/>
  <c r="AA154" i="5"/>
  <c r="AC154" i="5"/>
  <c r="AE154" i="5"/>
  <c r="AG154" i="5"/>
  <c r="AI154" i="5"/>
  <c r="AK154" i="5"/>
  <c r="AM154" i="5"/>
  <c r="AO154" i="5"/>
  <c r="AQ154" i="5"/>
  <c r="B155" i="5"/>
  <c r="C155" i="5"/>
  <c r="E155" i="5"/>
  <c r="G155" i="5"/>
  <c r="I155" i="5"/>
  <c r="K155" i="5"/>
  <c r="M155" i="5"/>
  <c r="O155" i="5"/>
  <c r="Q155" i="5"/>
  <c r="S155" i="5"/>
  <c r="U155" i="5"/>
  <c r="W155" i="5"/>
  <c r="Y155" i="5"/>
  <c r="AA155" i="5"/>
  <c r="AC155" i="5"/>
  <c r="AE155" i="5"/>
  <c r="AG155" i="5"/>
  <c r="AI155" i="5"/>
  <c r="AK155" i="5"/>
  <c r="AM155" i="5"/>
  <c r="AO155" i="5"/>
  <c r="AQ155" i="5"/>
  <c r="B157" i="5"/>
  <c r="C157" i="5"/>
  <c r="E157" i="5"/>
  <c r="G157" i="5"/>
  <c r="I157" i="5"/>
  <c r="K157" i="5"/>
  <c r="M157" i="5"/>
  <c r="O157" i="5"/>
  <c r="Q157" i="5"/>
  <c r="S157" i="5"/>
  <c r="U157" i="5"/>
  <c r="W157" i="5"/>
  <c r="Y157" i="5"/>
  <c r="AA157" i="5"/>
  <c r="AC157" i="5"/>
  <c r="AE157" i="5"/>
  <c r="AG157" i="5"/>
  <c r="B158" i="5"/>
  <c r="C158" i="5"/>
  <c r="E158" i="5"/>
  <c r="G158" i="5"/>
  <c r="I158" i="5"/>
  <c r="K158" i="5"/>
  <c r="M158" i="5"/>
  <c r="O158" i="5"/>
  <c r="Q158" i="5"/>
  <c r="S158" i="5"/>
  <c r="U158" i="5"/>
  <c r="W158" i="5"/>
  <c r="Y158" i="5"/>
  <c r="AA158" i="5"/>
  <c r="AC158" i="5"/>
  <c r="AE158" i="5"/>
  <c r="AG158" i="5"/>
  <c r="B159" i="5"/>
  <c r="C159" i="5"/>
  <c r="E159" i="5"/>
  <c r="G159" i="5"/>
  <c r="I159" i="5"/>
  <c r="K159" i="5"/>
  <c r="M159" i="5"/>
  <c r="O159" i="5"/>
  <c r="Q159" i="5"/>
  <c r="S159" i="5"/>
  <c r="U159" i="5"/>
  <c r="W159" i="5"/>
  <c r="Y159" i="5"/>
  <c r="AA159" i="5"/>
  <c r="AC159" i="5"/>
  <c r="AE159" i="5"/>
  <c r="AG159" i="5"/>
  <c r="B161" i="5"/>
  <c r="C161" i="5"/>
  <c r="E161" i="5"/>
  <c r="G161" i="5"/>
  <c r="I161" i="5"/>
  <c r="K161" i="5"/>
  <c r="M161" i="5"/>
  <c r="O161" i="5"/>
  <c r="Q161" i="5"/>
  <c r="S161" i="5"/>
  <c r="U161" i="5"/>
  <c r="W161" i="5"/>
  <c r="Y161" i="5"/>
  <c r="AA161" i="5"/>
  <c r="AC161" i="5"/>
  <c r="AE161" i="5"/>
  <c r="AG161" i="5"/>
  <c r="AI161" i="5"/>
  <c r="AK161" i="5"/>
  <c r="AM161" i="5"/>
  <c r="AO161" i="5"/>
  <c r="AQ161" i="5"/>
  <c r="B162" i="5"/>
  <c r="C162" i="5"/>
  <c r="E162" i="5"/>
  <c r="G162" i="5"/>
  <c r="I162" i="5"/>
  <c r="K162" i="5"/>
  <c r="M162" i="5"/>
  <c r="O162" i="5"/>
  <c r="Q162" i="5"/>
  <c r="S162" i="5"/>
  <c r="U162" i="5"/>
  <c r="W162" i="5"/>
  <c r="Y162" i="5"/>
  <c r="AA162" i="5"/>
  <c r="AC162" i="5"/>
  <c r="AE162" i="5"/>
  <c r="AG162" i="5"/>
  <c r="AI162" i="5"/>
  <c r="AK162" i="5"/>
  <c r="AM162" i="5"/>
  <c r="AO162" i="5"/>
  <c r="AQ162" i="5"/>
  <c r="B164" i="5"/>
  <c r="C164" i="5"/>
  <c r="G164" i="5"/>
  <c r="I164" i="5"/>
  <c r="K164" i="5"/>
  <c r="M164" i="5"/>
  <c r="O164" i="5"/>
  <c r="Q164" i="5"/>
  <c r="S164" i="5"/>
  <c r="U164" i="5"/>
  <c r="W164" i="5"/>
  <c r="Y164" i="5"/>
  <c r="AA164" i="5"/>
  <c r="AC164" i="5"/>
  <c r="AE164" i="5"/>
  <c r="AG164" i="5"/>
  <c r="B57" i="5"/>
  <c r="C57" i="5"/>
  <c r="E57" i="5"/>
  <c r="G57" i="5"/>
  <c r="I57" i="5"/>
  <c r="K57" i="5"/>
  <c r="M57" i="5"/>
  <c r="O57" i="5"/>
  <c r="Q57" i="5"/>
  <c r="S57" i="5"/>
  <c r="U57" i="5"/>
  <c r="W57" i="5"/>
  <c r="Y57" i="5"/>
  <c r="AA57" i="5"/>
  <c r="AC57" i="5"/>
  <c r="AE57" i="5"/>
  <c r="AG57" i="5"/>
  <c r="AI57" i="5"/>
  <c r="AK57" i="5"/>
  <c r="AM57" i="5"/>
  <c r="AO57" i="5"/>
  <c r="AQ57" i="5"/>
  <c r="B58" i="5"/>
  <c r="C58" i="5"/>
  <c r="E58" i="5"/>
  <c r="G58" i="5"/>
  <c r="I58" i="5"/>
  <c r="K58" i="5"/>
  <c r="M58" i="5"/>
  <c r="O58" i="5"/>
  <c r="Q58" i="5"/>
  <c r="S58" i="5"/>
  <c r="U58" i="5"/>
  <c r="W58" i="5"/>
  <c r="Y58" i="5"/>
  <c r="AA58" i="5"/>
  <c r="AC58" i="5"/>
  <c r="AE58" i="5"/>
  <c r="AG58" i="5"/>
  <c r="AI58" i="5"/>
  <c r="AK58" i="5"/>
  <c r="AM58" i="5"/>
  <c r="AO58" i="5"/>
  <c r="AQ58" i="5"/>
  <c r="B59" i="5"/>
  <c r="C59" i="5"/>
  <c r="E59" i="5"/>
  <c r="G59" i="5"/>
  <c r="I59" i="5"/>
  <c r="K59" i="5"/>
  <c r="M59" i="5"/>
  <c r="O59" i="5"/>
  <c r="Q59" i="5"/>
  <c r="S59" i="5"/>
  <c r="U59" i="5"/>
  <c r="W59" i="5"/>
  <c r="Y59" i="5"/>
  <c r="AA59" i="5"/>
  <c r="AC59" i="5"/>
  <c r="AE59" i="5"/>
  <c r="AG59" i="5"/>
  <c r="AI59" i="5"/>
  <c r="AK59" i="5"/>
  <c r="AM59" i="5"/>
  <c r="AO59" i="5"/>
  <c r="AQ59" i="5"/>
  <c r="B60" i="5"/>
  <c r="C60" i="5"/>
  <c r="E60" i="5"/>
  <c r="G60" i="5"/>
  <c r="I60" i="5"/>
  <c r="K60" i="5"/>
  <c r="M60" i="5"/>
  <c r="O60" i="5"/>
  <c r="Q60" i="5"/>
  <c r="S60" i="5"/>
  <c r="U60" i="5"/>
  <c r="W60" i="5"/>
  <c r="Y60" i="5"/>
  <c r="AA60" i="5"/>
  <c r="AC60" i="5"/>
  <c r="AE60" i="5"/>
  <c r="AG60" i="5"/>
  <c r="AI60" i="5"/>
  <c r="AK60" i="5"/>
  <c r="AM60" i="5"/>
  <c r="AO60" i="5"/>
  <c r="AQ60" i="5"/>
  <c r="B61" i="5"/>
  <c r="C61" i="5"/>
  <c r="E61" i="5"/>
  <c r="G61" i="5"/>
  <c r="I61" i="5"/>
  <c r="K61" i="5"/>
  <c r="M61" i="5"/>
  <c r="O61" i="5"/>
  <c r="Q61" i="5"/>
  <c r="S61" i="5"/>
  <c r="U61" i="5"/>
  <c r="W61" i="5"/>
  <c r="Y61" i="5"/>
  <c r="AA61" i="5"/>
  <c r="AC61" i="5"/>
  <c r="AE61" i="5"/>
  <c r="AG61" i="5"/>
  <c r="AI61" i="5"/>
  <c r="AK61" i="5"/>
  <c r="AM61" i="5"/>
  <c r="AO61" i="5"/>
  <c r="AQ61" i="5"/>
  <c r="B62" i="5"/>
  <c r="C62" i="5"/>
  <c r="E62" i="5"/>
  <c r="G62" i="5"/>
  <c r="I62" i="5"/>
  <c r="K62" i="5"/>
  <c r="M62" i="5"/>
  <c r="O62" i="5"/>
  <c r="Q62" i="5"/>
  <c r="S62" i="5"/>
  <c r="U62" i="5"/>
  <c r="W62" i="5"/>
  <c r="Y62" i="5"/>
  <c r="AA62" i="5"/>
  <c r="AC62" i="5"/>
  <c r="AE62" i="5"/>
  <c r="AG62" i="5"/>
  <c r="AI62" i="5"/>
  <c r="AK62" i="5"/>
  <c r="AM62" i="5"/>
  <c r="AO62" i="5"/>
  <c r="AQ62" i="5"/>
  <c r="B63" i="5"/>
  <c r="C63" i="5"/>
  <c r="E63" i="5"/>
  <c r="G63" i="5"/>
  <c r="I63" i="5"/>
  <c r="K63" i="5"/>
  <c r="M63" i="5"/>
  <c r="O63" i="5"/>
  <c r="Q63" i="5"/>
  <c r="S63" i="5"/>
  <c r="U63" i="5"/>
  <c r="W63" i="5"/>
  <c r="Y63" i="5"/>
  <c r="AA63" i="5"/>
  <c r="AC63" i="5"/>
  <c r="AE63" i="5"/>
  <c r="AG63" i="5"/>
  <c r="AI63" i="5"/>
  <c r="AK63" i="5"/>
  <c r="AM63" i="5"/>
  <c r="AO63" i="5"/>
  <c r="AQ63" i="5"/>
  <c r="B64" i="5"/>
  <c r="C64" i="5"/>
  <c r="E64" i="5"/>
  <c r="G64" i="5"/>
  <c r="I64" i="5"/>
  <c r="K64" i="5"/>
  <c r="M64" i="5"/>
  <c r="O64" i="5"/>
  <c r="Q64" i="5"/>
  <c r="S64" i="5"/>
  <c r="U64" i="5"/>
  <c r="W64" i="5"/>
  <c r="Y64" i="5"/>
  <c r="AA64" i="5"/>
  <c r="AC64" i="5"/>
  <c r="AE64" i="5"/>
  <c r="AG64" i="5"/>
  <c r="AI64" i="5"/>
  <c r="AK64" i="5"/>
  <c r="AM64" i="5"/>
  <c r="AO64" i="5"/>
  <c r="AQ64" i="5"/>
  <c r="B65" i="5"/>
  <c r="C65" i="5"/>
  <c r="E65" i="5"/>
  <c r="G65" i="5"/>
  <c r="I65" i="5"/>
  <c r="K65" i="5"/>
  <c r="M65" i="5"/>
  <c r="O65" i="5"/>
  <c r="Q65" i="5"/>
  <c r="S65" i="5"/>
  <c r="U65" i="5"/>
  <c r="W65" i="5"/>
  <c r="Y65" i="5"/>
  <c r="AA65" i="5"/>
  <c r="AC65" i="5"/>
  <c r="AE65" i="5"/>
  <c r="AG65" i="5"/>
  <c r="AI65" i="5"/>
  <c r="AK65" i="5"/>
  <c r="AM65" i="5"/>
  <c r="AO65" i="5"/>
  <c r="AQ65" i="5"/>
  <c r="B67" i="5"/>
  <c r="C67" i="5"/>
  <c r="E67" i="5"/>
  <c r="G67" i="5"/>
  <c r="I67" i="5"/>
  <c r="K67" i="5"/>
  <c r="M67" i="5"/>
  <c r="O67" i="5"/>
  <c r="Q67" i="5"/>
  <c r="S67" i="5"/>
  <c r="U67" i="5"/>
  <c r="W67" i="5"/>
  <c r="Y67" i="5"/>
  <c r="AA67" i="5"/>
  <c r="AC67" i="5"/>
  <c r="AE67" i="5"/>
  <c r="AG67" i="5"/>
  <c r="B68" i="5"/>
  <c r="C68" i="5"/>
  <c r="E68" i="5"/>
  <c r="G68" i="5"/>
  <c r="I68" i="5"/>
  <c r="K68" i="5"/>
  <c r="M68" i="5"/>
  <c r="O68" i="5"/>
  <c r="Q68" i="5"/>
  <c r="S68" i="5"/>
  <c r="U68" i="5"/>
  <c r="W68" i="5"/>
  <c r="Y68" i="5"/>
  <c r="AA68" i="5"/>
  <c r="AC68" i="5"/>
  <c r="AE68" i="5"/>
  <c r="AG68" i="5"/>
  <c r="B69" i="5"/>
  <c r="C69" i="5"/>
  <c r="E69" i="5"/>
  <c r="G69" i="5"/>
  <c r="I69" i="5"/>
  <c r="K69" i="5"/>
  <c r="M69" i="5"/>
  <c r="O69" i="5"/>
  <c r="Q69" i="5"/>
  <c r="S69" i="5"/>
  <c r="U69" i="5"/>
  <c r="W69" i="5"/>
  <c r="Y69" i="5"/>
  <c r="AA69" i="5"/>
  <c r="AC69" i="5"/>
  <c r="AE69" i="5"/>
  <c r="AG69" i="5"/>
  <c r="B70" i="5"/>
  <c r="C70" i="5"/>
  <c r="E70" i="5"/>
  <c r="G70" i="5"/>
  <c r="I70" i="5"/>
  <c r="K70" i="5"/>
  <c r="M70" i="5"/>
  <c r="O70" i="5"/>
  <c r="Q70" i="5"/>
  <c r="S70" i="5"/>
  <c r="U70" i="5"/>
  <c r="W70" i="5"/>
  <c r="Y70" i="5"/>
  <c r="AA70" i="5"/>
  <c r="AC70" i="5"/>
  <c r="AE70" i="5"/>
  <c r="AG70" i="5"/>
  <c r="B71" i="5"/>
  <c r="C71" i="5"/>
  <c r="E71" i="5"/>
  <c r="G71" i="5"/>
  <c r="I71" i="5"/>
  <c r="K71" i="5"/>
  <c r="M71" i="5"/>
  <c r="O71" i="5"/>
  <c r="Q71" i="5"/>
  <c r="S71" i="5"/>
  <c r="U71" i="5"/>
  <c r="W71" i="5"/>
  <c r="Y71" i="5"/>
  <c r="AA71" i="5"/>
  <c r="AC71" i="5"/>
  <c r="AE71" i="5"/>
  <c r="AG71" i="5"/>
  <c r="B72" i="5"/>
  <c r="C72" i="5"/>
  <c r="E72" i="5"/>
  <c r="G72" i="5"/>
  <c r="I72" i="5"/>
  <c r="K72" i="5"/>
  <c r="M72" i="5"/>
  <c r="O72" i="5"/>
  <c r="Q72" i="5"/>
  <c r="S72" i="5"/>
  <c r="U72" i="5"/>
  <c r="W72" i="5"/>
  <c r="Y72" i="5"/>
  <c r="AA72" i="5"/>
  <c r="AC72" i="5"/>
  <c r="AE72" i="5"/>
  <c r="AG72" i="5"/>
  <c r="B73" i="5"/>
  <c r="C73" i="5"/>
  <c r="E73" i="5"/>
  <c r="G73" i="5"/>
  <c r="I73" i="5"/>
  <c r="K73" i="5"/>
  <c r="M73" i="5"/>
  <c r="O73" i="5"/>
  <c r="Q73" i="5"/>
  <c r="S73" i="5"/>
  <c r="U73" i="5"/>
  <c r="W73" i="5"/>
  <c r="Y73" i="5"/>
  <c r="AA73" i="5"/>
  <c r="AC73" i="5"/>
  <c r="AE73" i="5"/>
  <c r="AG73" i="5"/>
  <c r="B74" i="5"/>
  <c r="C74" i="5"/>
  <c r="E74" i="5"/>
  <c r="G74" i="5"/>
  <c r="I74" i="5"/>
  <c r="K74" i="5"/>
  <c r="M74" i="5"/>
  <c r="O74" i="5"/>
  <c r="Q74" i="5"/>
  <c r="S74" i="5"/>
  <c r="U74" i="5"/>
  <c r="W74" i="5"/>
  <c r="Y74" i="5"/>
  <c r="AA74" i="5"/>
  <c r="AC74" i="5"/>
  <c r="AE74" i="5"/>
  <c r="AG74" i="5"/>
  <c r="B76" i="5"/>
  <c r="C76" i="5"/>
  <c r="E76" i="5"/>
  <c r="G76" i="5"/>
  <c r="I76" i="5"/>
  <c r="K76" i="5"/>
  <c r="M76" i="5"/>
  <c r="O76" i="5"/>
  <c r="Q76" i="5"/>
  <c r="S76" i="5"/>
  <c r="U76" i="5"/>
  <c r="W76" i="5"/>
  <c r="Y76" i="5"/>
  <c r="AA76" i="5"/>
  <c r="AC76" i="5"/>
  <c r="AE76" i="5"/>
  <c r="AG76" i="5"/>
  <c r="B77" i="5"/>
  <c r="C77" i="5"/>
  <c r="E77" i="5"/>
  <c r="I77" i="5"/>
  <c r="K77" i="5"/>
  <c r="M77" i="5"/>
  <c r="O77" i="5"/>
  <c r="Q77" i="5"/>
  <c r="S77" i="5"/>
  <c r="U77" i="5"/>
  <c r="W77" i="5"/>
  <c r="Y77" i="5"/>
  <c r="AA77" i="5"/>
  <c r="AC77" i="5"/>
  <c r="AE77" i="5"/>
  <c r="AG77" i="5"/>
  <c r="B78" i="5"/>
  <c r="C78" i="5"/>
  <c r="E78" i="5"/>
  <c r="I78" i="5"/>
  <c r="K78" i="5"/>
  <c r="M78" i="5"/>
  <c r="O78" i="5"/>
  <c r="Q78" i="5"/>
  <c r="S78" i="5"/>
  <c r="U78" i="5"/>
  <c r="W78" i="5"/>
  <c r="Y78" i="5"/>
  <c r="AA78" i="5"/>
  <c r="AC78" i="5"/>
  <c r="AE78" i="5"/>
  <c r="AG78" i="5"/>
  <c r="B79" i="5"/>
  <c r="C79" i="5"/>
  <c r="E79" i="5"/>
  <c r="G79" i="5"/>
  <c r="I79" i="5"/>
  <c r="K79" i="5"/>
  <c r="M79" i="5"/>
  <c r="O79" i="5"/>
  <c r="Q79" i="5"/>
  <c r="S79" i="5"/>
  <c r="U79" i="5"/>
  <c r="W79" i="5"/>
  <c r="Y79" i="5"/>
  <c r="AA79" i="5"/>
  <c r="AC79" i="5"/>
  <c r="AE79" i="5"/>
  <c r="AG79" i="5"/>
  <c r="B80" i="5"/>
  <c r="C80" i="5"/>
  <c r="E80" i="5"/>
  <c r="G80" i="5"/>
  <c r="I80" i="5"/>
  <c r="K80" i="5"/>
  <c r="M80" i="5"/>
  <c r="O80" i="5"/>
  <c r="Q80" i="5"/>
  <c r="S80" i="5"/>
  <c r="U80" i="5"/>
  <c r="W80" i="5"/>
  <c r="Y80" i="5"/>
  <c r="AA80" i="5"/>
  <c r="AC80" i="5"/>
  <c r="AE80" i="5"/>
  <c r="AG80" i="5"/>
  <c r="B81" i="5"/>
  <c r="C81" i="5"/>
  <c r="E81" i="5"/>
  <c r="G81" i="5"/>
  <c r="I81" i="5"/>
  <c r="K81" i="5"/>
  <c r="M81" i="5"/>
  <c r="O81" i="5"/>
  <c r="Q81" i="5"/>
  <c r="S81" i="5"/>
  <c r="U81" i="5"/>
  <c r="W81" i="5"/>
  <c r="Y81" i="5"/>
  <c r="AA81" i="5"/>
  <c r="AC81" i="5"/>
  <c r="AE81" i="5"/>
  <c r="AG81" i="5"/>
  <c r="B82" i="5"/>
  <c r="C82" i="5"/>
  <c r="E82" i="5"/>
  <c r="G82" i="5"/>
  <c r="I82" i="5"/>
  <c r="K82" i="5"/>
  <c r="M82" i="5"/>
  <c r="O82" i="5"/>
  <c r="Q82" i="5"/>
  <c r="S82" i="5"/>
  <c r="U82" i="5"/>
  <c r="W82" i="5"/>
  <c r="Y82" i="5"/>
  <c r="AA82" i="5"/>
  <c r="AC82" i="5"/>
  <c r="AE82" i="5"/>
  <c r="AG82" i="5"/>
  <c r="C84" i="5"/>
  <c r="E84" i="5"/>
  <c r="G84" i="5"/>
  <c r="I84" i="5"/>
  <c r="K84" i="5"/>
  <c r="M84" i="5"/>
  <c r="O84" i="5"/>
  <c r="Q84" i="5"/>
  <c r="S84" i="5"/>
  <c r="U84" i="5"/>
  <c r="W84" i="5"/>
  <c r="Y84" i="5"/>
  <c r="AA84" i="5"/>
  <c r="AC84" i="5"/>
  <c r="AE84" i="5"/>
  <c r="AG84" i="5"/>
  <c r="C85" i="5"/>
  <c r="E85" i="5"/>
  <c r="G85" i="5"/>
  <c r="I85" i="5"/>
  <c r="K85" i="5"/>
  <c r="M85" i="5"/>
  <c r="O85" i="5"/>
  <c r="Q85" i="5"/>
  <c r="S85" i="5"/>
  <c r="U85" i="5"/>
  <c r="W85" i="5"/>
  <c r="Y85" i="5"/>
  <c r="AA85" i="5"/>
  <c r="AC85" i="5"/>
  <c r="AE85" i="5"/>
  <c r="AG85" i="5"/>
  <c r="C86" i="5"/>
  <c r="E86" i="5"/>
  <c r="G86" i="5"/>
  <c r="I86" i="5"/>
  <c r="K86" i="5"/>
  <c r="M86" i="5"/>
  <c r="O86" i="5"/>
  <c r="Q86" i="5"/>
  <c r="S86" i="5"/>
  <c r="U86" i="5"/>
  <c r="W86" i="5"/>
  <c r="Y86" i="5"/>
  <c r="AA86" i="5"/>
  <c r="AC86" i="5"/>
  <c r="AE86" i="5"/>
  <c r="AG86" i="5"/>
  <c r="C87" i="5"/>
  <c r="E87" i="5"/>
  <c r="G87" i="5"/>
  <c r="I87" i="5"/>
  <c r="K87" i="5"/>
  <c r="M87" i="5"/>
  <c r="O87" i="5"/>
  <c r="Q87" i="5"/>
  <c r="S87" i="5"/>
  <c r="U87" i="5"/>
  <c r="W87" i="5"/>
  <c r="Y87" i="5"/>
  <c r="AA87" i="5"/>
  <c r="AC87" i="5"/>
  <c r="AE87" i="5"/>
  <c r="AG87" i="5"/>
  <c r="C88" i="5"/>
  <c r="E88" i="5"/>
  <c r="G88" i="5"/>
  <c r="I88" i="5"/>
  <c r="K88" i="5"/>
  <c r="M88" i="5"/>
  <c r="O88" i="5"/>
  <c r="Q88" i="5"/>
  <c r="S88" i="5"/>
  <c r="U88" i="5"/>
  <c r="W88" i="5"/>
  <c r="Y88" i="5"/>
  <c r="AA88" i="5"/>
  <c r="AC88" i="5"/>
  <c r="AE88" i="5"/>
  <c r="AG88" i="5"/>
  <c r="C89" i="5"/>
  <c r="E89" i="5"/>
  <c r="G89" i="5"/>
  <c r="I89" i="5"/>
  <c r="K89" i="5"/>
  <c r="M89" i="5"/>
  <c r="O89" i="5"/>
  <c r="Q89" i="5"/>
  <c r="S89" i="5"/>
  <c r="U89" i="5"/>
  <c r="W89" i="5"/>
  <c r="Y89" i="5"/>
  <c r="AA89" i="5"/>
  <c r="AC89" i="5"/>
  <c r="AE89" i="5"/>
  <c r="AG89" i="5"/>
  <c r="C91" i="5"/>
  <c r="E91" i="5"/>
  <c r="G91" i="5"/>
  <c r="I91" i="5"/>
  <c r="K91" i="5"/>
  <c r="M91" i="5"/>
  <c r="O91" i="5"/>
  <c r="Q91" i="5"/>
  <c r="S91" i="5"/>
  <c r="U91" i="5"/>
  <c r="W91" i="5"/>
  <c r="Y91" i="5"/>
  <c r="AA91" i="5"/>
  <c r="AC91" i="5"/>
  <c r="AE91" i="5"/>
  <c r="AG91" i="5"/>
  <c r="C92" i="5"/>
  <c r="E92" i="5"/>
  <c r="G92" i="5"/>
  <c r="I92" i="5"/>
  <c r="K92" i="5"/>
  <c r="M92" i="5"/>
  <c r="O92" i="5"/>
  <c r="Q92" i="5"/>
  <c r="S92" i="5"/>
  <c r="U92" i="5"/>
  <c r="W92" i="5"/>
  <c r="Y92" i="5"/>
  <c r="AA92" i="5"/>
  <c r="AC92" i="5"/>
  <c r="AE92" i="5"/>
  <c r="AG92" i="5"/>
  <c r="C93" i="5"/>
  <c r="E93" i="5"/>
  <c r="G93" i="5"/>
  <c r="I93" i="5"/>
  <c r="K93" i="5"/>
  <c r="M93" i="5"/>
  <c r="O93" i="5"/>
  <c r="Q93" i="5"/>
  <c r="S93" i="5"/>
  <c r="U93" i="5"/>
  <c r="W93" i="5"/>
  <c r="Y93" i="5"/>
  <c r="AA93" i="5"/>
  <c r="AC93" i="5"/>
  <c r="AE93" i="5"/>
  <c r="AG93" i="5"/>
  <c r="C94" i="5"/>
  <c r="E94" i="5"/>
  <c r="G94" i="5"/>
  <c r="I94" i="5"/>
  <c r="K94" i="5"/>
  <c r="M94" i="5"/>
  <c r="O94" i="5"/>
  <c r="Q94" i="5"/>
  <c r="S94" i="5"/>
  <c r="U94" i="5"/>
  <c r="W94" i="5"/>
  <c r="Y94" i="5"/>
  <c r="AA94" i="5"/>
  <c r="AC94" i="5"/>
  <c r="AE94" i="5"/>
  <c r="AG94" i="5"/>
  <c r="C95" i="5"/>
  <c r="E95" i="5"/>
  <c r="G95" i="5"/>
  <c r="I95" i="5"/>
  <c r="K95" i="5"/>
  <c r="M95" i="5"/>
  <c r="O95" i="5"/>
  <c r="Q95" i="5"/>
  <c r="S95" i="5"/>
  <c r="U95" i="5"/>
  <c r="W95" i="5"/>
  <c r="Y95" i="5"/>
  <c r="AA95" i="5"/>
  <c r="AC95" i="5"/>
  <c r="AE95" i="5"/>
  <c r="AG95" i="5"/>
  <c r="C97" i="5"/>
  <c r="E97" i="5"/>
  <c r="G97" i="5"/>
  <c r="I97" i="5"/>
  <c r="K97" i="5"/>
  <c r="M97" i="5"/>
  <c r="O97" i="5"/>
  <c r="Q97" i="5"/>
  <c r="S97" i="5"/>
  <c r="U97" i="5"/>
  <c r="W97" i="5"/>
  <c r="Y97" i="5"/>
  <c r="AA97" i="5"/>
  <c r="AC97" i="5"/>
  <c r="AE97" i="5"/>
  <c r="AG97" i="5"/>
  <c r="AI97" i="5"/>
  <c r="AK97" i="5"/>
  <c r="AM97" i="5"/>
  <c r="AO97" i="5"/>
  <c r="AQ97" i="5"/>
  <c r="C98" i="5"/>
  <c r="E98" i="5"/>
  <c r="G98" i="5"/>
  <c r="I98" i="5"/>
  <c r="K98" i="5"/>
  <c r="M98" i="5"/>
  <c r="O98" i="5"/>
  <c r="Q98" i="5"/>
  <c r="S98" i="5"/>
  <c r="U98" i="5"/>
  <c r="W98" i="5"/>
  <c r="Y98" i="5"/>
  <c r="AA98" i="5"/>
  <c r="AC98" i="5"/>
  <c r="AE98" i="5"/>
  <c r="AG98" i="5"/>
  <c r="AI98" i="5"/>
  <c r="AK98" i="5"/>
  <c r="AM98" i="5"/>
  <c r="AO98" i="5"/>
  <c r="AQ98" i="5"/>
  <c r="C99" i="5"/>
  <c r="E99" i="5"/>
  <c r="G99" i="5"/>
  <c r="I99" i="5"/>
  <c r="K99" i="5"/>
  <c r="M99" i="5"/>
  <c r="O99" i="5"/>
  <c r="Q99" i="5"/>
  <c r="S99" i="5"/>
  <c r="U99" i="5"/>
  <c r="W99" i="5"/>
  <c r="Y99" i="5"/>
  <c r="AA99" i="5"/>
  <c r="AC99" i="5"/>
  <c r="AE99" i="5"/>
  <c r="AG99" i="5"/>
  <c r="AI99" i="5"/>
  <c r="AK99" i="5"/>
  <c r="AM99" i="5"/>
  <c r="AO99" i="5"/>
  <c r="AQ99" i="5"/>
  <c r="C100" i="5"/>
  <c r="E100" i="5"/>
  <c r="G100" i="5"/>
  <c r="I100" i="5"/>
  <c r="K100" i="5"/>
  <c r="M100" i="5"/>
  <c r="O100" i="5"/>
  <c r="Q100" i="5"/>
  <c r="S100" i="5"/>
  <c r="U100" i="5"/>
  <c r="W100" i="5"/>
  <c r="Y100" i="5"/>
  <c r="AA100" i="5"/>
  <c r="AC100" i="5"/>
  <c r="AE100" i="5"/>
  <c r="AG100" i="5"/>
  <c r="AI100" i="5"/>
  <c r="AK100" i="5"/>
  <c r="AM100" i="5"/>
  <c r="AO100" i="5"/>
  <c r="AQ100" i="5"/>
  <c r="C102" i="5"/>
  <c r="E102" i="5"/>
  <c r="G102" i="5"/>
  <c r="I102" i="5"/>
  <c r="K102" i="5"/>
  <c r="M102" i="5"/>
  <c r="O102" i="5"/>
  <c r="Q102" i="5"/>
  <c r="S102" i="5"/>
  <c r="U102" i="5"/>
  <c r="W102" i="5"/>
  <c r="Y102" i="5"/>
  <c r="AA102" i="5"/>
  <c r="AC102" i="5"/>
  <c r="AE102" i="5"/>
  <c r="AG102" i="5"/>
  <c r="C103" i="5"/>
  <c r="E103" i="5"/>
  <c r="G103" i="5"/>
  <c r="I103" i="5"/>
  <c r="K103" i="5"/>
  <c r="M103" i="5"/>
  <c r="O103" i="5"/>
  <c r="Q103" i="5"/>
  <c r="S103" i="5"/>
  <c r="U103" i="5"/>
  <c r="W103" i="5"/>
  <c r="Y103" i="5"/>
  <c r="AA103" i="5"/>
  <c r="AC103" i="5"/>
  <c r="AE103" i="5"/>
  <c r="AG103" i="5"/>
  <c r="C104" i="5"/>
  <c r="E104" i="5"/>
  <c r="G104" i="5"/>
  <c r="I104" i="5"/>
  <c r="K104" i="5"/>
  <c r="M104" i="5"/>
  <c r="O104" i="5"/>
  <c r="Q104" i="5"/>
  <c r="S104" i="5"/>
  <c r="U104" i="5"/>
  <c r="W104" i="5"/>
  <c r="Y104" i="5"/>
  <c r="AA104" i="5"/>
  <c r="AC104" i="5"/>
  <c r="AE104" i="5"/>
  <c r="AG104" i="5"/>
  <c r="C106" i="5"/>
  <c r="E106" i="5"/>
  <c r="G106" i="5"/>
  <c r="I106" i="5"/>
  <c r="K106" i="5"/>
  <c r="M106" i="5"/>
  <c r="O106" i="5"/>
  <c r="Q106" i="5"/>
  <c r="S106" i="5"/>
  <c r="U106" i="5"/>
  <c r="W106" i="5"/>
  <c r="Y106" i="5"/>
  <c r="AA106" i="5"/>
  <c r="AC106" i="5"/>
  <c r="AE106" i="5"/>
  <c r="AG106" i="5"/>
  <c r="AI106" i="5"/>
  <c r="AK106" i="5"/>
  <c r="AM106" i="5"/>
  <c r="AO106" i="5"/>
  <c r="AQ106" i="5"/>
  <c r="C107" i="5"/>
  <c r="E107" i="5"/>
  <c r="G107" i="5"/>
  <c r="I107" i="5"/>
  <c r="K107" i="5"/>
  <c r="M107" i="5"/>
  <c r="O107" i="5"/>
  <c r="Q107" i="5"/>
  <c r="S107" i="5"/>
  <c r="U107" i="5"/>
  <c r="W107" i="5"/>
  <c r="Y107" i="5"/>
  <c r="AA107" i="5"/>
  <c r="AC107" i="5"/>
  <c r="AE107" i="5"/>
  <c r="AG107" i="5"/>
  <c r="AI107" i="5"/>
  <c r="AK107" i="5"/>
  <c r="AM107" i="5"/>
  <c r="AO107" i="5"/>
  <c r="AQ107" i="5"/>
  <c r="C109" i="5"/>
  <c r="E109" i="5"/>
  <c r="G109" i="5"/>
  <c r="I109" i="5"/>
  <c r="K109" i="5"/>
  <c r="M109" i="5"/>
  <c r="O109" i="5"/>
  <c r="Q109" i="5"/>
  <c r="S109" i="5"/>
  <c r="U109" i="5"/>
  <c r="W109" i="5"/>
  <c r="Y109" i="5"/>
  <c r="AA109" i="5"/>
  <c r="AC109" i="5"/>
  <c r="AE109" i="5"/>
  <c r="AG109" i="5"/>
  <c r="Q54" i="5"/>
  <c r="Q51" i="5"/>
  <c r="Q52" i="5"/>
  <c r="Q47" i="5"/>
  <c r="Q49" i="5"/>
  <c r="Q48" i="5"/>
  <c r="Q42" i="5"/>
  <c r="Q45" i="5"/>
  <c r="Q44" i="5"/>
  <c r="Q43" i="5"/>
  <c r="Q40" i="5"/>
  <c r="Q39" i="5"/>
  <c r="Q38" i="5"/>
  <c r="Q37" i="5"/>
  <c r="Q36" i="5"/>
  <c r="Q29" i="5"/>
  <c r="Q34" i="5"/>
  <c r="Q33" i="5"/>
  <c r="Q32" i="5"/>
  <c r="Q31" i="5"/>
  <c r="Q30" i="5"/>
  <c r="Q21" i="5"/>
  <c r="Q27" i="5"/>
  <c r="Q26" i="5"/>
  <c r="Q25" i="5"/>
  <c r="Q24" i="5"/>
  <c r="Q23" i="5"/>
  <c r="Q22" i="5"/>
  <c r="Q12" i="5"/>
  <c r="Q19" i="5"/>
  <c r="Q18" i="5"/>
  <c r="Q17" i="5"/>
  <c r="Q16" i="5"/>
  <c r="Q15" i="5"/>
  <c r="Q14" i="5"/>
  <c r="Q13" i="5"/>
  <c r="Q10" i="5"/>
  <c r="Q9" i="5"/>
  <c r="Q8" i="5"/>
  <c r="Q7" i="5"/>
  <c r="Q6" i="5"/>
  <c r="Q5" i="5"/>
  <c r="Q4" i="5"/>
  <c r="Q3" i="5"/>
  <c r="Q2" i="5"/>
  <c r="O54" i="5"/>
  <c r="O51" i="5"/>
  <c r="O52" i="5"/>
  <c r="O49" i="5"/>
  <c r="O48" i="5"/>
  <c r="O47" i="5"/>
  <c r="O42" i="5"/>
  <c r="O45" i="5"/>
  <c r="O44" i="5"/>
  <c r="O43" i="5"/>
  <c r="O36" i="5"/>
  <c r="O40" i="5"/>
  <c r="O39" i="5"/>
  <c r="O38" i="5"/>
  <c r="O37" i="5"/>
  <c r="O29" i="5"/>
  <c r="O34" i="5"/>
  <c r="O33" i="5"/>
  <c r="O32" i="5"/>
  <c r="O31" i="5"/>
  <c r="O30" i="5"/>
  <c r="O21" i="5"/>
  <c r="O27" i="5"/>
  <c r="O26" i="5"/>
  <c r="O25" i="5"/>
  <c r="O24" i="5"/>
  <c r="O23" i="5"/>
  <c r="O22" i="5"/>
  <c r="O12" i="5"/>
  <c r="O19" i="5"/>
  <c r="O18" i="5"/>
  <c r="O17" i="5"/>
  <c r="O16" i="5"/>
  <c r="O15" i="5"/>
  <c r="O14" i="5"/>
  <c r="O13" i="5"/>
  <c r="O2" i="5"/>
  <c r="O10" i="5"/>
  <c r="O9" i="5"/>
  <c r="O8" i="5"/>
  <c r="O7" i="5"/>
  <c r="O6" i="5"/>
  <c r="O5" i="5"/>
  <c r="O4" i="5"/>
  <c r="O3" i="5"/>
  <c r="M54" i="5"/>
  <c r="M51" i="5"/>
  <c r="M52" i="5"/>
  <c r="M47" i="5"/>
  <c r="M49" i="5"/>
  <c r="M48" i="5"/>
  <c r="M42" i="5"/>
  <c r="M45" i="5"/>
  <c r="M44" i="5"/>
  <c r="M43" i="5"/>
  <c r="M36" i="5"/>
  <c r="M40" i="5"/>
  <c r="M39" i="5"/>
  <c r="M38" i="5"/>
  <c r="M37" i="5"/>
  <c r="M29" i="5"/>
  <c r="M34" i="5"/>
  <c r="M33" i="5"/>
  <c r="M32" i="5"/>
  <c r="M31" i="5"/>
  <c r="M30" i="5"/>
  <c r="M27" i="5"/>
  <c r="M26" i="5"/>
  <c r="M25" i="5"/>
  <c r="M24" i="5"/>
  <c r="M23" i="5"/>
  <c r="M22" i="5"/>
  <c r="M21" i="5"/>
  <c r="M12" i="5"/>
  <c r="M19" i="5"/>
  <c r="M18" i="5"/>
  <c r="M17" i="5"/>
  <c r="M16" i="5"/>
  <c r="M15" i="5"/>
  <c r="M14" i="5"/>
  <c r="M13" i="5"/>
  <c r="M10" i="5"/>
  <c r="M9" i="5"/>
  <c r="M8" i="5"/>
  <c r="M7" i="5"/>
  <c r="M6" i="5"/>
  <c r="M5" i="5"/>
  <c r="M4" i="5"/>
  <c r="M3" i="5"/>
  <c r="M2" i="5"/>
  <c r="K54" i="5"/>
  <c r="K52" i="5"/>
  <c r="K51" i="5"/>
  <c r="K47" i="5"/>
  <c r="K49" i="5"/>
  <c r="K48" i="5"/>
  <c r="K42" i="5"/>
  <c r="K45" i="5"/>
  <c r="K44" i="5"/>
  <c r="K43" i="5"/>
  <c r="K36" i="5"/>
  <c r="K40" i="5"/>
  <c r="K39" i="5"/>
  <c r="K38" i="5"/>
  <c r="K37" i="5"/>
  <c r="K29" i="5"/>
  <c r="K34" i="5"/>
  <c r="K33" i="5"/>
  <c r="K32" i="5"/>
  <c r="K31" i="5"/>
  <c r="K30" i="5"/>
  <c r="K21" i="5"/>
  <c r="K27" i="5"/>
  <c r="K26" i="5"/>
  <c r="K25" i="5"/>
  <c r="K24" i="5"/>
  <c r="K23" i="5"/>
  <c r="K22" i="5"/>
  <c r="K12" i="5"/>
  <c r="K19" i="5"/>
  <c r="K18" i="5"/>
  <c r="K17" i="5"/>
  <c r="K16" i="5"/>
  <c r="K15" i="5"/>
  <c r="K14" i="5"/>
  <c r="K13" i="5"/>
  <c r="K10" i="5"/>
  <c r="K9" i="5"/>
  <c r="K8" i="5"/>
  <c r="K7" i="5"/>
  <c r="K6" i="5"/>
  <c r="K5" i="5"/>
  <c r="K4" i="5"/>
  <c r="K3" i="5"/>
  <c r="K2" i="5"/>
  <c r="AQ51" i="5"/>
  <c r="AQ52" i="5"/>
  <c r="AQ42" i="5"/>
  <c r="AQ45" i="5"/>
  <c r="AQ44" i="5"/>
  <c r="AQ43" i="5"/>
  <c r="AQ10" i="5"/>
  <c r="AQ9" i="5"/>
  <c r="AQ8" i="5"/>
  <c r="AQ7" i="5"/>
  <c r="AQ6" i="5"/>
  <c r="AQ5" i="5"/>
  <c r="AQ4" i="5"/>
  <c r="AQ3" i="5"/>
  <c r="AQ2" i="5"/>
  <c r="AO51" i="5"/>
  <c r="AO52" i="5"/>
  <c r="AO42" i="5"/>
  <c r="AO45" i="5"/>
  <c r="AO44" i="5"/>
  <c r="AO43" i="5"/>
  <c r="AO2" i="5"/>
  <c r="AO10" i="5"/>
  <c r="AO9" i="5"/>
  <c r="AO8" i="5"/>
  <c r="AO7" i="5"/>
  <c r="AO6" i="5"/>
  <c r="AO5" i="5"/>
  <c r="AO4" i="5"/>
  <c r="AO3" i="5"/>
  <c r="AM51" i="5"/>
  <c r="AM52" i="5"/>
  <c r="AM42" i="5"/>
  <c r="AM45" i="5"/>
  <c r="AM44" i="5"/>
  <c r="AM43" i="5"/>
  <c r="AM2" i="5"/>
  <c r="AM10" i="5"/>
  <c r="AM9" i="5"/>
  <c r="AM8" i="5"/>
  <c r="AM7" i="5"/>
  <c r="AM6" i="5"/>
  <c r="AM5" i="5"/>
  <c r="AM4" i="5"/>
  <c r="AM3" i="5"/>
  <c r="AK51" i="5"/>
  <c r="AK52" i="5"/>
  <c r="AK45" i="5"/>
  <c r="AK44" i="5"/>
  <c r="AK43" i="5"/>
  <c r="AK42" i="5"/>
  <c r="AK2" i="5"/>
  <c r="AK10" i="5"/>
  <c r="AK9" i="5"/>
  <c r="AK8" i="5"/>
  <c r="AK7" i="5"/>
  <c r="AK6" i="5"/>
  <c r="AK5" i="5"/>
  <c r="AK4" i="5"/>
  <c r="AK3" i="5"/>
  <c r="AI51" i="5"/>
  <c r="AI52" i="5"/>
  <c r="AI43" i="5"/>
  <c r="AI42" i="5"/>
  <c r="AI45" i="5"/>
  <c r="AI44" i="5"/>
  <c r="AI2" i="5"/>
  <c r="AI10" i="5"/>
  <c r="AI9" i="5"/>
  <c r="AI8" i="5"/>
  <c r="AI7" i="5"/>
  <c r="AI6" i="5"/>
  <c r="AI5" i="5"/>
  <c r="AI4" i="5"/>
  <c r="AI3" i="5"/>
  <c r="AG54" i="5"/>
  <c r="AG51" i="5"/>
  <c r="AG52" i="5"/>
  <c r="AG47" i="5"/>
  <c r="AG49" i="5"/>
  <c r="AG48" i="5"/>
  <c r="AG42" i="5"/>
  <c r="AG45" i="5"/>
  <c r="AG44" i="5"/>
  <c r="AG43" i="5"/>
  <c r="AG36" i="5"/>
  <c r="AG40" i="5"/>
  <c r="AG39" i="5"/>
  <c r="AG38" i="5"/>
  <c r="AG37" i="5"/>
  <c r="AG34" i="5"/>
  <c r="AG33" i="5"/>
  <c r="AG32" i="5"/>
  <c r="AG31" i="5"/>
  <c r="AG30" i="5"/>
  <c r="AG21" i="5"/>
  <c r="AG27" i="5"/>
  <c r="AG26" i="5"/>
  <c r="AG25" i="5"/>
  <c r="AG24" i="5"/>
  <c r="AG23" i="5"/>
  <c r="AG22" i="5"/>
  <c r="AG12" i="5"/>
  <c r="AG19" i="5"/>
  <c r="AG18" i="5"/>
  <c r="AG17" i="5"/>
  <c r="AG16" i="5"/>
  <c r="AG15" i="5"/>
  <c r="AG14" i="5"/>
  <c r="AG13" i="5"/>
  <c r="AG2" i="5"/>
  <c r="AG10" i="5"/>
  <c r="AG9" i="5"/>
  <c r="AG8" i="5"/>
  <c r="AG7" i="5"/>
  <c r="AG6" i="5"/>
  <c r="AG5" i="5"/>
  <c r="AG4" i="5"/>
  <c r="AG3" i="5"/>
  <c r="AE54" i="5"/>
  <c r="AE51" i="5"/>
  <c r="AE52" i="5"/>
  <c r="AE47" i="5"/>
  <c r="AE49" i="5"/>
  <c r="AE48" i="5"/>
  <c r="AE42" i="5"/>
  <c r="AE45" i="5"/>
  <c r="AE44" i="5"/>
  <c r="AE43" i="5"/>
  <c r="AE37" i="5"/>
  <c r="AE36" i="5"/>
  <c r="AE40" i="5"/>
  <c r="AE39" i="5"/>
  <c r="AE38" i="5"/>
  <c r="AE29" i="5"/>
  <c r="AE34" i="5"/>
  <c r="AE33" i="5"/>
  <c r="AE32" i="5"/>
  <c r="AE31" i="5"/>
  <c r="AE30" i="5"/>
  <c r="AE21" i="5"/>
  <c r="AE27" i="5"/>
  <c r="AE26" i="5"/>
  <c r="AE25" i="5"/>
  <c r="AE24" i="5"/>
  <c r="AE23" i="5"/>
  <c r="AE22" i="5"/>
  <c r="AE12" i="5"/>
  <c r="AE19" i="5"/>
  <c r="AE18" i="5"/>
  <c r="AE17" i="5"/>
  <c r="AE16" i="5"/>
  <c r="AE15" i="5"/>
  <c r="AE14" i="5"/>
  <c r="AE13" i="5"/>
  <c r="AE2" i="5"/>
  <c r="AE10" i="5"/>
  <c r="AE9" i="5"/>
  <c r="AE8" i="5"/>
  <c r="AE7" i="5"/>
  <c r="AE6" i="5"/>
  <c r="AE5" i="5"/>
  <c r="AE4" i="5"/>
  <c r="AE3" i="5"/>
  <c r="AC54" i="5"/>
  <c r="AC51" i="5"/>
  <c r="AC52" i="5"/>
  <c r="AC47" i="5"/>
  <c r="AC49" i="5"/>
  <c r="AC48" i="5"/>
  <c r="AC42" i="5"/>
  <c r="AC45" i="5"/>
  <c r="AC44" i="5"/>
  <c r="AC43" i="5"/>
  <c r="AC36" i="5"/>
  <c r="AC40" i="5"/>
  <c r="AC39" i="5"/>
  <c r="AC38" i="5"/>
  <c r="AC37" i="5"/>
  <c r="AC29" i="5"/>
  <c r="AC34" i="5"/>
  <c r="AC33" i="5"/>
  <c r="AC32" i="5"/>
  <c r="AC31" i="5"/>
  <c r="AC30" i="5"/>
  <c r="AC21" i="5"/>
  <c r="AC27" i="5"/>
  <c r="AC26" i="5"/>
  <c r="AC25" i="5"/>
  <c r="AC24" i="5"/>
  <c r="AC23" i="5"/>
  <c r="AC22" i="5"/>
  <c r="AC12" i="5"/>
  <c r="AC19" i="5"/>
  <c r="AC18" i="5"/>
  <c r="AC17" i="5"/>
  <c r="AC16" i="5"/>
  <c r="AC15" i="5"/>
  <c r="AC14" i="5"/>
  <c r="AC13" i="5"/>
  <c r="AC2" i="5"/>
  <c r="AC10" i="5"/>
  <c r="AC9" i="5"/>
  <c r="AC8" i="5"/>
  <c r="AC7" i="5"/>
  <c r="AC6" i="5"/>
  <c r="AC5" i="5"/>
  <c r="AC4" i="5"/>
  <c r="AC3" i="5"/>
  <c r="AA54" i="5"/>
  <c r="AA51" i="5"/>
  <c r="AA52" i="5"/>
  <c r="AA47" i="5"/>
  <c r="AA49" i="5"/>
  <c r="AA48" i="5"/>
  <c r="AA42" i="5"/>
  <c r="AA45" i="5"/>
  <c r="AA44" i="5"/>
  <c r="AA43" i="5"/>
  <c r="AA36" i="5"/>
  <c r="AA40" i="5"/>
  <c r="AA39" i="5"/>
  <c r="AA38" i="5"/>
  <c r="AA37" i="5"/>
  <c r="AA32" i="5"/>
  <c r="AA31" i="5"/>
  <c r="AA30" i="5"/>
  <c r="AA29" i="5"/>
  <c r="AA34" i="5"/>
  <c r="AA33" i="5"/>
  <c r="AA21" i="5"/>
  <c r="AA27" i="5"/>
  <c r="AA26" i="5"/>
  <c r="AA25" i="5"/>
  <c r="AA24" i="5"/>
  <c r="AA23" i="5"/>
  <c r="AA22" i="5"/>
  <c r="AA19" i="5"/>
  <c r="AA12" i="5"/>
  <c r="AA18" i="5"/>
  <c r="AA17" i="5"/>
  <c r="AA16" i="5"/>
  <c r="AA15" i="5"/>
  <c r="AA14" i="5"/>
  <c r="AA13" i="5"/>
  <c r="AA2" i="5"/>
  <c r="AA10" i="5"/>
  <c r="AA9" i="5"/>
  <c r="AA8" i="5"/>
  <c r="AA7" i="5"/>
  <c r="AA6" i="5"/>
  <c r="AA5" i="5"/>
  <c r="AA4" i="5"/>
  <c r="AA3" i="5"/>
  <c r="Y54" i="5"/>
  <c r="Y52" i="5"/>
  <c r="Y51" i="5"/>
  <c r="Y47" i="5"/>
  <c r="Y49" i="5"/>
  <c r="Y48" i="5"/>
  <c r="Y42" i="5"/>
  <c r="Y45" i="5"/>
  <c r="Y44" i="5"/>
  <c r="Y43" i="5"/>
  <c r="Y36" i="5"/>
  <c r="Y40" i="5"/>
  <c r="Y39" i="5"/>
  <c r="Y38" i="5"/>
  <c r="Y37" i="5"/>
  <c r="Y29" i="5"/>
  <c r="Y34" i="5"/>
  <c r="Y33" i="5"/>
  <c r="Y32" i="5"/>
  <c r="Y31" i="5"/>
  <c r="Y30" i="5"/>
  <c r="Y21" i="5"/>
  <c r="Y27" i="5"/>
  <c r="Y26" i="5"/>
  <c r="Y25" i="5"/>
  <c r="Y24" i="5"/>
  <c r="Y23" i="5"/>
  <c r="Y22" i="5"/>
  <c r="Y12" i="5"/>
  <c r="Y19" i="5"/>
  <c r="Y18" i="5"/>
  <c r="Y17" i="5"/>
  <c r="Y16" i="5"/>
  <c r="Y15" i="5"/>
  <c r="Y14" i="5"/>
  <c r="Y13" i="5"/>
  <c r="Y10" i="5"/>
  <c r="Y9" i="5"/>
  <c r="Y8" i="5"/>
  <c r="Y7" i="5"/>
  <c r="Y6" i="5"/>
  <c r="Y5" i="5"/>
  <c r="Y4" i="5"/>
  <c r="Y3" i="5"/>
  <c r="Y2" i="5"/>
  <c r="W54" i="5"/>
  <c r="W52" i="5"/>
  <c r="W51" i="5"/>
  <c r="W47" i="5"/>
  <c r="W49" i="5"/>
  <c r="W48" i="5"/>
  <c r="W42" i="5"/>
  <c r="W45" i="5"/>
  <c r="W44" i="5"/>
  <c r="W43" i="5"/>
  <c r="W36" i="5"/>
  <c r="W40" i="5"/>
  <c r="W39" i="5"/>
  <c r="W38" i="5"/>
  <c r="W37" i="5"/>
  <c r="W29" i="5"/>
  <c r="W34" i="5"/>
  <c r="W33" i="5"/>
  <c r="W32" i="5"/>
  <c r="W31" i="5"/>
  <c r="W30" i="5"/>
  <c r="W21" i="5"/>
  <c r="W27" i="5"/>
  <c r="W26" i="5"/>
  <c r="W25" i="5"/>
  <c r="W24" i="5"/>
  <c r="W23" i="5"/>
  <c r="W22" i="5"/>
  <c r="W12" i="5"/>
  <c r="W19" i="5"/>
  <c r="W18" i="5"/>
  <c r="W17" i="5"/>
  <c r="W16" i="5"/>
  <c r="W15" i="5"/>
  <c r="W14" i="5"/>
  <c r="W13" i="5"/>
  <c r="W10" i="5"/>
  <c r="W9" i="5"/>
  <c r="W8" i="5"/>
  <c r="W7" i="5"/>
  <c r="W6" i="5"/>
  <c r="W5" i="5"/>
  <c r="W4" i="5"/>
  <c r="W3" i="5"/>
  <c r="W2" i="5"/>
  <c r="U54" i="5"/>
  <c r="U51" i="5"/>
  <c r="U52" i="5"/>
  <c r="U47" i="5"/>
  <c r="U49" i="5"/>
  <c r="U48" i="5"/>
  <c r="U42" i="5"/>
  <c r="U45" i="5"/>
  <c r="U44" i="5"/>
  <c r="U43" i="5"/>
  <c r="U36" i="5"/>
  <c r="U40" i="5"/>
  <c r="U39" i="5"/>
  <c r="U38" i="5"/>
  <c r="U37" i="5"/>
  <c r="U29" i="5"/>
  <c r="U34" i="5"/>
  <c r="U33" i="5"/>
  <c r="U32" i="5"/>
  <c r="U31" i="5"/>
  <c r="U30" i="5"/>
  <c r="U21" i="5"/>
  <c r="U27" i="5"/>
  <c r="U26" i="5"/>
  <c r="U25" i="5"/>
  <c r="U24" i="5"/>
  <c r="U23" i="5"/>
  <c r="U22" i="5"/>
  <c r="U12" i="5"/>
  <c r="U19" i="5"/>
  <c r="U18" i="5"/>
  <c r="U17" i="5"/>
  <c r="U16" i="5"/>
  <c r="U15" i="5"/>
  <c r="U14" i="5"/>
  <c r="U13" i="5"/>
  <c r="U10" i="5"/>
  <c r="U9" i="5"/>
  <c r="U8" i="5"/>
  <c r="U7" i="5"/>
  <c r="U6" i="5"/>
  <c r="U5" i="5"/>
  <c r="U4" i="5"/>
  <c r="U3" i="5"/>
  <c r="U2" i="5"/>
  <c r="S54" i="5"/>
  <c r="S51" i="5"/>
  <c r="S52" i="5"/>
  <c r="S47" i="5"/>
  <c r="S49" i="5"/>
  <c r="S48" i="5"/>
  <c r="S42" i="5"/>
  <c r="S45" i="5"/>
  <c r="S44" i="5"/>
  <c r="S43" i="5"/>
  <c r="S36" i="5"/>
  <c r="S40" i="5"/>
  <c r="S39" i="5"/>
  <c r="S38" i="5"/>
  <c r="S37" i="5"/>
  <c r="S30" i="5"/>
  <c r="S29" i="5"/>
  <c r="S34" i="5"/>
  <c r="S33" i="5"/>
  <c r="S32" i="5"/>
  <c r="S31" i="5"/>
  <c r="S21" i="5"/>
  <c r="S27" i="5"/>
  <c r="S26" i="5"/>
  <c r="S25" i="5"/>
  <c r="S24" i="5"/>
  <c r="S23" i="5"/>
  <c r="S22" i="5"/>
  <c r="S12" i="5"/>
  <c r="S19" i="5"/>
  <c r="S18" i="5"/>
  <c r="S17" i="5"/>
  <c r="S16" i="5"/>
  <c r="S15" i="5"/>
  <c r="S14" i="5"/>
  <c r="S13" i="5"/>
  <c r="S2" i="5"/>
  <c r="S10" i="5"/>
  <c r="S9" i="5"/>
  <c r="S8" i="5"/>
  <c r="S7" i="5"/>
  <c r="S6" i="5"/>
  <c r="S5" i="5"/>
  <c r="S4" i="5"/>
  <c r="S3" i="5"/>
  <c r="I54" i="5"/>
  <c r="I52" i="5"/>
  <c r="I51" i="5"/>
  <c r="I47" i="5"/>
  <c r="I49" i="5"/>
  <c r="I48" i="5"/>
  <c r="I42" i="5"/>
  <c r="I45" i="5"/>
  <c r="I44" i="5"/>
  <c r="I43" i="5"/>
  <c r="I36" i="5"/>
  <c r="I40" i="5"/>
  <c r="I39" i="5"/>
  <c r="I38" i="5"/>
  <c r="I37" i="5"/>
  <c r="I29" i="5"/>
  <c r="I34" i="5"/>
  <c r="I33" i="5"/>
  <c r="I32" i="5"/>
  <c r="I31" i="5"/>
  <c r="I30" i="5"/>
  <c r="I21" i="5"/>
  <c r="I27" i="5"/>
  <c r="I26" i="5"/>
  <c r="I25" i="5"/>
  <c r="I24" i="5"/>
  <c r="I23" i="5"/>
  <c r="I22" i="5"/>
  <c r="I18" i="5"/>
  <c r="I19" i="5"/>
  <c r="I17" i="5"/>
  <c r="I16" i="5"/>
  <c r="I15" i="5"/>
  <c r="I14" i="5"/>
  <c r="I13" i="5"/>
  <c r="I12" i="5"/>
  <c r="I10" i="5"/>
  <c r="I9" i="5"/>
  <c r="I8" i="5"/>
  <c r="I7" i="5"/>
  <c r="I6" i="5"/>
  <c r="I5" i="5"/>
  <c r="I4" i="5"/>
  <c r="I3" i="5"/>
  <c r="I2" i="5"/>
  <c r="G54" i="5"/>
  <c r="G51" i="5"/>
  <c r="G52" i="5"/>
  <c r="G47" i="5"/>
  <c r="G49" i="5"/>
  <c r="G48" i="5"/>
  <c r="G43" i="5"/>
  <c r="G45" i="5"/>
  <c r="G44" i="5"/>
  <c r="G42" i="5"/>
  <c r="G36" i="5"/>
  <c r="G40" i="5"/>
  <c r="G39" i="5"/>
  <c r="G38" i="5"/>
  <c r="G37" i="5"/>
  <c r="G29" i="5"/>
  <c r="G34" i="5"/>
  <c r="G33" i="5"/>
  <c r="G32" i="5"/>
  <c r="G31" i="5"/>
  <c r="G30" i="5"/>
  <c r="G25" i="5"/>
  <c r="G26" i="5"/>
  <c r="G27" i="5"/>
  <c r="G24" i="5"/>
  <c r="G21" i="5"/>
  <c r="G19" i="5"/>
  <c r="G18" i="5"/>
  <c r="G17" i="5"/>
  <c r="G16" i="5"/>
  <c r="G15" i="5"/>
  <c r="G14" i="5"/>
  <c r="G13" i="5"/>
  <c r="G12" i="5"/>
  <c r="G10" i="5"/>
  <c r="G9" i="5"/>
  <c r="G8" i="5"/>
  <c r="G7" i="5"/>
  <c r="G6" i="5"/>
  <c r="G5" i="5"/>
  <c r="G4" i="5"/>
  <c r="G3" i="5"/>
  <c r="G2" i="5"/>
  <c r="E54" i="5"/>
  <c r="E52" i="5"/>
  <c r="E51" i="5"/>
  <c r="E49" i="5"/>
  <c r="E48" i="5"/>
  <c r="E47" i="5"/>
  <c r="E45" i="5"/>
  <c r="E44" i="5"/>
  <c r="E43" i="5"/>
  <c r="E42" i="5"/>
  <c r="E40" i="5"/>
  <c r="E39" i="5"/>
  <c r="E38" i="5"/>
  <c r="E37" i="5"/>
  <c r="E36" i="5"/>
  <c r="E29" i="5"/>
  <c r="E34" i="5"/>
  <c r="E33" i="5"/>
  <c r="E32" i="5"/>
  <c r="E31" i="5"/>
  <c r="E30" i="5"/>
  <c r="E21" i="5"/>
  <c r="E27" i="5"/>
  <c r="E26" i="5"/>
  <c r="E25" i="5"/>
  <c r="E24" i="5"/>
  <c r="E23" i="5"/>
  <c r="E22" i="5"/>
  <c r="E19" i="5"/>
  <c r="E18" i="5"/>
  <c r="E17" i="5"/>
  <c r="E16" i="5"/>
  <c r="E15" i="5"/>
  <c r="E14" i="5"/>
  <c r="E13" i="5"/>
  <c r="E12" i="5"/>
  <c r="E9" i="5"/>
  <c r="E8" i="5"/>
  <c r="E7" i="5"/>
  <c r="E6" i="5"/>
  <c r="E5" i="5"/>
  <c r="E4" i="5"/>
  <c r="E3" i="5"/>
  <c r="C3" i="5"/>
  <c r="B4" i="5"/>
  <c r="C4" i="5"/>
  <c r="B5" i="5"/>
  <c r="C5" i="5"/>
  <c r="B6" i="5"/>
  <c r="C6" i="5"/>
  <c r="B7" i="5"/>
  <c r="C7" i="5"/>
  <c r="B8" i="5"/>
  <c r="C8" i="5"/>
  <c r="B9" i="5"/>
  <c r="C9" i="5"/>
  <c r="B10" i="5"/>
  <c r="C10" i="5"/>
  <c r="B12" i="5"/>
  <c r="C12" i="5"/>
  <c r="B13" i="5"/>
  <c r="C13" i="5"/>
  <c r="B14" i="5"/>
  <c r="C14" i="5"/>
  <c r="B15" i="5"/>
  <c r="C15" i="5"/>
  <c r="B16" i="5"/>
  <c r="C16" i="5"/>
  <c r="B17" i="5"/>
  <c r="C17" i="5"/>
  <c r="B18" i="5"/>
  <c r="C18" i="5"/>
  <c r="B19" i="5"/>
  <c r="C19" i="5"/>
  <c r="B21" i="5"/>
  <c r="C21" i="5"/>
  <c r="B22" i="5"/>
  <c r="C22" i="5"/>
  <c r="B23" i="5"/>
  <c r="C23" i="5"/>
  <c r="B24" i="5"/>
  <c r="C24" i="5"/>
  <c r="B25" i="5"/>
  <c r="C25" i="5"/>
  <c r="B26" i="5"/>
  <c r="C26" i="5"/>
  <c r="B27" i="5"/>
  <c r="C27" i="5"/>
  <c r="B29" i="5"/>
  <c r="C29" i="5"/>
  <c r="B30" i="5"/>
  <c r="C30" i="5"/>
  <c r="B31" i="5"/>
  <c r="C31" i="5"/>
  <c r="B32" i="5"/>
  <c r="C32" i="5"/>
  <c r="B33" i="5"/>
  <c r="C33" i="5"/>
  <c r="B34" i="5"/>
  <c r="C34" i="5"/>
  <c r="B36" i="5"/>
  <c r="C36" i="5"/>
  <c r="B37" i="5"/>
  <c r="C37" i="5"/>
  <c r="B38" i="5"/>
  <c r="C38" i="5"/>
  <c r="B39" i="5"/>
  <c r="C39" i="5"/>
  <c r="B40" i="5"/>
  <c r="C40" i="5"/>
  <c r="B42" i="5"/>
  <c r="C42" i="5"/>
  <c r="B43" i="5"/>
  <c r="C43" i="5"/>
  <c r="B44" i="5"/>
  <c r="C44" i="5"/>
  <c r="B45" i="5"/>
  <c r="C45" i="5"/>
  <c r="B47" i="5"/>
  <c r="C47" i="5"/>
  <c r="B48" i="5"/>
  <c r="C48" i="5"/>
  <c r="B49" i="5"/>
  <c r="C49" i="5"/>
  <c r="B51" i="5"/>
  <c r="C51" i="5"/>
  <c r="B52" i="5"/>
  <c r="C52" i="5"/>
  <c r="B54" i="5"/>
  <c r="C54" i="5"/>
  <c r="C2" i="5"/>
  <c r="B2" i="5"/>
  <c r="AO65" i="7" l="1"/>
  <c r="AK65" i="7"/>
  <c r="AG65" i="7"/>
  <c r="AC65" i="7"/>
  <c r="Y65" i="7"/>
  <c r="U65" i="7"/>
  <c r="Q65" i="7"/>
  <c r="M65" i="7"/>
  <c r="I65" i="7"/>
  <c r="E65" i="7"/>
  <c r="C65" i="7"/>
  <c r="AM65" i="7"/>
  <c r="AI65" i="7"/>
  <c r="AE65" i="7"/>
  <c r="AA65" i="7"/>
  <c r="W65" i="7"/>
  <c r="S65" i="7"/>
  <c r="O65" i="7"/>
  <c r="K65" i="7"/>
  <c r="G65" i="7"/>
  <c r="AG23" i="7"/>
  <c r="AI41" i="7"/>
  <c r="C29" i="7"/>
  <c r="E35" i="7"/>
  <c r="O17" i="7"/>
  <c r="AC35" i="7"/>
  <c r="AE41" i="7"/>
  <c r="AM41" i="7"/>
  <c r="AI29" i="7"/>
  <c r="AG47" i="7"/>
  <c r="AA53" i="7"/>
  <c r="Y59" i="7"/>
  <c r="W29" i="7"/>
  <c r="Q47" i="7"/>
  <c r="O53" i="7"/>
  <c r="K41" i="7"/>
  <c r="I47" i="7"/>
  <c r="AO35" i="7"/>
  <c r="AM29" i="7"/>
  <c r="AK59" i="7"/>
  <c r="AK47" i="7"/>
  <c r="AG59" i="7"/>
  <c r="AE53" i="7"/>
  <c r="AC47" i="7"/>
  <c r="AA17" i="7"/>
  <c r="Y23" i="7"/>
  <c r="W41" i="7"/>
  <c r="U47" i="7"/>
  <c r="U59" i="7"/>
  <c r="S53" i="7"/>
  <c r="S41" i="7"/>
  <c r="Q59" i="7"/>
  <c r="M35" i="7"/>
  <c r="M47" i="7"/>
  <c r="K29" i="7"/>
  <c r="G17" i="7"/>
  <c r="M5" i="7"/>
  <c r="U5" i="7"/>
  <c r="AC5" i="7"/>
  <c r="AK5" i="7"/>
  <c r="C11" i="7"/>
  <c r="C35" i="7"/>
  <c r="E17" i="7"/>
  <c r="G23" i="7"/>
  <c r="I29" i="7"/>
  <c r="K11" i="7"/>
  <c r="K35" i="7"/>
  <c r="M17" i="7"/>
  <c r="O23" i="7"/>
  <c r="Q29" i="7"/>
  <c r="S11" i="7"/>
  <c r="S35" i="7"/>
  <c r="U17" i="7"/>
  <c r="W23" i="7"/>
  <c r="Y29" i="7"/>
  <c r="AA11" i="7"/>
  <c r="AA35" i="7"/>
  <c r="AC17" i="7"/>
  <c r="AE23" i="7"/>
  <c r="AG29" i="7"/>
  <c r="AI23" i="7"/>
  <c r="AK17" i="7"/>
  <c r="AM11" i="7"/>
  <c r="AM35" i="7"/>
  <c r="AO29" i="7"/>
  <c r="E5" i="7"/>
  <c r="C17" i="7"/>
  <c r="E23" i="7"/>
  <c r="G29" i="7"/>
  <c r="I11" i="7"/>
  <c r="I35" i="7"/>
  <c r="Q11" i="7"/>
  <c r="Y11" i="7"/>
  <c r="AG11" i="7"/>
  <c r="AO11" i="7"/>
  <c r="C23" i="7"/>
  <c r="E29" i="7"/>
  <c r="G11" i="7"/>
  <c r="G35" i="7"/>
  <c r="I17" i="7"/>
  <c r="K23" i="7"/>
  <c r="M29" i="7"/>
  <c r="O11" i="7"/>
  <c r="O35" i="7"/>
  <c r="Q17" i="7"/>
  <c r="AI17" i="7"/>
  <c r="AO23" i="7"/>
  <c r="C53" i="7"/>
  <c r="E59" i="7"/>
  <c r="Q23" i="7"/>
  <c r="AE17" i="7"/>
  <c r="AM17" i="7"/>
  <c r="AK35" i="7"/>
  <c r="AI53" i="7"/>
  <c r="AA29" i="7"/>
  <c r="Y35" i="7"/>
  <c r="W17" i="7"/>
  <c r="W53" i="7"/>
  <c r="O29" i="7"/>
  <c r="K17" i="7"/>
  <c r="I23" i="7"/>
  <c r="AO47" i="7"/>
  <c r="AO59" i="7"/>
  <c r="AM53" i="7"/>
  <c r="AK23" i="7"/>
  <c r="AG35" i="7"/>
  <c r="AE29" i="7"/>
  <c r="AC59" i="7"/>
  <c r="AC23" i="7"/>
  <c r="AA41" i="7"/>
  <c r="Y47" i="7"/>
  <c r="U23" i="7"/>
  <c r="U35" i="7"/>
  <c r="S29" i="7"/>
  <c r="S17" i="7"/>
  <c r="Q35" i="7"/>
  <c r="O41" i="7"/>
  <c r="B84" i="2" s="1"/>
  <c r="M59" i="7"/>
  <c r="M23" i="7"/>
  <c r="K53" i="7"/>
  <c r="G41" i="7"/>
  <c r="M11" i="7"/>
  <c r="U11" i="7"/>
  <c r="AC11" i="7"/>
  <c r="AK11" i="7"/>
  <c r="C5" i="7"/>
  <c r="C59" i="7"/>
  <c r="E41" i="7"/>
  <c r="G47" i="7"/>
  <c r="I53" i="7"/>
  <c r="K5" i="7"/>
  <c r="K59" i="7"/>
  <c r="M41" i="7"/>
  <c r="O47" i="7"/>
  <c r="Q53" i="7"/>
  <c r="S5" i="7"/>
  <c r="S59" i="7"/>
  <c r="U41" i="7"/>
  <c r="W47" i="7"/>
  <c r="Y53" i="7"/>
  <c r="AA5" i="7"/>
  <c r="AA59" i="7"/>
  <c r="AC41" i="7"/>
  <c r="AE47" i="7"/>
  <c r="AO41" i="7"/>
  <c r="AM47" i="7"/>
  <c r="AK53" i="7"/>
  <c r="AI59" i="7"/>
  <c r="AI5" i="7"/>
  <c r="AG41" i="7"/>
  <c r="AE59" i="7"/>
  <c r="AE5" i="7"/>
  <c r="AC53" i="7"/>
  <c r="AA47" i="7"/>
  <c r="Y41" i="7"/>
  <c r="W59" i="7"/>
  <c r="W5" i="7"/>
  <c r="U53" i="7"/>
  <c r="S47" i="7"/>
  <c r="Q41" i="7"/>
  <c r="O5" i="7"/>
  <c r="K47" i="7"/>
  <c r="G59" i="7"/>
  <c r="E53" i="7"/>
  <c r="AO5" i="7"/>
  <c r="Y5" i="7"/>
  <c r="I59" i="7"/>
  <c r="G53" i="7"/>
  <c r="C41" i="7"/>
  <c r="AO53" i="7"/>
  <c r="AM5" i="7"/>
  <c r="AI47" i="7"/>
  <c r="AO17" i="7"/>
  <c r="AM23" i="7"/>
  <c r="AK29" i="7"/>
  <c r="AI35" i="7"/>
  <c r="AI11" i="7"/>
  <c r="AG17" i="7"/>
  <c r="AE35" i="7"/>
  <c r="AE11" i="7"/>
  <c r="AC29" i="7"/>
  <c r="AA23" i="7"/>
  <c r="Y17" i="7"/>
  <c r="W35" i="7"/>
  <c r="W11" i="7"/>
  <c r="U29" i="7"/>
  <c r="S23" i="7"/>
  <c r="O59" i="7"/>
  <c r="M53" i="7"/>
  <c r="I41" i="7"/>
  <c r="G5" i="7"/>
  <c r="C47" i="7"/>
  <c r="AG5" i="7"/>
  <c r="Q5" i="7"/>
  <c r="I5" i="7"/>
  <c r="E47" i="7"/>
  <c r="E11" i="7"/>
  <c r="AM59" i="7"/>
  <c r="AK41" i="7"/>
  <c r="AG53" i="7"/>
  <c r="B6" i="2"/>
  <c r="B24" i="2"/>
  <c r="B83" i="2"/>
  <c r="B63" i="2" l="1"/>
  <c r="B110" i="2"/>
  <c r="B14" i="2"/>
  <c r="B61" i="2"/>
  <c r="B108" i="2"/>
  <c r="B12" i="2"/>
  <c r="B59" i="2"/>
  <c r="B106" i="2"/>
  <c r="B10" i="2"/>
  <c r="B57" i="2"/>
  <c r="B104" i="2"/>
  <c r="B8" i="2"/>
  <c r="B55" i="2"/>
  <c r="B90" i="2"/>
  <c r="B99" i="2"/>
  <c r="B50" i="2"/>
  <c r="B97" i="2"/>
  <c r="B48" i="2"/>
  <c r="B95" i="2"/>
  <c r="B46" i="2"/>
  <c r="B45" i="2"/>
  <c r="B92" i="2"/>
  <c r="B43" i="2"/>
  <c r="B78" i="2"/>
  <c r="B135" i="2"/>
  <c r="B39" i="2"/>
  <c r="B86" i="2"/>
  <c r="B133" i="2"/>
  <c r="B37" i="2"/>
  <c r="B131" i="2"/>
  <c r="B35" i="2"/>
  <c r="B82" i="2"/>
  <c r="B129" i="2"/>
  <c r="B33" i="2"/>
  <c r="B80" i="2"/>
  <c r="B127" i="2"/>
  <c r="B31" i="2"/>
  <c r="B66" i="2"/>
  <c r="B123" i="2"/>
  <c r="B27" i="2"/>
  <c r="B74" i="2"/>
  <c r="B121" i="2"/>
  <c r="B25" i="2"/>
  <c r="B119" i="2"/>
  <c r="B23" i="2"/>
  <c r="B118" i="2"/>
  <c r="B22" i="2"/>
  <c r="B69" i="2"/>
  <c r="B68" i="2"/>
  <c r="B115" i="2"/>
  <c r="B19" i="2"/>
  <c r="B54" i="2"/>
  <c r="B7" i="2"/>
  <c r="B111" i="2"/>
  <c r="B15" i="2"/>
  <c r="B62" i="2"/>
  <c r="B109" i="2"/>
  <c r="B13" i="2"/>
  <c r="B60" i="2"/>
  <c r="B107" i="2"/>
  <c r="B11" i="2"/>
  <c r="B58" i="2"/>
  <c r="B105" i="2"/>
  <c r="B9" i="2"/>
  <c r="B56" i="2"/>
  <c r="B103" i="2"/>
  <c r="B42" i="2"/>
  <c r="B51" i="2"/>
  <c r="B98" i="2"/>
  <c r="B49" i="2"/>
  <c r="B96" i="2"/>
  <c r="B47" i="2"/>
  <c r="B94" i="2"/>
  <c r="B93" i="2"/>
  <c r="B44" i="2"/>
  <c r="B91" i="2"/>
  <c r="B126" i="2"/>
  <c r="B30" i="2"/>
  <c r="B87" i="2"/>
  <c r="B134" i="2"/>
  <c r="B38" i="2"/>
  <c r="B85" i="2"/>
  <c r="B132" i="2"/>
  <c r="B36" i="2"/>
  <c r="B130" i="2"/>
  <c r="B34" i="2"/>
  <c r="B81" i="2"/>
  <c r="B128" i="2"/>
  <c r="B32" i="2"/>
  <c r="B79" i="2"/>
  <c r="B114" i="2"/>
  <c r="B18" i="2"/>
  <c r="B75" i="2"/>
  <c r="B122" i="2"/>
  <c r="B26" i="2"/>
  <c r="B73" i="2"/>
  <c r="B120" i="2"/>
  <c r="B71" i="2"/>
  <c r="B70" i="2"/>
  <c r="B117" i="2"/>
  <c r="B21" i="2"/>
  <c r="B116" i="2"/>
  <c r="B20" i="2"/>
  <c r="B67" i="2"/>
  <c r="B102" i="2"/>
  <c r="B72" i="2"/>
  <c r="E6" i="2" l="1"/>
  <c r="E90" i="2"/>
  <c r="E102" i="2"/>
  <c r="E114" i="2"/>
  <c r="E42" i="2"/>
  <c r="E66" i="2"/>
  <c r="E30" i="2"/>
  <c r="E126" i="2"/>
  <c r="E18" i="2"/>
  <c r="E54" i="2"/>
  <c r="E78" i="2"/>
  <c r="C10" i="2"/>
  <c r="C14" i="2"/>
  <c r="C129" i="2"/>
  <c r="C135" i="2"/>
  <c r="C131" i="2"/>
  <c r="C126" i="2"/>
  <c r="C132" i="2"/>
  <c r="C127" i="2"/>
  <c r="C133" i="2"/>
  <c r="C128" i="2"/>
  <c r="C134" i="2"/>
  <c r="C130" i="2"/>
  <c r="C8" i="2"/>
  <c r="C12" i="2"/>
  <c r="C19" i="2"/>
  <c r="C18" i="2"/>
  <c r="C20" i="2"/>
  <c r="C22" i="2"/>
  <c r="C27" i="2"/>
  <c r="C26" i="2"/>
  <c r="C23" i="2"/>
  <c r="C24" i="2"/>
  <c r="C25" i="2"/>
  <c r="C21" i="2"/>
  <c r="C55" i="2"/>
  <c r="C54" i="2"/>
  <c r="C60" i="2"/>
  <c r="C62" i="2"/>
  <c r="C57" i="2"/>
  <c r="C63" i="2"/>
  <c r="C58" i="2"/>
  <c r="C59" i="2"/>
  <c r="C61" i="2"/>
  <c r="C56" i="2"/>
  <c r="C78" i="2"/>
  <c r="C84" i="2"/>
  <c r="C85" i="2"/>
  <c r="C80" i="2"/>
  <c r="C86" i="2"/>
  <c r="C81" i="2"/>
  <c r="C87" i="2"/>
  <c r="C82" i="2"/>
  <c r="C83" i="2"/>
  <c r="C79" i="2"/>
  <c r="C7" i="2"/>
  <c r="C13" i="2"/>
  <c r="C9" i="2"/>
  <c r="C105" i="2"/>
  <c r="C111" i="2"/>
  <c r="C107" i="2"/>
  <c r="C102" i="2"/>
  <c r="C108" i="2"/>
  <c r="C103" i="2"/>
  <c r="C109" i="2"/>
  <c r="C104" i="2"/>
  <c r="C110" i="2"/>
  <c r="C106" i="2"/>
  <c r="C123" i="2"/>
  <c r="C118" i="2"/>
  <c r="C119" i="2"/>
  <c r="C114" i="2"/>
  <c r="C120" i="2"/>
  <c r="C115" i="2"/>
  <c r="C121" i="2"/>
  <c r="C122" i="2"/>
  <c r="C117" i="2"/>
  <c r="C116" i="2"/>
  <c r="C42" i="2"/>
  <c r="C48" i="2"/>
  <c r="C43" i="2"/>
  <c r="C45" i="2"/>
  <c r="C51" i="2"/>
  <c r="C47" i="2"/>
  <c r="C49" i="2"/>
  <c r="C50" i="2"/>
  <c r="C44" i="2"/>
  <c r="C46" i="2"/>
  <c r="C71" i="2"/>
  <c r="C66" i="2"/>
  <c r="C72" i="2"/>
  <c r="C67" i="2"/>
  <c r="C68" i="2"/>
  <c r="C74" i="2"/>
  <c r="C75" i="2"/>
  <c r="C70" i="2"/>
  <c r="C73" i="2"/>
  <c r="C69" i="2"/>
  <c r="C15" i="2"/>
  <c r="C6" i="2"/>
  <c r="C30" i="2"/>
  <c r="C36" i="2"/>
  <c r="C38" i="2"/>
  <c r="C33" i="2"/>
  <c r="C39" i="2"/>
  <c r="C32" i="2"/>
  <c r="C34" i="2"/>
  <c r="C35" i="2"/>
  <c r="C37" i="2"/>
  <c r="C31" i="2"/>
  <c r="C99" i="2"/>
  <c r="C94" i="2"/>
  <c r="C95" i="2"/>
  <c r="C90" i="2"/>
  <c r="C96" i="2"/>
  <c r="C91" i="2"/>
  <c r="C97" i="2"/>
  <c r="C98" i="2"/>
  <c r="C93" i="2"/>
  <c r="C92" i="2"/>
  <c r="C11" i="2"/>
  <c r="F121" i="2" l="1"/>
  <c r="F93" i="2"/>
  <c r="G93" i="2" s="1"/>
  <c r="F18" i="2"/>
  <c r="E51" i="2"/>
  <c r="E97" i="2"/>
  <c r="E50" i="2"/>
  <c r="E48" i="2"/>
  <c r="E94" i="2"/>
  <c r="F94" i="2" s="1"/>
  <c r="G94" i="2" s="1"/>
  <c r="E43" i="2"/>
  <c r="E128" i="2"/>
  <c r="E91" i="2"/>
  <c r="E37" i="2"/>
  <c r="E99" i="2"/>
  <c r="F96" i="2" s="1"/>
  <c r="E87" i="2"/>
  <c r="E96" i="2"/>
  <c r="F95" i="2" s="1"/>
  <c r="E80" i="2"/>
  <c r="E24" i="2"/>
  <c r="E35" i="2"/>
  <c r="E49" i="2"/>
  <c r="E61" i="2"/>
  <c r="E60" i="2"/>
  <c r="E135" i="2"/>
  <c r="F132" i="2" s="1"/>
  <c r="E129" i="2"/>
  <c r="F131" i="2" s="1"/>
  <c r="E95" i="2"/>
  <c r="F91" i="2" s="1"/>
  <c r="E25" i="2"/>
  <c r="F26" i="2" s="1"/>
  <c r="E23" i="2"/>
  <c r="F25" i="2" s="1"/>
  <c r="E58" i="2"/>
  <c r="E63" i="2"/>
  <c r="F56" i="2" s="1"/>
  <c r="G56" i="2" s="1"/>
  <c r="E73" i="2"/>
  <c r="E68" i="2"/>
  <c r="E67" i="2"/>
  <c r="E11" i="2"/>
  <c r="E26" i="2"/>
  <c r="E33" i="2"/>
  <c r="E46" i="2"/>
  <c r="E47" i="2"/>
  <c r="E44" i="2"/>
  <c r="E57" i="2"/>
  <c r="E56" i="2"/>
  <c r="E55" i="2"/>
  <c r="F57" i="2" s="1"/>
  <c r="G57" i="2" s="1"/>
  <c r="E93" i="2"/>
  <c r="E92" i="2"/>
  <c r="E98" i="2"/>
  <c r="F98" i="2" s="1"/>
  <c r="E108" i="2"/>
  <c r="F107" i="2" s="1"/>
  <c r="E122" i="2"/>
  <c r="E134" i="2"/>
  <c r="F135" i="2" s="1"/>
  <c r="E131" i="2"/>
  <c r="F133" i="2" s="1"/>
  <c r="E34" i="2"/>
  <c r="E36" i="2"/>
  <c r="E105" i="2"/>
  <c r="E8" i="2"/>
  <c r="E85" i="2"/>
  <c r="E84" i="2"/>
  <c r="E115" i="2"/>
  <c r="E119" i="2"/>
  <c r="E79" i="2"/>
  <c r="F82" i="2" s="1"/>
  <c r="E81" i="2"/>
  <c r="E82" i="2"/>
  <c r="E86" i="2"/>
  <c r="E72" i="2"/>
  <c r="E32" i="2"/>
  <c r="E38" i="2"/>
  <c r="E7" i="2"/>
  <c r="E9" i="2"/>
  <c r="E107" i="2"/>
  <c r="E74" i="2"/>
  <c r="F72" i="2" s="1"/>
  <c r="E12" i="2"/>
  <c r="E15" i="2"/>
  <c r="E70" i="2"/>
  <c r="E14" i="2"/>
  <c r="E59" i="2"/>
  <c r="E62" i="2"/>
  <c r="E110" i="2"/>
  <c r="E83" i="2"/>
  <c r="E116" i="2"/>
  <c r="E31" i="2"/>
  <c r="E39" i="2"/>
  <c r="E75" i="2"/>
  <c r="F68" i="2" s="1"/>
  <c r="G68" i="2" s="1"/>
  <c r="E13" i="2"/>
  <c r="E69" i="2"/>
  <c r="E71" i="2"/>
  <c r="E109" i="2"/>
  <c r="F111" i="2" s="1"/>
  <c r="E133" i="2"/>
  <c r="F128" i="2" s="1"/>
  <c r="E10" i="2"/>
  <c r="E20" i="2"/>
  <c r="E21" i="2"/>
  <c r="E45" i="2"/>
  <c r="E121" i="2"/>
  <c r="F123" i="2" s="1"/>
  <c r="E111" i="2"/>
  <c r="E132" i="2"/>
  <c r="E130" i="2"/>
  <c r="F129" i="2" s="1"/>
  <c r="E127" i="2"/>
  <c r="F130" i="2" s="1"/>
  <c r="E120" i="2"/>
  <c r="E118" i="2"/>
  <c r="E117" i="2"/>
  <c r="F117" i="2" s="1"/>
  <c r="E123" i="2"/>
  <c r="F116" i="2" s="1"/>
  <c r="E104" i="2"/>
  <c r="E106" i="2"/>
  <c r="E103" i="2"/>
  <c r="F109" i="2" s="1"/>
  <c r="E22" i="2"/>
  <c r="E19" i="2"/>
  <c r="F22" i="2" s="1"/>
  <c r="E27" i="2"/>
  <c r="F20" i="2" s="1"/>
  <c r="F85" i="2" l="1"/>
  <c r="F119" i="2"/>
  <c r="F84" i="2"/>
  <c r="F19" i="2"/>
  <c r="G19" i="2" s="1"/>
  <c r="D7" i="4" s="1"/>
  <c r="F23" i="2"/>
  <c r="F115" i="2"/>
  <c r="G115" i="2" s="1"/>
  <c r="D15" i="4" s="1"/>
  <c r="F104" i="2"/>
  <c r="G104" i="2" s="1"/>
  <c r="F108" i="2"/>
  <c r="G108" i="2" s="1"/>
  <c r="I14" i="4" s="1"/>
  <c r="F21" i="2"/>
  <c r="G21" i="2" s="1"/>
  <c r="F7" i="4" s="1"/>
  <c r="F110" i="2"/>
  <c r="G110" i="2" s="1"/>
  <c r="K14" i="4" s="1"/>
  <c r="F81" i="2"/>
  <c r="F120" i="2"/>
  <c r="G120" i="2" s="1"/>
  <c r="I15" i="4" s="1"/>
  <c r="F99" i="2"/>
  <c r="G99" i="2" s="1"/>
  <c r="F27" i="2"/>
  <c r="G27" i="2" s="1"/>
  <c r="F24" i="2"/>
  <c r="G24" i="2" s="1"/>
  <c r="I7" i="4" s="1"/>
  <c r="F92" i="2"/>
  <c r="G92" i="2" s="1"/>
  <c r="F105" i="2"/>
  <c r="G105" i="2" s="1"/>
  <c r="F54" i="2"/>
  <c r="F118" i="2"/>
  <c r="G118" i="2" s="1"/>
  <c r="G15" i="4" s="1"/>
  <c r="F127" i="2"/>
  <c r="G127" i="2" s="1"/>
  <c r="D16" i="4" s="1"/>
  <c r="F102" i="2"/>
  <c r="G102" i="2" s="1"/>
  <c r="C14" i="4" s="1"/>
  <c r="F134" i="2"/>
  <c r="G134" i="2" s="1"/>
  <c r="K16" i="4" s="1"/>
  <c r="F122" i="2"/>
  <c r="G122" i="2" s="1"/>
  <c r="K15" i="4" s="1"/>
  <c r="F66" i="2"/>
  <c r="G66" i="2" s="1"/>
  <c r="C11" i="4" s="1"/>
  <c r="F97" i="2"/>
  <c r="G97" i="2" s="1"/>
  <c r="F90" i="2"/>
  <c r="G90" i="2" s="1"/>
  <c r="C13" i="4" s="1"/>
  <c r="F58" i="2"/>
  <c r="G58" i="2" s="1"/>
  <c r="F114" i="2"/>
  <c r="G114" i="2" s="1"/>
  <c r="C15" i="4" s="1"/>
  <c r="F42" i="2"/>
  <c r="G42" i="2" s="1"/>
  <c r="C9" i="4" s="1"/>
  <c r="F78" i="2"/>
  <c r="G78" i="2" s="1"/>
  <c r="C12" i="4" s="1"/>
  <c r="F83" i="2"/>
  <c r="G83" i="2" s="1"/>
  <c r="F79" i="2"/>
  <c r="G79" i="2" s="1"/>
  <c r="F62" i="2"/>
  <c r="G62" i="2" s="1"/>
  <c r="F71" i="2"/>
  <c r="G71" i="2" s="1"/>
  <c r="F87" i="2"/>
  <c r="G87" i="2" s="1"/>
  <c r="F55" i="2"/>
  <c r="G55" i="2" s="1"/>
  <c r="F80" i="2"/>
  <c r="G80" i="2" s="1"/>
  <c r="F61" i="2"/>
  <c r="G61" i="2" s="1"/>
  <c r="F86" i="2"/>
  <c r="G86" i="2" s="1"/>
  <c r="F73" i="2"/>
  <c r="G73" i="2" s="1"/>
  <c r="F67" i="2"/>
  <c r="G67" i="2" s="1"/>
  <c r="F60" i="2"/>
  <c r="G60" i="2" s="1"/>
  <c r="F59" i="2"/>
  <c r="G59" i="2" s="1"/>
  <c r="F74" i="2"/>
  <c r="G74" i="2" s="1"/>
  <c r="F69" i="2"/>
  <c r="G69" i="2" s="1"/>
  <c r="F70" i="2"/>
  <c r="G70" i="2" s="1"/>
  <c r="F75" i="2"/>
  <c r="G75" i="2" s="1"/>
  <c r="F63" i="2"/>
  <c r="G63" i="2" s="1"/>
  <c r="F103" i="2"/>
  <c r="G103" i="2" s="1"/>
  <c r="D14" i="4" s="1"/>
  <c r="F126" i="2"/>
  <c r="G126" i="2" s="1"/>
  <c r="C16" i="4" s="1"/>
  <c r="F106" i="2"/>
  <c r="G106" i="2" s="1"/>
  <c r="F30" i="2"/>
  <c r="G30" i="2" s="1"/>
  <c r="C8" i="4" s="1"/>
  <c r="F31" i="2"/>
  <c r="G31" i="2" s="1"/>
  <c r="F34" i="2"/>
  <c r="G34" i="2" s="1"/>
  <c r="F36" i="2"/>
  <c r="G36" i="2" s="1"/>
  <c r="F33" i="2"/>
  <c r="G33" i="2" s="1"/>
  <c r="F35" i="2"/>
  <c r="G35" i="2" s="1"/>
  <c r="F39" i="2"/>
  <c r="G39" i="2" s="1"/>
  <c r="F32" i="2"/>
  <c r="G32" i="2" s="1"/>
  <c r="E8" i="4" s="1"/>
  <c r="F38" i="2"/>
  <c r="G38" i="2" s="1"/>
  <c r="F37" i="2"/>
  <c r="G37" i="2" s="1"/>
  <c r="F45" i="2"/>
  <c r="G45" i="2" s="1"/>
  <c r="F43" i="2"/>
  <c r="G43" i="2" s="1"/>
  <c r="F47" i="2"/>
  <c r="G47" i="2" s="1"/>
  <c r="H9" i="4" s="1"/>
  <c r="F51" i="2"/>
  <c r="G51" i="2" s="1"/>
  <c r="L9" i="4" s="1"/>
  <c r="F49" i="2"/>
  <c r="G49" i="2" s="1"/>
  <c r="J9" i="4" s="1"/>
  <c r="F44" i="2"/>
  <c r="G44" i="2" s="1"/>
  <c r="F48" i="2"/>
  <c r="G48" i="2" s="1"/>
  <c r="F50" i="2"/>
  <c r="G50" i="2" s="1"/>
  <c r="F46" i="2"/>
  <c r="G46" i="2" s="1"/>
  <c r="F13" i="4"/>
  <c r="E11" i="4"/>
  <c r="G13" i="4"/>
  <c r="E10" i="4"/>
  <c r="F10" i="4"/>
  <c r="G123" i="2"/>
  <c r="L15" i="4" s="1"/>
  <c r="F6" i="2"/>
  <c r="G6" i="2" s="1"/>
  <c r="C6" i="4" s="1"/>
  <c r="G54" i="2"/>
  <c r="C10" i="4" s="1"/>
  <c r="G119" i="2"/>
  <c r="H15" i="4" s="1"/>
  <c r="F7" i="2"/>
  <c r="G7" i="2" s="1"/>
  <c r="D6" i="4" s="1"/>
  <c r="F11" i="2"/>
  <c r="G11" i="2" s="1"/>
  <c r="H6" i="4" s="1"/>
  <c r="F10" i="2"/>
  <c r="G10" i="2" s="1"/>
  <c r="G6" i="4" s="1"/>
  <c r="F15" i="2"/>
  <c r="G15" i="2" s="1"/>
  <c r="L6" i="4" s="1"/>
  <c r="F9" i="2"/>
  <c r="G9" i="2" s="1"/>
  <c r="F6" i="4" s="1"/>
  <c r="F13" i="2"/>
  <c r="G13" i="2" s="1"/>
  <c r="J6" i="4" s="1"/>
  <c r="F12" i="2"/>
  <c r="G12" i="2" s="1"/>
  <c r="I6" i="4" s="1"/>
  <c r="F8" i="2"/>
  <c r="G8" i="2" s="1"/>
  <c r="E6" i="4" s="1"/>
  <c r="F14" i="2"/>
  <c r="G14" i="2" s="1"/>
  <c r="K6" i="4" s="1"/>
  <c r="G18" i="2"/>
  <c r="C7" i="4" s="1"/>
  <c r="G26" i="2"/>
  <c r="K7" i="4" s="1"/>
  <c r="G132" i="2"/>
  <c r="I16" i="4" s="1"/>
  <c r="G133" i="2"/>
  <c r="J16" i="4" s="1"/>
  <c r="G128" i="2"/>
  <c r="E16" i="4" s="1"/>
  <c r="G116" i="2"/>
  <c r="E15" i="4" s="1"/>
  <c r="G111" i="2"/>
  <c r="L14" i="4" s="1"/>
  <c r="G96" i="2"/>
  <c r="G91" i="2"/>
  <c r="G85" i="2"/>
  <c r="G25" i="2"/>
  <c r="J7" i="4" s="1"/>
  <c r="G117" i="2"/>
  <c r="F15" i="4" s="1"/>
  <c r="G95" i="2"/>
  <c r="G130" i="2"/>
  <c r="G16" i="4" s="1"/>
  <c r="G135" i="2"/>
  <c r="L16" i="4" s="1"/>
  <c r="G98" i="2"/>
  <c r="G81" i="2"/>
  <c r="G84" i="2"/>
  <c r="G20" i="2"/>
  <c r="E7" i="4" s="1"/>
  <c r="G131" i="2"/>
  <c r="H16" i="4" s="1"/>
  <c r="G129" i="2"/>
  <c r="F16" i="4" s="1"/>
  <c r="G121" i="2"/>
  <c r="J15" i="4" s="1"/>
  <c r="G109" i="2"/>
  <c r="J14" i="4" s="1"/>
  <c r="G107" i="2"/>
  <c r="H14" i="4" s="1"/>
  <c r="G72" i="2"/>
  <c r="G82" i="2"/>
  <c r="G22" i="2"/>
  <c r="G7" i="4" s="1"/>
  <c r="G23" i="2"/>
  <c r="H7" i="4" s="1"/>
  <c r="C5" i="4" l="1"/>
  <c r="C28" i="4" s="1"/>
  <c r="I11" i="4"/>
  <c r="K13" i="4"/>
  <c r="H13" i="4"/>
  <c r="D10" i="4"/>
  <c r="L8" i="4"/>
  <c r="J11" i="4"/>
  <c r="I13" i="4"/>
  <c r="F11" i="4"/>
  <c r="E13" i="4"/>
  <c r="D8" i="4"/>
  <c r="I10" i="4"/>
  <c r="I9" i="4"/>
  <c r="I12" i="4"/>
  <c r="G8" i="4"/>
  <c r="G11" i="4"/>
  <c r="H8" i="4"/>
  <c r="J8" i="4"/>
  <c r="J12" i="4"/>
  <c r="L11" i="4"/>
  <c r="E12" i="4"/>
  <c r="L12" i="4"/>
  <c r="H10" i="4"/>
  <c r="H12" i="4"/>
  <c r="K10" i="4"/>
  <c r="G12" i="4"/>
  <c r="K11" i="4"/>
  <c r="K9" i="4"/>
  <c r="F12" i="4"/>
  <c r="K12" i="4"/>
  <c r="J13" i="4"/>
  <c r="F9" i="4"/>
  <c r="D13" i="4"/>
  <c r="K8" i="4"/>
  <c r="G9" i="4"/>
  <c r="F8" i="4"/>
  <c r="J10" i="4"/>
  <c r="D12" i="4"/>
  <c r="I8" i="4"/>
  <c r="L10" i="4"/>
  <c r="L13" i="4"/>
  <c r="F14" i="4"/>
  <c r="E14" i="4"/>
  <c r="G14" i="4"/>
  <c r="D11" i="4"/>
  <c r="H11" i="4"/>
  <c r="G10" i="4"/>
  <c r="E9" i="4"/>
  <c r="D9" i="4"/>
  <c r="L7" i="4"/>
  <c r="F5" i="4" l="1"/>
  <c r="F28" i="4" s="1"/>
  <c r="L5" i="4"/>
  <c r="L28" i="4" s="1"/>
  <c r="J5" i="4"/>
  <c r="J28" i="4" s="1"/>
  <c r="H5" i="4"/>
  <c r="H28" i="4" s="1"/>
  <c r="I5" i="4"/>
  <c r="I28" i="4" s="1"/>
  <c r="E5" i="4"/>
  <c r="E28" i="4" s="1"/>
  <c r="K5" i="4"/>
  <c r="K28" i="4" s="1"/>
  <c r="G5" i="4"/>
  <c r="G28" i="4" s="1"/>
  <c r="D5" i="4"/>
  <c r="D28" i="4" s="1"/>
</calcChain>
</file>

<file path=xl/sharedStrings.xml><?xml version="1.0" encoding="utf-8"?>
<sst xmlns="http://schemas.openxmlformats.org/spreadsheetml/2006/main" count="4208" uniqueCount="243">
  <si>
    <t>D</t>
  </si>
  <si>
    <t>A</t>
  </si>
  <si>
    <t>B</t>
  </si>
  <si>
    <t>C</t>
  </si>
  <si>
    <t>E</t>
  </si>
  <si>
    <t>F</t>
  </si>
  <si>
    <t>G</t>
  </si>
  <si>
    <t>H</t>
  </si>
  <si>
    <t>I</t>
  </si>
  <si>
    <t>L</t>
  </si>
  <si>
    <t>AB</t>
  </si>
  <si>
    <t>AC</t>
  </si>
  <si>
    <t>AD</t>
  </si>
  <si>
    <t>AE</t>
  </si>
  <si>
    <t>AF</t>
  </si>
  <si>
    <t>AG</t>
  </si>
  <si>
    <t>AH</t>
  </si>
  <si>
    <t>AI</t>
  </si>
  <si>
    <t>AL</t>
  </si>
  <si>
    <t>HL</t>
  </si>
  <si>
    <t>BC</t>
  </si>
  <si>
    <t>BD</t>
  </si>
  <si>
    <t>BE</t>
  </si>
  <si>
    <t>BF</t>
  </si>
  <si>
    <t>BG</t>
  </si>
  <si>
    <t>BH</t>
  </si>
  <si>
    <t>BI</t>
  </si>
  <si>
    <t>BL</t>
  </si>
  <si>
    <t>CD</t>
  </si>
  <si>
    <t>CE</t>
  </si>
  <si>
    <t>CF</t>
  </si>
  <si>
    <t>CG</t>
  </si>
  <si>
    <t>CH</t>
  </si>
  <si>
    <t>CI</t>
  </si>
  <si>
    <t>CL</t>
  </si>
  <si>
    <t>DE</t>
  </si>
  <si>
    <t>DF</t>
  </si>
  <si>
    <t>DG</t>
  </si>
  <si>
    <t>DH</t>
  </si>
  <si>
    <t>DI</t>
  </si>
  <si>
    <t>DL</t>
  </si>
  <si>
    <t>EF</t>
  </si>
  <si>
    <t>EG</t>
  </si>
  <si>
    <t>EH</t>
  </si>
  <si>
    <t>EI</t>
  </si>
  <si>
    <t>EL</t>
  </si>
  <si>
    <t>FG</t>
  </si>
  <si>
    <t>FH</t>
  </si>
  <si>
    <t>FI</t>
  </si>
  <si>
    <t>FL</t>
  </si>
  <si>
    <t>GH</t>
  </si>
  <si>
    <t>GI</t>
  </si>
  <si>
    <t>GL</t>
  </si>
  <si>
    <t>HI</t>
  </si>
  <si>
    <t>IL</t>
  </si>
  <si>
    <t>LETT1</t>
  </si>
  <si>
    <t>LETT2</t>
  </si>
  <si>
    <t>1L</t>
  </si>
  <si>
    <t>1N</t>
  </si>
  <si>
    <t>2L</t>
  </si>
  <si>
    <t>2N</t>
  </si>
  <si>
    <t>5L</t>
  </si>
  <si>
    <t>5N</t>
  </si>
  <si>
    <t>6L</t>
  </si>
  <si>
    <t>6N</t>
  </si>
  <si>
    <t>8L</t>
  </si>
  <si>
    <t>8N</t>
  </si>
  <si>
    <t>11L</t>
  </si>
  <si>
    <t>11N</t>
  </si>
  <si>
    <t>12L</t>
  </si>
  <si>
    <t>12N</t>
  </si>
  <si>
    <t>13L</t>
  </si>
  <si>
    <t>13N</t>
  </si>
  <si>
    <t>14L</t>
  </si>
  <si>
    <t>14N</t>
  </si>
  <si>
    <t>15L</t>
  </si>
  <si>
    <t>15N</t>
  </si>
  <si>
    <t>16L</t>
  </si>
  <si>
    <t>16N</t>
  </si>
  <si>
    <t>17L</t>
  </si>
  <si>
    <t>17N</t>
  </si>
  <si>
    <t>18L</t>
  </si>
  <si>
    <t>18N</t>
  </si>
  <si>
    <t>19L</t>
  </si>
  <si>
    <t>19N</t>
  </si>
  <si>
    <t>20L</t>
  </si>
  <si>
    <t>20N</t>
  </si>
  <si>
    <t>A2</t>
  </si>
  <si>
    <t>B2</t>
  </si>
  <si>
    <t>C2</t>
  </si>
  <si>
    <t>D2</t>
  </si>
  <si>
    <t>E2</t>
  </si>
  <si>
    <t>F2</t>
  </si>
  <si>
    <t>G2</t>
  </si>
  <si>
    <t>H2</t>
  </si>
  <si>
    <t>I2</t>
  </si>
  <si>
    <t>A3</t>
  </si>
  <si>
    <t>B3</t>
  </si>
  <si>
    <t>C3</t>
  </si>
  <si>
    <t>D3</t>
  </si>
  <si>
    <t>E3</t>
  </si>
  <si>
    <t>F3</t>
  </si>
  <si>
    <t>G3</t>
  </si>
  <si>
    <t>H3</t>
  </si>
  <si>
    <t>I3</t>
  </si>
  <si>
    <t>A4</t>
  </si>
  <si>
    <t>B4</t>
  </si>
  <si>
    <t>C4</t>
  </si>
  <si>
    <t>D4</t>
  </si>
  <si>
    <t>E4</t>
  </si>
  <si>
    <t>F4</t>
  </si>
  <si>
    <t>G4</t>
  </si>
  <si>
    <t>H4</t>
  </si>
  <si>
    <t>I4</t>
  </si>
  <si>
    <t>A5</t>
  </si>
  <si>
    <t>B5</t>
  </si>
  <si>
    <t>C5</t>
  </si>
  <si>
    <t>D5</t>
  </si>
  <si>
    <t>E5</t>
  </si>
  <si>
    <t>F5</t>
  </si>
  <si>
    <t>G5</t>
  </si>
  <si>
    <t>H5</t>
  </si>
  <si>
    <t>I5</t>
  </si>
  <si>
    <t>A6</t>
  </si>
  <si>
    <t>B6</t>
  </si>
  <si>
    <t>C6</t>
  </si>
  <si>
    <t>D6</t>
  </si>
  <si>
    <t>E6</t>
  </si>
  <si>
    <t>F6</t>
  </si>
  <si>
    <t>G6</t>
  </si>
  <si>
    <t>H6</t>
  </si>
  <si>
    <t>I6</t>
  </si>
  <si>
    <t>L2</t>
  </si>
  <si>
    <t>L3</t>
  </si>
  <si>
    <t>L4</t>
  </si>
  <si>
    <t>L5</t>
  </si>
  <si>
    <t>L6</t>
  </si>
  <si>
    <t>LETT</t>
  </si>
  <si>
    <r>
      <rPr>
        <sz val="11"/>
        <color theme="4" tint="-0.249977111117893"/>
        <rFont val="Calibri"/>
        <family val="2"/>
      </rPr>
      <t>Σ</t>
    </r>
    <r>
      <rPr>
        <i/>
        <sz val="11"/>
        <color theme="4" tint="-0.249977111117893"/>
        <rFont val="Calibri"/>
        <family val="2"/>
      </rPr>
      <t xml:space="preserve"> </t>
    </r>
    <r>
      <rPr>
        <i/>
        <sz val="11"/>
        <color theme="4" tint="-0.249977111117893"/>
        <rFont val="Calibri"/>
        <family val="2"/>
        <scheme val="minor"/>
      </rPr>
      <t>Confronto</t>
    </r>
  </si>
  <si>
    <t>Partecipanti</t>
  </si>
  <si>
    <t>3.1L</t>
  </si>
  <si>
    <t>3.1N</t>
  </si>
  <si>
    <t>3.2L</t>
  </si>
  <si>
    <t>3.2N</t>
  </si>
  <si>
    <t>3.3L</t>
  </si>
  <si>
    <t>3.3N</t>
  </si>
  <si>
    <t>3.4L</t>
  </si>
  <si>
    <t>3.4N</t>
  </si>
  <si>
    <t>3.5L</t>
  </si>
  <si>
    <t>3.5N</t>
  </si>
  <si>
    <t>Valori di servizio - non modificare</t>
  </si>
  <si>
    <t>M3</t>
  </si>
  <si>
    <t>M4</t>
  </si>
  <si>
    <t>M2</t>
  </si>
  <si>
    <t>M5</t>
  </si>
  <si>
    <t>M6</t>
  </si>
  <si>
    <t>M</t>
  </si>
  <si>
    <t>AM</t>
  </si>
  <si>
    <t>BM</t>
  </si>
  <si>
    <t>CM</t>
  </si>
  <si>
    <t>DM</t>
  </si>
  <si>
    <t>EM</t>
  </si>
  <si>
    <t>FM</t>
  </si>
  <si>
    <t>GM</t>
  </si>
  <si>
    <t>HM</t>
  </si>
  <si>
    <t>IM</t>
  </si>
  <si>
    <t>LM</t>
  </si>
  <si>
    <t>Valutazione</t>
  </si>
  <si>
    <t xml:space="preserve"> </t>
  </si>
  <si>
    <t>Ai</t>
  </si>
  <si>
    <t>Ci</t>
  </si>
  <si>
    <t>Asoglia</t>
  </si>
  <si>
    <t>Amax</t>
  </si>
  <si>
    <t xml:space="preserve">EVALUATOR 1 </t>
  </si>
  <si>
    <t>EVALUATOR 3</t>
  </si>
  <si>
    <t xml:space="preserve">EVALUATOR 2 </t>
  </si>
  <si>
    <t>select</t>
  </si>
  <si>
    <t>MAX SCORE</t>
  </si>
  <si>
    <t>1. Quality aspect 1</t>
  </si>
  <si>
    <t>1. Quality aspect 2</t>
  </si>
  <si>
    <t>1. Quality aspect 3</t>
  </si>
  <si>
    <t>1. Quality aspect 4</t>
  </si>
  <si>
    <t>1. Quality aspect 5</t>
  </si>
  <si>
    <t>1. Quality aspect 6</t>
  </si>
  <si>
    <t>1. Quality aspect 7</t>
  </si>
  <si>
    <t>1. Quality aspect 8</t>
  </si>
  <si>
    <t>1. Quality aspect 9</t>
  </si>
  <si>
    <t>1. Quality aspect 10</t>
  </si>
  <si>
    <t>1. Quality aspect 11</t>
  </si>
  <si>
    <t>1. Quality aspect 12</t>
  </si>
  <si>
    <t>13. quality index additional  IQ1</t>
  </si>
  <si>
    <t>13. quality index additional  IQ2</t>
  </si>
  <si>
    <t>13. quality index additional  IQ3</t>
  </si>
  <si>
    <t>13. quality index additional  IQ4</t>
  </si>
  <si>
    <t>13. quality index additional  IQ5</t>
  </si>
  <si>
    <t>13. quality index additional  IQ6</t>
  </si>
  <si>
    <t xml:space="preserve">BONUS for additional voluntary add-on </t>
  </si>
  <si>
    <t>FIRST TYPE OF SERVICES - MANDATORY</t>
  </si>
  <si>
    <t>SECOND TYPE OF SERVICES -OPTIONAL</t>
  </si>
  <si>
    <t>GLOBAL SCORE</t>
  </si>
  <si>
    <t xml:space="preserve"> MONETARY BID</t>
  </si>
  <si>
    <t>total score</t>
  </si>
  <si>
    <t>SECOND TYPE OF SERVICES -ON DEMAND</t>
  </si>
  <si>
    <t>MANDATORY SERVICES SCORE</t>
  </si>
  <si>
    <t>BIDDER</t>
  </si>
  <si>
    <t>TOTAL COST</t>
  </si>
  <si>
    <t>MANDATORY SERVICES COST</t>
  </si>
  <si>
    <t>ON-DEMAND SERVICES COST</t>
  </si>
  <si>
    <t>MANDATORY SERVICES DISCOUNT</t>
  </si>
  <si>
    <t>ON-DEMAND SERVICES DISCOUNT</t>
  </si>
  <si>
    <t>COST of M.AD</t>
  </si>
  <si>
    <t>COST of M.AC</t>
  </si>
  <si>
    <t>cost of  SUP</t>
  </si>
  <si>
    <t>safety costs</t>
  </si>
  <si>
    <t>deviation for mandatory services</t>
  </si>
  <si>
    <t>deviation for on demand services</t>
  </si>
  <si>
    <t>total deviation</t>
  </si>
  <si>
    <t>score</t>
  </si>
  <si>
    <t>weight</t>
  </si>
  <si>
    <t>EVALUATOR 1</t>
  </si>
  <si>
    <t>EVALUATOR 2</t>
  </si>
  <si>
    <t xml:space="preserve">COST OF A SINGLE function point </t>
  </si>
  <si>
    <t>ON-DEMAND SERVICES SCORE</t>
  </si>
  <si>
    <t>bidders</t>
  </si>
  <si>
    <t>TenderLot n Participant 1</t>
  </si>
  <si>
    <t>TenderLot n Participant 2</t>
  </si>
  <si>
    <t>TenderLot n Participant 3</t>
  </si>
  <si>
    <t xml:space="preserve"> TenderLot n Participant 4</t>
  </si>
  <si>
    <t>TenderLot n Participant 5</t>
  </si>
  <si>
    <t>TenderLot n Participant 6</t>
  </si>
  <si>
    <t xml:space="preserve"> TenderLot n Participant 7</t>
  </si>
  <si>
    <t>TenderLot n Participant 8</t>
  </si>
  <si>
    <t>TenderLot n Participant 9</t>
  </si>
  <si>
    <t>TenderLot n Participant 10</t>
  </si>
  <si>
    <t>Quality Dimension for Lot n - Award Criterion and score per tender lot - TOTAL SCORE - SIMPLE</t>
  </si>
  <si>
    <t>Price Dimension - TOTAL SCORE - SIMPLE</t>
  </si>
  <si>
    <t xml:space="preserve">A dimension is a parent criterion grouping subcriteria of the same nature. In this solution, for the award criteria there are only two dimensions covered: the quality dimension and the price dimension. </t>
  </si>
  <si>
    <t>C1</t>
  </si>
  <si>
    <t>E1</t>
  </si>
  <si>
    <t>C7</t>
  </si>
  <si>
    <t>C8</t>
  </si>
  <si>
    <t>C9</t>
  </si>
  <si>
    <t>C10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</si>
</sst>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quot;€&quot;\ * #,##0.00_-;\-&quot;€&quot;\ * #,##0.00_-;_-&quot;€&quot;\ * &quot;-&quot;??_-;_-@_-"/>
    <numFmt numFmtId="165" formatCode="_-* #,##0_-;\-* #,##0_-;_-* &quot;-&quot;??_-;_-@_-"/>
    <numFmt numFmtId="166" formatCode="0.000%"/>
    <numFmt numFmtId="167" formatCode="0.000"/>
  </numFmts>
  <fonts count="29" x14ac:knownFonts="1">
    <font>
      <sz val="11"/>
      <color theme="1"/>
      <name val="Calibri"/>
      <family val="2"/>
      <scheme val="minor"/>
    </font>
    <font>
      <b/>
      <sz val="11"/>
      <color theme="0"/>
      <name val="Calibri"/>
      <family val="2"/>
      <scheme val="minor"/>
    </font>
    <font>
      <sz val="11"/>
      <color theme="0"/>
      <name val="Calibri"/>
      <family val="2"/>
      <scheme val="minor"/>
    </font>
    <font>
      <i/>
      <sz val="11"/>
      <color theme="4" tint="-0.249977111117893"/>
      <name val="Calibri"/>
      <family val="2"/>
      <scheme val="minor"/>
    </font>
    <font>
      <b/>
      <i/>
      <sz val="11"/>
      <color theme="4" tint="-0.249977111117893"/>
      <name val="Calibri"/>
      <family val="2"/>
      <scheme val="minor"/>
    </font>
    <font>
      <b/>
      <sz val="22"/>
      <color theme="4" tint="-0.249977111117893"/>
      <name val="Calibri"/>
      <family val="2"/>
      <scheme val="minor"/>
    </font>
    <font>
      <b/>
      <sz val="10"/>
      <color theme="0"/>
      <name val="Calibri"/>
      <family val="2"/>
      <scheme val="minor"/>
    </font>
    <font>
      <b/>
      <sz val="11"/>
      <color theme="4" tint="-0.249977111117893"/>
      <name val="Calibri"/>
      <family val="2"/>
      <scheme val="minor"/>
    </font>
    <font>
      <sz val="11"/>
      <color theme="4" tint="-0.249977111117893"/>
      <name val="Calibri"/>
      <family val="2"/>
      <scheme val="minor"/>
    </font>
    <font>
      <sz val="10"/>
      <color theme="9" tint="-0.249977111117893"/>
      <name val="Calibri"/>
      <family val="2"/>
      <scheme val="minor"/>
    </font>
    <font>
      <sz val="11"/>
      <name val="Calibri"/>
      <family val="2"/>
      <scheme val="minor"/>
    </font>
    <font>
      <b/>
      <sz val="11"/>
      <name val="Calibri"/>
      <family val="2"/>
      <scheme val="minor"/>
    </font>
    <font>
      <b/>
      <sz val="36"/>
      <color theme="1"/>
      <name val="Calibri"/>
      <family val="2"/>
      <scheme val="minor"/>
    </font>
    <font>
      <sz val="11"/>
      <color theme="4" tint="-0.249977111117893"/>
      <name val="Calibri"/>
      <family val="2"/>
    </font>
    <font>
      <i/>
      <sz val="11"/>
      <color theme="4" tint="-0.249977111117893"/>
      <name val="Calibri"/>
      <family val="2"/>
    </font>
    <font>
      <b/>
      <sz val="11"/>
      <color theme="9" tint="-0.249977111117893"/>
      <name val="Calibri"/>
      <family val="2"/>
      <scheme val="minor"/>
    </font>
    <font>
      <i/>
      <sz val="10"/>
      <color theme="4" tint="-0.249977111117893"/>
      <name val="Calibri"/>
      <family val="2"/>
      <scheme val="minor"/>
    </font>
    <font>
      <b/>
      <i/>
      <sz val="22"/>
      <color theme="4" tint="-0.249977111117893"/>
      <name val="Calibri"/>
      <family val="2"/>
      <scheme val="minor"/>
    </font>
    <font>
      <b/>
      <i/>
      <sz val="11"/>
      <color theme="4" tint="0.39997558519241921"/>
      <name val="Calibri"/>
      <family val="2"/>
      <scheme val="minor"/>
    </font>
    <font>
      <sz val="10"/>
      <color theme="4" tint="-0.249977111117893"/>
      <name val="Calibri"/>
      <family val="2"/>
      <scheme val="minor"/>
    </font>
    <font>
      <sz val="11"/>
      <color theme="1"/>
      <name val="Calibri"/>
      <family val="2"/>
      <scheme val="minor"/>
    </font>
    <font>
      <sz val="11"/>
      <color rgb="FFFF0000"/>
      <name val="Calibri"/>
      <family val="2"/>
      <scheme val="minor"/>
    </font>
    <font>
      <sz val="9"/>
      <color rgb="FF2E8B57"/>
      <name val="Courier New"/>
      <family val="3"/>
    </font>
    <font>
      <sz val="10"/>
      <name val="Calibri"/>
      <family val="2"/>
      <scheme val="minor"/>
    </font>
    <font>
      <b/>
      <sz val="11"/>
      <color theme="1"/>
      <name val="Calibri"/>
      <family val="2"/>
      <scheme val="minor"/>
    </font>
    <font>
      <b/>
      <sz val="12"/>
      <name val="Calibri"/>
      <family val="2"/>
      <scheme val="minor"/>
    </font>
    <font>
      <sz val="12"/>
      <color theme="1"/>
      <name val="Calibri"/>
      <family val="2"/>
      <scheme val="minor"/>
    </font>
    <font>
      <b/>
      <sz val="10"/>
      <name val="Calibri"/>
      <family val="2"/>
      <scheme val="minor"/>
    </font>
    <font>
      <sz val="8"/>
      <name val="Calibri"/>
      <family val="2"/>
      <scheme val="minor"/>
    </font>
  </fonts>
  <fills count="15">
    <fill>
      <patternFill patternType="none"/>
    </fill>
    <fill>
      <patternFill patternType="gray125"/>
    </fill>
    <fill>
      <patternFill patternType="solid">
        <fgColor theme="0" tint="-4.9989318521683403E-2"/>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rgb="FF92D05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s>
  <borders count="38">
    <border>
      <left/>
      <right/>
      <top/>
      <bottom/>
      <diagonal/>
    </border>
    <border>
      <left style="medium">
        <color theme="4" tint="0.39994506668294322"/>
      </left>
      <right/>
      <top style="medium">
        <color theme="4" tint="0.39994506668294322"/>
      </top>
      <bottom/>
      <diagonal/>
    </border>
    <border>
      <left style="medium">
        <color theme="4" tint="0.39994506668294322"/>
      </left>
      <right/>
      <top/>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right/>
      <top/>
      <bottom style="thin">
        <color auto="1"/>
      </bottom>
      <diagonal/>
    </border>
    <border>
      <left style="thin">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diagonal/>
    </border>
    <border>
      <left/>
      <right style="thin">
        <color theme="4" tint="0.39994506668294322"/>
      </right>
      <top/>
      <bottom/>
      <diagonal/>
    </border>
    <border>
      <left style="thin">
        <color theme="4" tint="0.39994506668294322"/>
      </left>
      <right/>
      <top/>
      <bottom style="thin">
        <color theme="4" tint="0.39994506668294322"/>
      </bottom>
      <diagonal/>
    </border>
    <border>
      <left/>
      <right/>
      <top style="thick">
        <color auto="1"/>
      </top>
      <bottom/>
      <diagonal/>
    </border>
    <border>
      <left style="thin">
        <color auto="1"/>
      </left>
      <right style="hair">
        <color auto="1"/>
      </right>
      <top style="thin">
        <color auto="1"/>
      </top>
      <bottom/>
      <diagonal/>
    </border>
    <border>
      <left style="hair">
        <color auto="1"/>
      </left>
      <right style="thin">
        <color auto="1"/>
      </right>
      <top style="thin">
        <color auto="1"/>
      </top>
      <bottom/>
      <diagonal/>
    </border>
    <border>
      <left style="thin">
        <color indexed="64"/>
      </left>
      <right/>
      <top style="thick">
        <color auto="1"/>
      </top>
      <bottom/>
      <diagonal/>
    </border>
    <border>
      <left style="thin">
        <color auto="1"/>
      </left>
      <right style="hair">
        <color auto="1"/>
      </right>
      <top style="thick">
        <color auto="1"/>
      </top>
      <bottom style="thin">
        <color auto="1"/>
      </bottom>
      <diagonal/>
    </border>
    <border>
      <left style="hair">
        <color auto="1"/>
      </left>
      <right style="thin">
        <color auto="1"/>
      </right>
      <top style="thick">
        <color auto="1"/>
      </top>
      <bottom style="thin">
        <color auto="1"/>
      </bottom>
      <diagonal/>
    </border>
    <border>
      <left style="thin">
        <color auto="1"/>
      </left>
      <right/>
      <top style="thin">
        <color auto="1"/>
      </top>
      <bottom style="thin">
        <color auto="1"/>
      </bottom>
      <diagonal/>
    </border>
    <border>
      <left style="thin">
        <color auto="1"/>
      </left>
      <right style="hair">
        <color auto="1"/>
      </right>
      <top/>
      <bottom/>
      <diagonal/>
    </border>
    <border>
      <left style="hair">
        <color auto="1"/>
      </left>
      <right style="thin">
        <color auto="1"/>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4" tint="0.39991454817346722"/>
      </left>
      <right style="thin">
        <color theme="4" tint="0.39988402966399123"/>
      </right>
      <top style="thin">
        <color theme="4" tint="0.39991454817346722"/>
      </top>
      <bottom style="thin">
        <color theme="4" tint="0.399914548173467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auto="1"/>
      </bottom>
      <diagonal/>
    </border>
    <border>
      <left style="thin">
        <color theme="4" tint="-0.24994659260841701"/>
      </left>
      <right style="thin">
        <color theme="4" tint="-0.24994659260841701"/>
      </right>
      <top style="thin">
        <color theme="4" tint="-0.24994659260841701"/>
      </top>
      <bottom/>
      <diagonal/>
    </border>
  </borders>
  <cellStyleXfs count="4">
    <xf numFmtId="0" fontId="0" fillId="0" borderId="0"/>
    <xf numFmtId="43" fontId="20" fillId="0" borderId="0" applyFont="0" applyFill="0" applyBorder="0" applyAlignment="0" applyProtection="0"/>
    <xf numFmtId="164" fontId="20" fillId="0" borderId="0" applyFont="0" applyFill="0" applyBorder="0" applyAlignment="0" applyProtection="0"/>
    <xf numFmtId="9" fontId="20" fillId="0" borderId="0" applyFont="0" applyFill="0" applyBorder="0" applyAlignment="0" applyProtection="0"/>
  </cellStyleXfs>
  <cellXfs count="222">
    <xf numFmtId="0" fontId="0" fillId="0" borderId="0" xfId="0"/>
    <xf numFmtId="0" fontId="1" fillId="3" borderId="0" xfId="0" applyFont="1" applyFill="1" applyAlignment="1">
      <alignment horizontal="center"/>
    </xf>
    <xf numFmtId="0" fontId="0" fillId="2" borderId="1" xfId="0" applyFill="1" applyBorder="1"/>
    <xf numFmtId="0" fontId="0" fillId="2" borderId="2" xfId="0" applyFill="1" applyBorder="1"/>
    <xf numFmtId="0" fontId="0" fillId="2" borderId="0" xfId="0" applyFill="1" applyBorder="1"/>
    <xf numFmtId="0" fontId="2" fillId="4" borderId="0" xfId="0" applyFont="1" applyFill="1"/>
    <xf numFmtId="0" fontId="0" fillId="0" borderId="0" xfId="0" applyBorder="1"/>
    <xf numFmtId="0" fontId="0" fillId="0" borderId="0" xfId="0" applyAlignment="1">
      <alignment horizontal="center"/>
    </xf>
    <xf numFmtId="0" fontId="6" fillId="4" borderId="0" xfId="0" applyFont="1" applyFill="1"/>
    <xf numFmtId="0" fontId="0" fillId="0" borderId="0" xfId="0" applyFill="1" applyBorder="1"/>
    <xf numFmtId="0" fontId="0" fillId="0" borderId="5" xfId="0" applyBorder="1" applyAlignment="1">
      <alignment horizontal="center"/>
    </xf>
    <xf numFmtId="0" fontId="0" fillId="2" borderId="6" xfId="0" applyFill="1" applyBorder="1"/>
    <xf numFmtId="0" fontId="10" fillId="0" borderId="0" xfId="0" applyFont="1" applyFill="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2" borderId="10" xfId="0" applyFill="1" applyBorder="1" applyAlignment="1">
      <alignment horizontal="center"/>
    </xf>
    <xf numFmtId="0" fontId="11" fillId="0" borderId="11" xfId="0" applyFont="1" applyFill="1" applyBorder="1"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13" xfId="0" applyBorder="1" applyAlignment="1">
      <alignment horizontal="center"/>
    </xf>
    <xf numFmtId="0" fontId="0" fillId="0" borderId="11" xfId="0" applyBorder="1" applyAlignment="1">
      <alignment horizontal="center"/>
    </xf>
    <xf numFmtId="0" fontId="8" fillId="0" borderId="0" xfId="0" applyFont="1"/>
    <xf numFmtId="0" fontId="0" fillId="4" borderId="0" xfId="0" applyFill="1" applyAlignment="1">
      <alignment horizontal="center"/>
    </xf>
    <xf numFmtId="0" fontId="15" fillId="6" borderId="0" xfId="0" applyFont="1" applyFill="1" applyAlignment="1">
      <alignment horizontal="center"/>
    </xf>
    <xf numFmtId="0" fontId="6" fillId="4" borderId="0" xfId="0" applyFont="1" applyFill="1" applyAlignment="1">
      <alignment horizontal="left"/>
    </xf>
    <xf numFmtId="0" fontId="16" fillId="0" borderId="0" xfId="0" applyFont="1"/>
    <xf numFmtId="0" fontId="0" fillId="2" borderId="6" xfId="0" applyNumberFormat="1" applyFill="1" applyBorder="1" applyAlignment="1">
      <alignment horizontal="center"/>
    </xf>
    <xf numFmtId="0" fontId="19" fillId="0" borderId="0" xfId="0" applyFont="1"/>
    <xf numFmtId="0" fontId="1" fillId="3" borderId="18" xfId="0" applyFont="1" applyFill="1" applyBorder="1" applyAlignment="1">
      <alignment horizontal="center"/>
    </xf>
    <xf numFmtId="0" fontId="1" fillId="3" borderId="20" xfId="0" applyFont="1" applyFill="1" applyBorder="1" applyAlignment="1">
      <alignment horizontal="center"/>
    </xf>
    <xf numFmtId="2" fontId="6" fillId="4" borderId="0" xfId="0" applyNumberFormat="1" applyFont="1" applyFill="1" applyAlignment="1">
      <alignment horizontal="center"/>
    </xf>
    <xf numFmtId="0" fontId="6" fillId="3" borderId="4" xfId="0" applyFont="1" applyFill="1" applyBorder="1" applyAlignment="1">
      <alignment horizontal="left"/>
    </xf>
    <xf numFmtId="0" fontId="9" fillId="7" borderId="4" xfId="0" applyFont="1" applyFill="1" applyBorder="1" applyAlignment="1">
      <alignment horizontal="center"/>
    </xf>
    <xf numFmtId="0" fontId="17" fillId="5" borderId="0" xfId="0" applyFont="1" applyFill="1"/>
    <xf numFmtId="0" fontId="0" fillId="5" borderId="0" xfId="0" applyFill="1" applyAlignment="1">
      <alignment horizontal="center"/>
    </xf>
    <xf numFmtId="0" fontId="0" fillId="5" borderId="0" xfId="0" applyFill="1"/>
    <xf numFmtId="0" fontId="5" fillId="5" borderId="0" xfId="0" applyFont="1" applyFill="1"/>
    <xf numFmtId="0" fontId="1" fillId="5" borderId="0" xfId="0" applyFont="1" applyFill="1" applyAlignment="1">
      <alignment horizontal="center"/>
    </xf>
    <xf numFmtId="0" fontId="3" fillId="3" borderId="0" xfId="0" applyFont="1" applyFill="1"/>
    <xf numFmtId="0" fontId="3" fillId="5" borderId="15" xfId="0" applyFont="1" applyFill="1" applyBorder="1" applyAlignment="1">
      <alignment horizontal="center"/>
    </xf>
    <xf numFmtId="0" fontId="3" fillId="5" borderId="16" xfId="0" applyFont="1" applyFill="1" applyBorder="1" applyAlignment="1">
      <alignment horizontal="center"/>
    </xf>
    <xf numFmtId="0" fontId="4" fillId="5" borderId="17" xfId="0" applyFont="1" applyFill="1" applyBorder="1" applyAlignment="1">
      <alignment horizontal="center"/>
    </xf>
    <xf numFmtId="2" fontId="8" fillId="5" borderId="0" xfId="0" applyNumberFormat="1" applyFont="1" applyFill="1" applyBorder="1" applyAlignment="1">
      <alignment horizontal="center"/>
    </xf>
    <xf numFmtId="0" fontId="8" fillId="5" borderId="0" xfId="0" applyFont="1" applyFill="1" applyBorder="1" applyAlignment="1">
      <alignment horizontal="center"/>
    </xf>
    <xf numFmtId="2" fontId="7" fillId="5" borderId="19" xfId="0" applyNumberFormat="1" applyFont="1" applyFill="1" applyBorder="1" applyAlignment="1">
      <alignment horizontal="center"/>
    </xf>
    <xf numFmtId="1" fontId="6" fillId="4" borderId="0" xfId="0" applyNumberFormat="1" applyFont="1" applyFill="1" applyAlignment="1">
      <alignment horizontal="center"/>
    </xf>
    <xf numFmtId="164" fontId="0" fillId="0" borderId="0" xfId="2" applyFont="1" applyAlignment="1">
      <alignment horizontal="center"/>
    </xf>
    <xf numFmtId="164" fontId="0" fillId="0" borderId="0" xfId="2" applyFont="1" applyBorder="1" applyAlignment="1">
      <alignment horizontal="center"/>
    </xf>
    <xf numFmtId="164" fontId="0" fillId="0" borderId="0" xfId="2" applyFont="1" applyFill="1" applyBorder="1" applyAlignment="1">
      <alignment horizontal="center"/>
    </xf>
    <xf numFmtId="164" fontId="0" fillId="0" borderId="8" xfId="2" applyFont="1" applyBorder="1" applyAlignment="1">
      <alignment horizontal="center"/>
    </xf>
    <xf numFmtId="164" fontId="0" fillId="0" borderId="9" xfId="2" applyFont="1" applyBorder="1" applyAlignment="1">
      <alignment horizontal="center"/>
    </xf>
    <xf numFmtId="164" fontId="0" fillId="2" borderId="6" xfId="2" applyFont="1" applyFill="1" applyBorder="1" applyAlignment="1">
      <alignment horizontal="center"/>
    </xf>
    <xf numFmtId="164" fontId="0" fillId="2" borderId="6" xfId="2" applyFont="1" applyFill="1" applyBorder="1"/>
    <xf numFmtId="164" fontId="0" fillId="0" borderId="13" xfId="2" applyFont="1" applyBorder="1" applyAlignment="1">
      <alignment horizontal="center"/>
    </xf>
    <xf numFmtId="164" fontId="0" fillId="8" borderId="6" xfId="2" applyFont="1" applyFill="1" applyBorder="1" applyAlignment="1">
      <alignment horizontal="center"/>
    </xf>
    <xf numFmtId="164" fontId="0" fillId="8" borderId="6" xfId="2" applyFont="1" applyFill="1" applyBorder="1"/>
    <xf numFmtId="0" fontId="0" fillId="8" borderId="6" xfId="0" applyNumberFormat="1" applyFill="1" applyBorder="1" applyAlignment="1">
      <alignment horizontal="center"/>
    </xf>
    <xf numFmtId="0" fontId="0" fillId="8" borderId="6" xfId="0" applyFill="1" applyBorder="1"/>
    <xf numFmtId="0" fontId="0" fillId="8" borderId="22" xfId="0" applyNumberFormat="1" applyFill="1" applyBorder="1" applyAlignment="1">
      <alignment horizontal="center"/>
    </xf>
    <xf numFmtId="0" fontId="0" fillId="8" borderId="22" xfId="0" applyFill="1" applyBorder="1"/>
    <xf numFmtId="0" fontId="0" fillId="0" borderId="24" xfId="0" applyBorder="1" applyAlignment="1">
      <alignment horizontal="center"/>
    </xf>
    <xf numFmtId="0" fontId="0" fillId="0" borderId="21" xfId="0" applyBorder="1"/>
    <xf numFmtId="0" fontId="0" fillId="9" borderId="25" xfId="0" applyNumberFormat="1" applyFill="1" applyBorder="1" applyAlignment="1">
      <alignment horizontal="center"/>
    </xf>
    <xf numFmtId="0" fontId="0" fillId="9" borderId="25" xfId="0" applyFill="1" applyBorder="1"/>
    <xf numFmtId="0" fontId="0" fillId="9" borderId="6" xfId="0" applyNumberFormat="1" applyFill="1" applyBorder="1" applyAlignment="1">
      <alignment horizontal="center"/>
    </xf>
    <xf numFmtId="0" fontId="0" fillId="9" borderId="6" xfId="0" applyFill="1" applyBorder="1"/>
    <xf numFmtId="0" fontId="0" fillId="9" borderId="22" xfId="0" applyNumberFormat="1" applyFill="1" applyBorder="1" applyAlignment="1">
      <alignment horizontal="center"/>
    </xf>
    <xf numFmtId="0" fontId="0" fillId="9" borderId="22" xfId="0" applyFill="1" applyBorder="1"/>
    <xf numFmtId="0" fontId="0" fillId="0" borderId="21" xfId="0" applyBorder="1" applyAlignment="1">
      <alignment horizontal="center"/>
    </xf>
    <xf numFmtId="0" fontId="0" fillId="8" borderId="25" xfId="0" applyNumberFormat="1" applyFill="1" applyBorder="1" applyAlignment="1">
      <alignment horizontal="center"/>
    </xf>
    <xf numFmtId="0" fontId="0" fillId="8" borderId="25" xfId="0" applyFill="1" applyBorder="1"/>
    <xf numFmtId="165" fontId="0" fillId="0" borderId="0" xfId="1" applyNumberFormat="1" applyFont="1" applyBorder="1" applyAlignment="1">
      <alignment horizontal="center"/>
    </xf>
    <xf numFmtId="165" fontId="0" fillId="8" borderId="7" xfId="1" applyNumberFormat="1" applyFont="1" applyFill="1" applyBorder="1" applyAlignment="1">
      <alignment horizontal="center"/>
    </xf>
    <xf numFmtId="165" fontId="0" fillId="2" borderId="7" xfId="1" applyNumberFormat="1" applyFont="1" applyFill="1" applyBorder="1" applyAlignment="1">
      <alignment horizontal="center"/>
    </xf>
    <xf numFmtId="165" fontId="0" fillId="8" borderId="23" xfId="1" applyNumberFormat="1" applyFont="1" applyFill="1" applyBorder="1" applyAlignment="1">
      <alignment horizontal="center"/>
    </xf>
    <xf numFmtId="165" fontId="0" fillId="9" borderId="26" xfId="1" applyNumberFormat="1" applyFont="1" applyFill="1" applyBorder="1" applyAlignment="1">
      <alignment horizontal="center"/>
    </xf>
    <xf numFmtId="165" fontId="0" fillId="9" borderId="7" xfId="1" applyNumberFormat="1" applyFont="1" applyFill="1" applyBorder="1" applyAlignment="1">
      <alignment horizontal="center"/>
    </xf>
    <xf numFmtId="165" fontId="0" fillId="9" borderId="23" xfId="1" applyNumberFormat="1" applyFont="1" applyFill="1" applyBorder="1" applyAlignment="1">
      <alignment horizontal="center"/>
    </xf>
    <xf numFmtId="165" fontId="0" fillId="8" borderId="26" xfId="1" applyNumberFormat="1" applyFont="1" applyFill="1" applyBorder="1" applyAlignment="1">
      <alignment horizontal="center"/>
    </xf>
    <xf numFmtId="165" fontId="0" fillId="0" borderId="0" xfId="1" applyNumberFormat="1" applyFont="1" applyFill="1"/>
    <xf numFmtId="165" fontId="0" fillId="8" borderId="7" xfId="1" applyNumberFormat="1" applyFont="1" applyFill="1" applyBorder="1"/>
    <xf numFmtId="165" fontId="0" fillId="2" borderId="7" xfId="1" applyNumberFormat="1" applyFont="1" applyFill="1" applyBorder="1"/>
    <xf numFmtId="165" fontId="0" fillId="8" borderId="23" xfId="1" applyNumberFormat="1" applyFont="1" applyFill="1" applyBorder="1"/>
    <xf numFmtId="165" fontId="0" fillId="9" borderId="26" xfId="1" applyNumberFormat="1" applyFont="1" applyFill="1" applyBorder="1"/>
    <xf numFmtId="165" fontId="0" fillId="9" borderId="7" xfId="1" applyNumberFormat="1" applyFont="1" applyFill="1" applyBorder="1"/>
    <xf numFmtId="165" fontId="0" fillId="9" borderId="23" xfId="1" applyNumberFormat="1" applyFont="1" applyFill="1" applyBorder="1"/>
    <xf numFmtId="165" fontId="0" fillId="8" borderId="26" xfId="1" applyNumberFormat="1" applyFont="1" applyFill="1" applyBorder="1"/>
    <xf numFmtId="165" fontId="0" fillId="0" borderId="0" xfId="1" applyNumberFormat="1" applyFont="1" applyBorder="1"/>
    <xf numFmtId="165" fontId="0" fillId="0" borderId="0" xfId="1" applyNumberFormat="1" applyFont="1" applyFill="1" applyBorder="1" applyAlignment="1">
      <alignment horizontal="center"/>
    </xf>
    <xf numFmtId="165" fontId="0" fillId="0" borderId="0" xfId="2" applyNumberFormat="1" applyFont="1" applyFill="1" applyBorder="1" applyAlignment="1">
      <alignment horizontal="center"/>
    </xf>
    <xf numFmtId="165" fontId="0" fillId="8" borderId="7" xfId="2" applyNumberFormat="1" applyFont="1" applyFill="1" applyBorder="1"/>
    <xf numFmtId="165" fontId="0" fillId="2" borderId="7" xfId="2" applyNumberFormat="1" applyFont="1" applyFill="1" applyBorder="1"/>
    <xf numFmtId="165" fontId="0" fillId="2" borderId="7" xfId="0" applyNumberFormat="1" applyFill="1" applyBorder="1"/>
    <xf numFmtId="165" fontId="0" fillId="8" borderId="7" xfId="0" applyNumberFormat="1" applyFill="1" applyBorder="1"/>
    <xf numFmtId="165" fontId="0" fillId="8" borderId="23" xfId="0" applyNumberFormat="1" applyFill="1" applyBorder="1"/>
    <xf numFmtId="165" fontId="0" fillId="9" borderId="26" xfId="0" applyNumberFormat="1" applyFill="1" applyBorder="1"/>
    <xf numFmtId="165" fontId="0" fillId="9" borderId="7" xfId="0" applyNumberFormat="1" applyFill="1" applyBorder="1"/>
    <xf numFmtId="165" fontId="0" fillId="9" borderId="23" xfId="0" applyNumberFormat="1" applyFill="1" applyBorder="1"/>
    <xf numFmtId="165" fontId="0" fillId="8" borderId="26" xfId="0" applyNumberFormat="1" applyFill="1" applyBorder="1"/>
    <xf numFmtId="165" fontId="0" fillId="0" borderId="0" xfId="0" applyNumberFormat="1" applyBorder="1"/>
    <xf numFmtId="165" fontId="0" fillId="0" borderId="0" xfId="0" applyNumberFormat="1"/>
    <xf numFmtId="165" fontId="0" fillId="0" borderId="0" xfId="2" applyNumberFormat="1" applyFont="1" applyAlignment="1">
      <alignment horizontal="center"/>
    </xf>
    <xf numFmtId="0" fontId="10" fillId="0" borderId="21" xfId="0" applyFont="1" applyBorder="1" applyAlignment="1">
      <alignment horizontal="center"/>
    </xf>
    <xf numFmtId="43" fontId="0" fillId="0" borderId="0" xfId="1" applyFont="1" applyBorder="1" applyAlignment="1">
      <alignment horizontal="center"/>
    </xf>
    <xf numFmtId="2" fontId="0" fillId="0" borderId="0" xfId="0" applyNumberFormat="1"/>
    <xf numFmtId="2" fontId="19" fillId="10" borderId="4" xfId="0" applyNumberFormat="1" applyFont="1" applyFill="1" applyBorder="1" applyAlignment="1" applyProtection="1">
      <alignment horizontal="center"/>
      <protection locked="0"/>
    </xf>
    <xf numFmtId="0" fontId="0" fillId="0" borderId="3" xfId="0" applyBorder="1" applyAlignment="1" applyProtection="1">
      <protection locked="0"/>
    </xf>
    <xf numFmtId="0" fontId="0" fillId="0" borderId="3" xfId="0" applyBorder="1" applyProtection="1">
      <protection locked="0"/>
    </xf>
    <xf numFmtId="0" fontId="21" fillId="0" borderId="0" xfId="0" applyFont="1"/>
    <xf numFmtId="2" fontId="22" fillId="0" borderId="0" xfId="0" applyNumberFormat="1" applyFont="1"/>
    <xf numFmtId="0" fontId="0" fillId="0" borderId="22" xfId="0" applyNumberFormat="1" applyFill="1" applyBorder="1" applyAlignment="1">
      <alignment horizontal="center"/>
    </xf>
    <xf numFmtId="165" fontId="0" fillId="0" borderId="23" xfId="1" applyNumberFormat="1" applyFont="1" applyFill="1" applyBorder="1" applyAlignment="1">
      <alignment horizontal="center"/>
    </xf>
    <xf numFmtId="0" fontId="0" fillId="0" borderId="22" xfId="0" applyFill="1" applyBorder="1"/>
    <xf numFmtId="165" fontId="0" fillId="0" borderId="23" xfId="1" applyNumberFormat="1" applyFont="1" applyFill="1" applyBorder="1"/>
    <xf numFmtId="165" fontId="0" fillId="0" borderId="23" xfId="0" applyNumberFormat="1" applyFill="1" applyBorder="1"/>
    <xf numFmtId="0" fontId="0" fillId="3" borderId="22" xfId="0" applyNumberFormat="1" applyFill="1" applyBorder="1" applyAlignment="1">
      <alignment horizontal="center"/>
    </xf>
    <xf numFmtId="165" fontId="0" fillId="3" borderId="23" xfId="1" applyNumberFormat="1" applyFont="1" applyFill="1" applyBorder="1" applyAlignment="1">
      <alignment horizontal="center"/>
    </xf>
    <xf numFmtId="0" fontId="0" fillId="3" borderId="22" xfId="0" applyFill="1" applyBorder="1"/>
    <xf numFmtId="165" fontId="0" fillId="3" borderId="23" xfId="1" applyNumberFormat="1" applyFont="1" applyFill="1" applyBorder="1"/>
    <xf numFmtId="165" fontId="0" fillId="3" borderId="23" xfId="0" applyNumberFormat="1" applyFill="1" applyBorder="1"/>
    <xf numFmtId="0" fontId="0" fillId="9" borderId="28" xfId="0" applyNumberFormat="1" applyFill="1" applyBorder="1" applyAlignment="1">
      <alignment horizontal="center"/>
    </xf>
    <xf numFmtId="165" fontId="0" fillId="9" borderId="29" xfId="1" applyNumberFormat="1" applyFont="1" applyFill="1" applyBorder="1" applyAlignment="1">
      <alignment horizontal="center"/>
    </xf>
    <xf numFmtId="0" fontId="0" fillId="9" borderId="28" xfId="0" applyFill="1" applyBorder="1"/>
    <xf numFmtId="165" fontId="0" fillId="9" borderId="29" xfId="1" applyNumberFormat="1" applyFont="1" applyFill="1" applyBorder="1"/>
    <xf numFmtId="165" fontId="0" fillId="9" borderId="29" xfId="0" applyNumberFormat="1" applyFill="1" applyBorder="1"/>
    <xf numFmtId="0" fontId="0" fillId="0" borderId="14" xfId="0" applyFill="1" applyBorder="1" applyAlignment="1">
      <alignment horizontal="center"/>
    </xf>
    <xf numFmtId="0" fontId="0" fillId="0" borderId="12" xfId="0" applyFill="1" applyBorder="1" applyAlignment="1">
      <alignment horizontal="center"/>
    </xf>
    <xf numFmtId="0" fontId="0" fillId="3" borderId="27" xfId="0" applyFill="1" applyBorder="1"/>
    <xf numFmtId="0" fontId="0" fillId="3" borderId="30" xfId="0" applyFill="1" applyBorder="1"/>
    <xf numFmtId="165" fontId="0" fillId="3" borderId="31" xfId="1" applyNumberFormat="1" applyFont="1" applyFill="1" applyBorder="1"/>
    <xf numFmtId="165" fontId="0" fillId="3" borderId="31" xfId="0" applyNumberFormat="1" applyFill="1" applyBorder="1"/>
    <xf numFmtId="2" fontId="23" fillId="11" borderId="4" xfId="0" applyNumberFormat="1" applyFont="1" applyFill="1" applyBorder="1" applyAlignment="1">
      <alignment horizontal="center"/>
    </xf>
    <xf numFmtId="0" fontId="0" fillId="0" borderId="32" xfId="0" applyBorder="1" applyAlignment="1" applyProtection="1">
      <protection locked="0"/>
    </xf>
    <xf numFmtId="0" fontId="0" fillId="0" borderId="32" xfId="0" applyBorder="1" applyProtection="1">
      <protection locked="0"/>
    </xf>
    <xf numFmtId="2" fontId="21" fillId="0" borderId="0" xfId="0" applyNumberFormat="1" applyFont="1"/>
    <xf numFmtId="0" fontId="24" fillId="0" borderId="27" xfId="0" applyFont="1" applyBorder="1" applyAlignment="1">
      <alignment horizontal="center" vertical="center"/>
    </xf>
    <xf numFmtId="0" fontId="24" fillId="0" borderId="30" xfId="0" applyFont="1" applyBorder="1" applyAlignment="1">
      <alignment horizontal="center" vertical="center"/>
    </xf>
    <xf numFmtId="167" fontId="24" fillId="0" borderId="30" xfId="0" applyNumberFormat="1" applyFont="1" applyBorder="1" applyAlignment="1">
      <alignment horizontal="center" vertical="center"/>
    </xf>
    <xf numFmtId="0" fontId="24" fillId="13" borderId="33" xfId="0" applyFont="1" applyFill="1" applyBorder="1" applyAlignment="1">
      <alignment horizontal="center" vertical="center"/>
    </xf>
    <xf numFmtId="0" fontId="24" fillId="0" borderId="0" xfId="0" applyFont="1" applyAlignment="1">
      <alignment horizontal="center" vertical="center"/>
    </xf>
    <xf numFmtId="0" fontId="24" fillId="0" borderId="8" xfId="0" applyFont="1" applyBorder="1" applyAlignment="1">
      <alignment horizontal="center" vertical="center"/>
    </xf>
    <xf numFmtId="166" fontId="0" fillId="0" borderId="9" xfId="0" applyNumberFormat="1" applyBorder="1"/>
    <xf numFmtId="0" fontId="0" fillId="0" borderId="9" xfId="0" applyBorder="1" applyAlignment="1">
      <alignment horizontal="center" vertical="center"/>
    </xf>
    <xf numFmtId="167" fontId="0" fillId="0" borderId="9" xfId="0" applyNumberFormat="1" applyBorder="1"/>
    <xf numFmtId="0" fontId="0" fillId="13" borderId="34" xfId="0" applyFill="1" applyBorder="1"/>
    <xf numFmtId="0" fontId="24" fillId="0" borderId="9" xfId="0" applyFont="1" applyBorder="1" applyAlignment="1">
      <alignment horizontal="center" vertical="center"/>
    </xf>
    <xf numFmtId="0" fontId="24" fillId="0" borderId="13" xfId="0" applyFont="1" applyBorder="1" applyAlignment="1">
      <alignment horizontal="center" vertical="center"/>
    </xf>
    <xf numFmtId="166" fontId="0" fillId="0" borderId="0" xfId="0" applyNumberFormat="1" applyBorder="1"/>
    <xf numFmtId="0" fontId="0" fillId="0" borderId="0" xfId="0" applyBorder="1" applyAlignment="1">
      <alignment horizontal="center" vertical="center"/>
    </xf>
    <xf numFmtId="167" fontId="0" fillId="0" borderId="0" xfId="0" applyNumberFormat="1" applyBorder="1"/>
    <xf numFmtId="0" fontId="0" fillId="13" borderId="35" xfId="0" applyFill="1" applyBorder="1"/>
    <xf numFmtId="0" fontId="24" fillId="0" borderId="11" xfId="0" applyFont="1" applyBorder="1" applyAlignment="1">
      <alignment horizontal="center" vertical="center"/>
    </xf>
    <xf numFmtId="166" fontId="0" fillId="0" borderId="5" xfId="0" applyNumberFormat="1" applyBorder="1"/>
    <xf numFmtId="0" fontId="0" fillId="0" borderId="5" xfId="0" applyBorder="1" applyAlignment="1">
      <alignment horizontal="center" vertical="center"/>
    </xf>
    <xf numFmtId="167" fontId="0" fillId="0" borderId="5" xfId="0" applyNumberFormat="1" applyBorder="1"/>
    <xf numFmtId="0" fontId="0" fillId="13" borderId="36" xfId="0" applyFill="1" applyBorder="1"/>
    <xf numFmtId="166" fontId="0" fillId="0" borderId="12" xfId="0" applyNumberFormat="1" applyBorder="1"/>
    <xf numFmtId="0" fontId="0" fillId="13" borderId="5" xfId="0" applyFill="1" applyBorder="1" applyAlignment="1">
      <alignment horizontal="center" vertical="center"/>
    </xf>
    <xf numFmtId="167" fontId="0" fillId="13" borderId="5" xfId="0" applyNumberFormat="1" applyFill="1" applyBorder="1"/>
    <xf numFmtId="2" fontId="0" fillId="13" borderId="5" xfId="0" applyNumberFormat="1" applyFill="1" applyBorder="1"/>
    <xf numFmtId="166" fontId="0" fillId="0" borderId="0" xfId="0" applyNumberFormat="1"/>
    <xf numFmtId="0" fontId="0" fillId="0" borderId="0" xfId="0" applyAlignment="1">
      <alignment horizontal="center" vertical="center"/>
    </xf>
    <xf numFmtId="167" fontId="0" fillId="0" borderId="0" xfId="0" applyNumberFormat="1"/>
    <xf numFmtId="2" fontId="23" fillId="0" borderId="4" xfId="0" applyNumberFormat="1" applyFont="1" applyFill="1" applyBorder="1" applyAlignment="1">
      <alignment horizontal="center"/>
    </xf>
    <xf numFmtId="0" fontId="6" fillId="3" borderId="37" xfId="0" applyFont="1" applyFill="1" applyBorder="1" applyAlignment="1">
      <alignment horizontal="left"/>
    </xf>
    <xf numFmtId="0" fontId="9" fillId="7" borderId="37" xfId="0" applyFont="1" applyFill="1" applyBorder="1" applyAlignment="1">
      <alignment horizontal="center"/>
    </xf>
    <xf numFmtId="0" fontId="25" fillId="12" borderId="33" xfId="0" applyFont="1" applyFill="1" applyBorder="1" applyAlignment="1">
      <alignment horizontal="left" vertical="center"/>
    </xf>
    <xf numFmtId="1" fontId="25" fillId="12" borderId="33" xfId="0" applyNumberFormat="1" applyFont="1" applyFill="1" applyBorder="1" applyAlignment="1">
      <alignment horizontal="center" vertical="center"/>
    </xf>
    <xf numFmtId="2" fontId="25" fillId="12" borderId="33" xfId="0" applyNumberFormat="1" applyFont="1" applyFill="1" applyBorder="1" applyAlignment="1">
      <alignment horizontal="center" vertical="center"/>
    </xf>
    <xf numFmtId="0" fontId="26" fillId="0" borderId="0" xfId="0" applyFont="1" applyAlignment="1">
      <alignment horizontal="center" vertical="center"/>
    </xf>
    <xf numFmtId="0" fontId="1" fillId="3" borderId="33" xfId="0" applyFont="1" applyFill="1" applyBorder="1" applyAlignment="1">
      <alignment horizontal="center"/>
    </xf>
    <xf numFmtId="0" fontId="0" fillId="0" borderId="0" xfId="0" applyAlignment="1">
      <alignment horizontal="center" vertical="center" textRotation="90"/>
    </xf>
    <xf numFmtId="0" fontId="11" fillId="12" borderId="33" xfId="0" applyFont="1" applyFill="1" applyBorder="1" applyAlignment="1">
      <alignment horizontal="center" vertical="center" textRotation="90"/>
    </xf>
    <xf numFmtId="2" fontId="21" fillId="0" borderId="0" xfId="0" applyNumberFormat="1" applyFont="1" applyAlignment="1">
      <alignment horizontal="center" vertical="center" textRotation="90"/>
    </xf>
    <xf numFmtId="0" fontId="24" fillId="0" borderId="0" xfId="0" applyFont="1" applyAlignment="1">
      <alignment horizontal="center" wrapText="1"/>
    </xf>
    <xf numFmtId="0" fontId="0" fillId="12" borderId="33" xfId="0" applyFill="1" applyBorder="1" applyAlignment="1">
      <alignment vertical="center"/>
    </xf>
    <xf numFmtId="0" fontId="0" fillId="0" borderId="0" xfId="0" applyAlignment="1">
      <alignment vertical="center"/>
    </xf>
    <xf numFmtId="0" fontId="24" fillId="0" borderId="33" xfId="0" applyFont="1" applyBorder="1" applyAlignment="1">
      <alignment horizontal="center" vertical="center" wrapText="1"/>
    </xf>
    <xf numFmtId="0" fontId="24" fillId="12" borderId="33" xfId="0" applyFont="1" applyFill="1" applyBorder="1" applyAlignment="1">
      <alignment horizontal="center" vertical="center" wrapText="1"/>
    </xf>
    <xf numFmtId="0" fontId="24" fillId="0" borderId="36" xfId="0" applyFont="1" applyBorder="1" applyAlignment="1">
      <alignment horizontal="center" vertical="center"/>
    </xf>
    <xf numFmtId="10" fontId="0" fillId="0" borderId="0" xfId="3" applyNumberFormat="1" applyFont="1"/>
    <xf numFmtId="10" fontId="0" fillId="0" borderId="33" xfId="3" applyNumberFormat="1" applyFont="1" applyBorder="1"/>
    <xf numFmtId="0" fontId="0" fillId="13" borderId="0" xfId="0" applyFill="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24" fillId="0" borderId="0" xfId="0" applyFont="1" applyFill="1" applyBorder="1" applyAlignment="1">
      <alignment horizontal="center" vertical="center" wrapText="1"/>
    </xf>
    <xf numFmtId="2" fontId="0" fillId="0" borderId="0" xfId="0" applyNumberFormat="1" applyFill="1" applyBorder="1" applyAlignment="1">
      <alignment horizontal="center" vertical="center"/>
    </xf>
    <xf numFmtId="2" fontId="0" fillId="0" borderId="34" xfId="0" applyNumberFormat="1" applyBorder="1" applyAlignment="1">
      <alignment horizontal="center" vertical="center"/>
    </xf>
    <xf numFmtId="2" fontId="0" fillId="0" borderId="35" xfId="0" applyNumberFormat="1" applyBorder="1" applyAlignment="1">
      <alignment horizontal="center" vertical="center"/>
    </xf>
    <xf numFmtId="2" fontId="0" fillId="0" borderId="36" xfId="0" applyNumberFormat="1" applyBorder="1" applyAlignment="1">
      <alignment horizontal="center" vertical="center"/>
    </xf>
    <xf numFmtId="0" fontId="0" fillId="13" borderId="34" xfId="0" applyFill="1" applyBorder="1" applyAlignment="1">
      <alignment horizontal="center" vertical="center"/>
    </xf>
    <xf numFmtId="0" fontId="0" fillId="13" borderId="36" xfId="0" applyFill="1" applyBorder="1" applyAlignment="1">
      <alignment horizontal="center" vertical="center"/>
    </xf>
    <xf numFmtId="4" fontId="24" fillId="0" borderId="33" xfId="0" applyNumberFormat="1" applyFont="1" applyBorder="1" applyAlignment="1">
      <alignment horizontal="center" wrapText="1"/>
    </xf>
    <xf numFmtId="166" fontId="24" fillId="0" borderId="9" xfId="0" applyNumberFormat="1" applyFont="1" applyBorder="1" applyAlignment="1">
      <alignment horizontal="center" vertical="center"/>
    </xf>
    <xf numFmtId="166" fontId="0" fillId="0" borderId="14" xfId="0" applyNumberFormat="1" applyBorder="1"/>
    <xf numFmtId="167" fontId="24" fillId="0" borderId="9" xfId="0" applyNumberFormat="1" applyFont="1" applyBorder="1" applyAlignment="1">
      <alignment horizontal="center" vertical="center"/>
    </xf>
    <xf numFmtId="2" fontId="24" fillId="0" borderId="9" xfId="0" applyNumberFormat="1" applyFont="1" applyBorder="1" applyAlignment="1">
      <alignment horizontal="center" vertical="center" wrapText="1"/>
    </xf>
    <xf numFmtId="167" fontId="0" fillId="13" borderId="0" xfId="0" applyNumberFormat="1" applyFill="1" applyBorder="1"/>
    <xf numFmtId="2" fontId="0" fillId="13" borderId="0" xfId="0" applyNumberFormat="1" applyFill="1" applyBorder="1"/>
    <xf numFmtId="2" fontId="0" fillId="0" borderId="10" xfId="0" applyNumberFormat="1" applyBorder="1"/>
    <xf numFmtId="2" fontId="0" fillId="0" borderId="14" xfId="0" applyNumberFormat="1" applyBorder="1"/>
    <xf numFmtId="2" fontId="0" fillId="0" borderId="12" xfId="0" applyNumberFormat="1" applyBorder="1"/>
    <xf numFmtId="0" fontId="24" fillId="0" borderId="34" xfId="0" applyFont="1" applyBorder="1" applyAlignment="1">
      <alignment horizontal="center" vertical="center"/>
    </xf>
    <xf numFmtId="0" fontId="24" fillId="0" borderId="35" xfId="0" applyFont="1" applyBorder="1" applyAlignment="1">
      <alignment horizontal="center" vertical="center"/>
    </xf>
    <xf numFmtId="2" fontId="24" fillId="0" borderId="31" xfId="0" applyNumberFormat="1" applyFont="1" applyBorder="1" applyAlignment="1">
      <alignment horizontal="center" vertical="center" wrapText="1"/>
    </xf>
    <xf numFmtId="166" fontId="0" fillId="0" borderId="13" xfId="0" applyNumberFormat="1" applyBorder="1"/>
    <xf numFmtId="166" fontId="0" fillId="0" borderId="11" xfId="0" applyNumberFormat="1" applyBorder="1"/>
    <xf numFmtId="166" fontId="24" fillId="0" borderId="27" xfId="0" applyNumberFormat="1" applyFont="1" applyBorder="1" applyAlignment="1">
      <alignment horizontal="center" vertical="center"/>
    </xf>
    <xf numFmtId="4" fontId="24" fillId="14" borderId="33" xfId="0" applyNumberFormat="1" applyFont="1" applyFill="1" applyBorder="1" applyAlignment="1">
      <alignment horizontal="center" wrapText="1"/>
    </xf>
    <xf numFmtId="2" fontId="0" fillId="0" borderId="33" xfId="3" applyNumberFormat="1" applyFont="1" applyBorder="1"/>
    <xf numFmtId="0" fontId="0" fillId="0" borderId="0" xfId="0" applyAlignment="1">
      <alignment horizontal="center" vertical="center" wrapText="1"/>
    </xf>
    <xf numFmtId="0" fontId="18" fillId="0" borderId="0" xfId="0" applyFont="1" applyAlignment="1">
      <alignment horizontal="center"/>
    </xf>
    <xf numFmtId="0" fontId="27" fillId="0" borderId="33" xfId="0" applyFont="1" applyBorder="1" applyAlignment="1">
      <alignment horizontal="center" vertical="center" textRotation="90" wrapText="1"/>
    </xf>
    <xf numFmtId="164" fontId="5" fillId="0" borderId="14" xfId="2" applyFont="1" applyBorder="1" applyAlignment="1">
      <alignment horizontal="center" vertical="center" textRotation="90"/>
    </xf>
    <xf numFmtId="0" fontId="5" fillId="0" borderId="14" xfId="0" applyFont="1" applyBorder="1" applyAlignment="1">
      <alignment horizontal="center" vertical="center" textRotation="90"/>
    </xf>
    <xf numFmtId="0" fontId="12" fillId="0" borderId="14" xfId="0" applyFont="1" applyBorder="1" applyAlignment="1">
      <alignment horizontal="center"/>
    </xf>
    <xf numFmtId="0" fontId="24" fillId="12" borderId="27" xfId="0" applyFont="1" applyFill="1" applyBorder="1" applyAlignment="1">
      <alignment horizontal="center" vertical="center"/>
    </xf>
    <xf numFmtId="0" fontId="24" fillId="12" borderId="30" xfId="0" applyFont="1" applyFill="1" applyBorder="1" applyAlignment="1">
      <alignment horizontal="center" vertical="center"/>
    </xf>
    <xf numFmtId="0" fontId="24" fillId="12" borderId="34" xfId="0" applyFont="1" applyFill="1" applyBorder="1" applyAlignment="1">
      <alignment horizontal="center" vertical="center" wrapText="1"/>
    </xf>
    <xf numFmtId="0" fontId="24" fillId="12" borderId="36" xfId="0" applyFont="1" applyFill="1" applyBorder="1" applyAlignment="1">
      <alignment horizontal="center" vertical="center" wrapText="1"/>
    </xf>
    <xf numFmtId="10" fontId="24" fillId="12" borderId="34" xfId="3" applyNumberFormat="1" applyFont="1" applyFill="1" applyBorder="1" applyAlignment="1">
      <alignment horizontal="center" vertical="center" wrapText="1"/>
    </xf>
    <xf numFmtId="10" fontId="24" fillId="12" borderId="36" xfId="3" applyNumberFormat="1" applyFont="1" applyFill="1" applyBorder="1" applyAlignment="1">
      <alignment horizontal="center" vertical="center" wrapText="1"/>
    </xf>
  </cellXfs>
  <cellStyles count="4">
    <cellStyle name="Millares" xfId="1" builtinId="3"/>
    <cellStyle name="Moneda" xfId="2" builtinId="4"/>
    <cellStyle name="Normal" xfId="0" builtinId="0"/>
    <cellStyle name="Porcentaje" xfId="3" builtinId="5"/>
  </cellStyles>
  <dxfs count="68">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dimension ref="A1:AC48"/>
  <sheetViews>
    <sheetView showGridLines="0" workbookViewId="0">
      <selection activeCell="A19" sqref="A19"/>
    </sheetView>
  </sheetViews>
  <sheetFormatPr baseColWidth="10" defaultColWidth="8.83203125" defaultRowHeight="15" outlineLevelRow="2" x14ac:dyDescent="0.2"/>
  <cols>
    <col min="1" max="1" width="94.6640625" customWidth="1"/>
    <col min="2" max="2" width="6" customWidth="1"/>
    <col min="3" max="3" width="10.1640625" customWidth="1"/>
    <col min="4" max="4" width="8.33203125" customWidth="1"/>
    <col min="5" max="5" width="7.5" customWidth="1"/>
    <col min="6" max="12" width="6.33203125" customWidth="1"/>
  </cols>
  <sheetData>
    <row r="1" spans="1:29" x14ac:dyDescent="0.2">
      <c r="C1" s="211"/>
      <c r="D1" s="211"/>
      <c r="E1" s="211"/>
      <c r="F1" s="211"/>
      <c r="G1" s="211"/>
      <c r="H1" s="211"/>
      <c r="I1" s="211"/>
      <c r="J1" s="211"/>
      <c r="K1" s="211"/>
      <c r="L1" s="211"/>
    </row>
    <row r="2" spans="1:29" x14ac:dyDescent="0.2">
      <c r="C2" s="211" t="s">
        <v>223</v>
      </c>
      <c r="D2" s="211"/>
      <c r="E2" s="211"/>
      <c r="F2" s="211"/>
      <c r="G2" s="211"/>
      <c r="H2" s="211"/>
      <c r="I2" s="211"/>
      <c r="J2" s="211"/>
      <c r="K2" s="211"/>
      <c r="L2" s="211"/>
    </row>
    <row r="3" spans="1:29" x14ac:dyDescent="0.2">
      <c r="B3" s="212" t="s">
        <v>177</v>
      </c>
      <c r="C3" s="170" t="s">
        <v>1</v>
      </c>
      <c r="D3" s="170" t="s">
        <v>2</v>
      </c>
      <c r="E3" s="170" t="s">
        <v>3</v>
      </c>
      <c r="F3" s="170" t="s">
        <v>0</v>
      </c>
      <c r="G3" s="170" t="s">
        <v>4</v>
      </c>
      <c r="H3" s="170" t="s">
        <v>5</v>
      </c>
      <c r="I3" s="170" t="s">
        <v>6</v>
      </c>
      <c r="J3" s="170" t="s">
        <v>7</v>
      </c>
      <c r="K3" s="170" t="s">
        <v>8</v>
      </c>
      <c r="L3" s="170" t="s">
        <v>9</v>
      </c>
      <c r="M3" s="134"/>
    </row>
    <row r="4" spans="1:29" s="171" customFormat="1" ht="150" customHeight="1" x14ac:dyDescent="0.2">
      <c r="A4" s="210" t="s">
        <v>236</v>
      </c>
      <c r="B4" s="212"/>
      <c r="C4" s="172" t="s">
        <v>224</v>
      </c>
      <c r="D4" s="172" t="s">
        <v>225</v>
      </c>
      <c r="E4" s="172" t="s">
        <v>226</v>
      </c>
      <c r="F4" s="172" t="s">
        <v>227</v>
      </c>
      <c r="G4" s="172" t="s">
        <v>228</v>
      </c>
      <c r="H4" s="172" t="s">
        <v>229</v>
      </c>
      <c r="I4" s="172" t="s">
        <v>230</v>
      </c>
      <c r="J4" s="172" t="s">
        <v>231</v>
      </c>
      <c r="K4" s="172" t="s">
        <v>232</v>
      </c>
      <c r="L4" s="172" t="s">
        <v>233</v>
      </c>
      <c r="M4" s="173"/>
    </row>
    <row r="5" spans="1:29" x14ac:dyDescent="0.2">
      <c r="A5" s="8" t="s">
        <v>234</v>
      </c>
      <c r="B5" s="45">
        <f>SUM(B6:B24)</f>
        <v>60</v>
      </c>
      <c r="C5" s="30">
        <f>ROUND(SUM(C6:C24),2)</f>
        <v>51.41</v>
      </c>
      <c r="D5" s="30">
        <f t="shared" ref="D5:L5" si="0">ROUND(SUM(D6:D24),2)</f>
        <v>41</v>
      </c>
      <c r="E5" s="30">
        <f t="shared" si="0"/>
        <v>23.41</v>
      </c>
      <c r="F5" s="30">
        <f>ROUND(SUM(F6:F24),2)</f>
        <v>53.8</v>
      </c>
      <c r="G5" s="30">
        <f t="shared" si="0"/>
        <v>47.86</v>
      </c>
      <c r="H5" s="30">
        <f t="shared" si="0"/>
        <v>46.19</v>
      </c>
      <c r="I5" s="30">
        <f t="shared" si="0"/>
        <v>25.58</v>
      </c>
      <c r="J5" s="30">
        <f t="shared" si="0"/>
        <v>41.89</v>
      </c>
      <c r="K5" s="30">
        <f t="shared" si="0"/>
        <v>38.03</v>
      </c>
      <c r="L5" s="30">
        <f t="shared" si="0"/>
        <v>30.48</v>
      </c>
    </row>
    <row r="6" spans="1:29" outlineLevel="1" x14ac:dyDescent="0.2">
      <c r="A6" s="31" t="s">
        <v>178</v>
      </c>
      <c r="B6" s="32">
        <v>6</v>
      </c>
      <c r="C6" s="131">
        <f>'REPORTS PER EVALUATOR'!$G6</f>
        <v>3.380281690140845</v>
      </c>
      <c r="D6" s="131">
        <f>'REPORTS PER EVALUATOR'!$G7</f>
        <v>3.971830985915493</v>
      </c>
      <c r="E6" s="131">
        <f>'REPORTS PER EVALUATOR'!$G8</f>
        <v>0.3380281690140845</v>
      </c>
      <c r="F6" s="131">
        <f>'REPORTS PER EVALUATOR'!$G9</f>
        <v>6</v>
      </c>
      <c r="G6" s="131">
        <f>'REPORTS PER EVALUATOR'!$G10</f>
        <v>3.7183098591549291</v>
      </c>
      <c r="H6" s="131">
        <f>'REPORTS PER EVALUATOR'!$G11</f>
        <v>3.464788732394366</v>
      </c>
      <c r="I6" s="131">
        <f>'REPORTS PER EVALUATOR'!$G12</f>
        <v>1.0140845070422535</v>
      </c>
      <c r="J6" s="131">
        <f>'REPORTS PER EVALUATOR'!$G13</f>
        <v>3.971830985915493</v>
      </c>
      <c r="K6" s="131">
        <f>'REPORTS PER EVALUATOR'!$G14</f>
        <v>4.225352112676056</v>
      </c>
      <c r="L6" s="131">
        <f>'REPORTS PER EVALUATOR'!$G15</f>
        <v>0.676056338028169</v>
      </c>
    </row>
    <row r="7" spans="1:29" outlineLevel="1" x14ac:dyDescent="0.2">
      <c r="A7" s="31" t="s">
        <v>179</v>
      </c>
      <c r="B7" s="32">
        <v>3</v>
      </c>
      <c r="C7" s="131">
        <f>'REPORTS PER EVALUATOR'!$G18</f>
        <v>3</v>
      </c>
      <c r="D7" s="131">
        <f>'REPORTS PER EVALUATOR'!$G19</f>
        <v>1.4814814814814814</v>
      </c>
      <c r="E7" s="131">
        <f>'REPORTS PER EVALUATOR'!$G20</f>
        <v>7.407407407407407E-2</v>
      </c>
      <c r="F7" s="131">
        <f>'REPORTS PER EVALUATOR'!$G21</f>
        <v>2.4444444444444442</v>
      </c>
      <c r="G7" s="131">
        <f>'REPORTS PER EVALUATOR'!$G22</f>
        <v>2.6296296296296298</v>
      </c>
      <c r="H7" s="131">
        <f>'REPORTS PER EVALUATOR'!$G23</f>
        <v>1.5555555555555554</v>
      </c>
      <c r="I7" s="131">
        <f>'REPORTS PER EVALUATOR'!$G24</f>
        <v>0.81481481481481477</v>
      </c>
      <c r="J7" s="131">
        <f>'REPORTS PER EVALUATOR'!$G25</f>
        <v>1.2592592592592591</v>
      </c>
      <c r="K7" s="131">
        <f>'REPORTS PER EVALUATOR'!$G26</f>
        <v>0.62962962962962954</v>
      </c>
      <c r="L7" s="131">
        <f>'REPORTS PER EVALUATOR'!$G27</f>
        <v>0.51851851851851849</v>
      </c>
      <c r="P7" s="104"/>
    </row>
    <row r="8" spans="1:29" outlineLevel="2" x14ac:dyDescent="0.2">
      <c r="A8" s="31" t="s">
        <v>180</v>
      </c>
      <c r="B8" s="32">
        <v>3</v>
      </c>
      <c r="C8" s="131">
        <f>'REPORTS PER EVALUATOR'!$G30</f>
        <v>1.2467532467532467</v>
      </c>
      <c r="D8" s="131">
        <f>'REPORTS PER EVALUATOR'!$G31</f>
        <v>1.5584415584415583</v>
      </c>
      <c r="E8" s="131">
        <f>'REPORTS PER EVALUATOR'!$G32</f>
        <v>0.62337662337662336</v>
      </c>
      <c r="F8" s="131">
        <f>'REPORTS PER EVALUATOR'!$G33</f>
        <v>3</v>
      </c>
      <c r="G8" s="131">
        <f>'REPORTS PER EVALUATOR'!$G34</f>
        <v>1.0909090909090908</v>
      </c>
      <c r="H8" s="131">
        <f>'REPORTS PER EVALUATOR'!$G35</f>
        <v>2.2987012987012987</v>
      </c>
      <c r="I8" s="131">
        <f>'REPORTS PER EVALUATOR'!$G36</f>
        <v>0.89610389610389607</v>
      </c>
      <c r="J8" s="131">
        <f>'REPORTS PER EVALUATOR'!$G37</f>
        <v>0.5844155844155845</v>
      </c>
      <c r="K8" s="131">
        <f>'REPORTS PER EVALUATOR'!$G38</f>
        <v>2.4935064935064934</v>
      </c>
      <c r="L8" s="131">
        <f>'REPORTS PER EVALUATOR'!$G39</f>
        <v>0.46753246753246752</v>
      </c>
      <c r="O8" s="104"/>
      <c r="P8" s="104"/>
    </row>
    <row r="9" spans="1:29" outlineLevel="2" x14ac:dyDescent="0.2">
      <c r="A9" s="31" t="s">
        <v>181</v>
      </c>
      <c r="B9" s="32">
        <v>3</v>
      </c>
      <c r="C9" s="131">
        <f>'REPORTS PER EVALUATOR'!$G42</f>
        <v>2.4761904761904763</v>
      </c>
      <c r="D9" s="131">
        <f>'REPORTS PER EVALUATOR'!$G43</f>
        <v>1.2380952380952381</v>
      </c>
      <c r="E9" s="131">
        <f>'REPORTS PER EVALUATOR'!$G44</f>
        <v>0.95238095238095233</v>
      </c>
      <c r="F9" s="131">
        <f>'REPORTS PER EVALUATOR'!$G45</f>
        <v>2.4761904761904763</v>
      </c>
      <c r="G9" s="131">
        <f>'REPORTS PER EVALUATOR'!$G46</f>
        <v>1.6666666666666667</v>
      </c>
      <c r="H9" s="131">
        <f>'REPORTS PER EVALUATOR'!$G47</f>
        <v>3</v>
      </c>
      <c r="I9" s="131">
        <f>'REPORTS PER EVALUATOR'!$G48</f>
        <v>2.3333333333333335</v>
      </c>
      <c r="J9" s="131">
        <f>'REPORTS PER EVALUATOR'!$G49</f>
        <v>0.23809523809523808</v>
      </c>
      <c r="K9" s="131">
        <f>'REPORTS PER EVALUATOR'!$G50</f>
        <v>1.8095238095238093</v>
      </c>
      <c r="L9" s="131">
        <f>'REPORTS PER EVALUATOR'!$G51</f>
        <v>0.38095238095238093</v>
      </c>
      <c r="O9" s="104"/>
      <c r="P9" s="104"/>
    </row>
    <row r="10" spans="1:29" outlineLevel="1" x14ac:dyDescent="0.2">
      <c r="A10" s="31" t="s">
        <v>182</v>
      </c>
      <c r="B10" s="32">
        <v>4</v>
      </c>
      <c r="C10" s="131">
        <f>'REPORTS PER EVALUATOR'!$G54</f>
        <v>3.9344262295081966</v>
      </c>
      <c r="D10" s="131">
        <f>'REPORTS PER EVALUATOR'!$G55</f>
        <v>1.7704918032786885</v>
      </c>
      <c r="E10" s="131">
        <f>'REPORTS PER EVALUATOR'!$G56</f>
        <v>0</v>
      </c>
      <c r="F10" s="131">
        <f>'REPORTS PER EVALUATOR'!$G57</f>
        <v>4</v>
      </c>
      <c r="G10" s="131">
        <f>'REPORTS PER EVALUATOR'!$G58</f>
        <v>3.278688524590164</v>
      </c>
      <c r="H10" s="131">
        <f>'REPORTS PER EVALUATOR'!$G59</f>
        <v>3.4754098360655736</v>
      </c>
      <c r="I10" s="131">
        <f>'REPORTS PER EVALUATOR'!$G60</f>
        <v>0.98360655737704916</v>
      </c>
      <c r="J10" s="131">
        <f>'REPORTS PER EVALUATOR'!$G61</f>
        <v>2.098360655737705</v>
      </c>
      <c r="K10" s="131">
        <f>'REPORTS PER EVALUATOR'!$G62</f>
        <v>1.639344262295082</v>
      </c>
      <c r="L10" s="131">
        <f>'REPORTS PER EVALUATOR'!$G63</f>
        <v>1.5081967213114753</v>
      </c>
      <c r="O10" s="104"/>
      <c r="P10" s="109"/>
      <c r="Q10" s="109"/>
      <c r="R10" s="109"/>
      <c r="S10" s="109"/>
    </row>
    <row r="11" spans="1:29" outlineLevel="1" x14ac:dyDescent="0.2">
      <c r="A11" s="31" t="s">
        <v>183</v>
      </c>
      <c r="B11" s="32">
        <v>4</v>
      </c>
      <c r="C11" s="131">
        <f>'REPORTS PER EVALUATOR'!$G66</f>
        <v>4</v>
      </c>
      <c r="D11" s="131">
        <f>'REPORTS PER EVALUATOR'!$G67</f>
        <v>2.2950819672131146</v>
      </c>
      <c r="E11" s="131">
        <f>'REPORTS PER EVALUATOR'!$G68</f>
        <v>6.5573770491803282E-2</v>
      </c>
      <c r="F11" s="131">
        <f>'REPORTS PER EVALUATOR'!$G69</f>
        <v>3.0163934426229506</v>
      </c>
      <c r="G11" s="131">
        <f>'REPORTS PER EVALUATOR'!$G70</f>
        <v>3.4098360655737703</v>
      </c>
      <c r="H11" s="131">
        <f>'REPORTS PER EVALUATOR'!$G71</f>
        <v>3.4098360655737703</v>
      </c>
      <c r="I11" s="131">
        <f>'REPORTS PER EVALUATOR'!$G72</f>
        <v>0.45901639344262296</v>
      </c>
      <c r="J11" s="131">
        <f>'REPORTS PER EVALUATOR'!$G73</f>
        <v>2.6885245901639343</v>
      </c>
      <c r="K11" s="131">
        <f>'REPORTS PER EVALUATOR'!$G74</f>
        <v>1.5737704918032787</v>
      </c>
      <c r="L11" s="131">
        <f>'REPORTS PER EVALUATOR'!$G75</f>
        <v>2.557377049180328</v>
      </c>
      <c r="M11" s="27"/>
      <c r="O11" s="104"/>
      <c r="P11" s="104"/>
      <c r="T11" s="104"/>
      <c r="U11" s="104"/>
      <c r="V11" s="104"/>
      <c r="W11" s="104"/>
      <c r="X11" s="104"/>
      <c r="Y11" s="104"/>
      <c r="Z11" s="104"/>
      <c r="AA11" s="104"/>
      <c r="AB11" s="104"/>
      <c r="AC11" s="104"/>
    </row>
    <row r="12" spans="1:29" outlineLevel="1" x14ac:dyDescent="0.2">
      <c r="A12" s="31" t="s">
        <v>184</v>
      </c>
      <c r="B12" s="32">
        <v>4</v>
      </c>
      <c r="C12" s="131">
        <f>'REPORTS PER EVALUATOR'!$G78</f>
        <v>3.7142857142857144</v>
      </c>
      <c r="D12" s="131">
        <f>'REPORTS PER EVALUATOR'!$G79</f>
        <v>1.1428571428571428</v>
      </c>
      <c r="E12" s="131">
        <f>'REPORTS PER EVALUATOR'!$G80</f>
        <v>0.19047619047619047</v>
      </c>
      <c r="F12" s="131">
        <f>'REPORTS PER EVALUATOR'!$G81</f>
        <v>2.4285714285714284</v>
      </c>
      <c r="G12" s="131">
        <f>'REPORTS PER EVALUATOR'!$G82</f>
        <v>4</v>
      </c>
      <c r="H12" s="131">
        <f>'REPORTS PER EVALUATOR'!$G83</f>
        <v>2.8095238095238093</v>
      </c>
      <c r="I12" s="131">
        <f>'REPORTS PER EVALUATOR'!$G84</f>
        <v>0.90476190476190477</v>
      </c>
      <c r="J12" s="131">
        <f>'REPORTS PER EVALUATOR'!$G85</f>
        <v>1.3809523809523809</v>
      </c>
      <c r="K12" s="131">
        <f>'REPORTS PER EVALUATOR'!$G86</f>
        <v>0.90476190476190477</v>
      </c>
      <c r="L12" s="131">
        <f>'REPORTS PER EVALUATOR'!$G87</f>
        <v>1.2380952380952381</v>
      </c>
      <c r="M12" s="21"/>
    </row>
    <row r="13" spans="1:29" outlineLevel="1" x14ac:dyDescent="0.2">
      <c r="A13" s="31" t="s">
        <v>185</v>
      </c>
      <c r="B13" s="32">
        <v>4</v>
      </c>
      <c r="C13" s="131">
        <f>'REPORTS PER EVALUATOR'!$G90</f>
        <v>3.3513513513513513</v>
      </c>
      <c r="D13" s="131">
        <f>'REPORTS PER EVALUATOR'!$G91</f>
        <v>2</v>
      </c>
      <c r="E13" s="131">
        <f>'REPORTS PER EVALUATOR'!$G92</f>
        <v>1.6756756756756757</v>
      </c>
      <c r="F13" s="131">
        <f>'REPORTS PER EVALUATOR'!$G93</f>
        <v>4</v>
      </c>
      <c r="G13" s="131">
        <f>'REPORTS PER EVALUATOR'!$G94</f>
        <v>2.7567567567567566</v>
      </c>
      <c r="H13" s="131">
        <f>'REPORTS PER EVALUATOR'!$G95</f>
        <v>1.7837837837837838</v>
      </c>
      <c r="I13" s="131">
        <f>'REPORTS PER EVALUATOR'!$G96</f>
        <v>0</v>
      </c>
      <c r="J13" s="131">
        <f>'REPORTS PER EVALUATOR'!$G97</f>
        <v>3.2432432432432434</v>
      </c>
      <c r="K13" s="131">
        <f>'REPORTS PER EVALUATOR'!$G98</f>
        <v>1.2432432432432432</v>
      </c>
      <c r="L13" s="131">
        <f>'REPORTS PER EVALUATOR'!$G99</f>
        <v>2.810810810810811</v>
      </c>
      <c r="P13" s="109"/>
      <c r="Q13" s="109"/>
      <c r="R13" s="109"/>
      <c r="S13" s="109"/>
      <c r="T13" s="109"/>
    </row>
    <row r="14" spans="1:29" outlineLevel="1" x14ac:dyDescent="0.2">
      <c r="A14" s="31" t="s">
        <v>186</v>
      </c>
      <c r="B14" s="32">
        <v>4</v>
      </c>
      <c r="C14" s="131">
        <f>'REPORTS PER EVALUATOR'!$G102</f>
        <v>2.557377049180328</v>
      </c>
      <c r="D14" s="131">
        <f>'REPORTS PER EVALUATOR'!$G103</f>
        <v>2.2950819672131146</v>
      </c>
      <c r="E14" s="131">
        <f>'REPORTS PER EVALUATOR'!$G104</f>
        <v>2.819672131147541</v>
      </c>
      <c r="F14" s="131">
        <f>'REPORTS PER EVALUATOR'!$G105</f>
        <v>4</v>
      </c>
      <c r="G14" s="131">
        <f>'REPORTS PER EVALUATOR'!$G106</f>
        <v>2.7540983606557377</v>
      </c>
      <c r="H14" s="131">
        <f>'REPORTS PER EVALUATOR'!$G107</f>
        <v>2.0327868852459017</v>
      </c>
      <c r="I14" s="131">
        <f>'REPORTS PER EVALUATOR'!$G108</f>
        <v>0.19672131147540983</v>
      </c>
      <c r="J14" s="131">
        <f>'REPORTS PER EVALUATOR'!$G109</f>
        <v>3.6721311475409837</v>
      </c>
      <c r="K14" s="131">
        <f>'REPORTS PER EVALUATOR'!$G110</f>
        <v>0.45901639344262296</v>
      </c>
      <c r="L14" s="131">
        <f>'REPORTS PER EVALUATOR'!$G111</f>
        <v>1.5081967213114753</v>
      </c>
      <c r="M14" s="25"/>
    </row>
    <row r="15" spans="1:29" outlineLevel="1" x14ac:dyDescent="0.2">
      <c r="A15" s="31" t="s">
        <v>187</v>
      </c>
      <c r="B15" s="32">
        <v>4</v>
      </c>
      <c r="C15" s="131">
        <f>'REPORTS PER EVALUATOR'!$G114</f>
        <v>2.807017543859649</v>
      </c>
      <c r="D15" s="131">
        <f>'REPORTS PER EVALUATOR'!$G115</f>
        <v>2.2456140350877192</v>
      </c>
      <c r="E15" s="131">
        <f>'REPORTS PER EVALUATOR'!$G116</f>
        <v>0.42105263157894735</v>
      </c>
      <c r="F15" s="131">
        <f>'REPORTS PER EVALUATOR'!$G117</f>
        <v>2.807017543859649</v>
      </c>
      <c r="G15" s="131">
        <f>'REPORTS PER EVALUATOR'!$G118</f>
        <v>1.6140350877192982</v>
      </c>
      <c r="H15" s="131">
        <f>'REPORTS PER EVALUATOR'!$G119</f>
        <v>1.6140350877192982</v>
      </c>
      <c r="I15" s="131">
        <f>'REPORTS PER EVALUATOR'!$G120</f>
        <v>0.98245614035087714</v>
      </c>
      <c r="J15" s="131">
        <f>'REPORTS PER EVALUATOR'!$G121</f>
        <v>4</v>
      </c>
      <c r="K15" s="131">
        <f>'REPORTS PER EVALUATOR'!$G122</f>
        <v>3.3684210526315788</v>
      </c>
      <c r="L15" s="131">
        <f>'REPORTS PER EVALUATOR'!$G123</f>
        <v>1.1228070175438596</v>
      </c>
      <c r="M15" s="25"/>
    </row>
    <row r="16" spans="1:29" outlineLevel="1" x14ac:dyDescent="0.2">
      <c r="A16" s="31" t="s">
        <v>188</v>
      </c>
      <c r="B16" s="32">
        <v>3</v>
      </c>
      <c r="C16" s="131">
        <f>'REPORTS PER EVALUATOR'!$G126</f>
        <v>2.9375</v>
      </c>
      <c r="D16" s="131">
        <f>'REPORTS PER EVALUATOR'!$G127</f>
        <v>3</v>
      </c>
      <c r="E16" s="131">
        <f>'REPORTS PER EVALUATOR'!$G128</f>
        <v>1.25</v>
      </c>
      <c r="F16" s="131">
        <f>'REPORTS PER EVALUATOR'!$G129</f>
        <v>2.625</v>
      </c>
      <c r="G16" s="131">
        <f>'REPORTS PER EVALUATOR'!$G130</f>
        <v>2.9375</v>
      </c>
      <c r="H16" s="131">
        <f>'REPORTS PER EVALUATOR'!$G131</f>
        <v>2.75</v>
      </c>
      <c r="I16" s="131">
        <f>'REPORTS PER EVALUATOR'!$G132</f>
        <v>0</v>
      </c>
      <c r="J16" s="131">
        <f>'REPORTS PER EVALUATOR'!$G133</f>
        <v>1.75</v>
      </c>
      <c r="K16" s="131">
        <f>'REPORTS PER EVALUATOR'!$G134</f>
        <v>1.6875</v>
      </c>
      <c r="L16" s="131">
        <f>'REPORTS PER EVALUATOR'!$G135</f>
        <v>0.6875</v>
      </c>
      <c r="M16" s="25"/>
    </row>
    <row r="17" spans="1:16" outlineLevel="1" x14ac:dyDescent="0.2">
      <c r="A17" s="31" t="s">
        <v>189</v>
      </c>
      <c r="B17" s="32">
        <v>3</v>
      </c>
      <c r="C17" s="105">
        <v>3</v>
      </c>
      <c r="D17" s="105">
        <v>3</v>
      </c>
      <c r="E17" s="105">
        <v>0</v>
      </c>
      <c r="F17" s="105">
        <v>2</v>
      </c>
      <c r="G17" s="105">
        <v>3</v>
      </c>
      <c r="H17" s="105">
        <v>3</v>
      </c>
      <c r="I17" s="105">
        <v>2</v>
      </c>
      <c r="J17" s="105">
        <v>2</v>
      </c>
      <c r="K17" s="105">
        <v>3</v>
      </c>
      <c r="L17" s="105">
        <v>2</v>
      </c>
      <c r="M17" s="25" t="s">
        <v>176</v>
      </c>
    </row>
    <row r="18" spans="1:16" outlineLevel="1" x14ac:dyDescent="0.2">
      <c r="A18" s="31" t="s">
        <v>190</v>
      </c>
      <c r="B18" s="32">
        <v>1</v>
      </c>
      <c r="C18" s="105">
        <v>1</v>
      </c>
      <c r="D18" s="105">
        <v>1</v>
      </c>
      <c r="E18" s="105">
        <v>1</v>
      </c>
      <c r="F18" s="105">
        <v>1</v>
      </c>
      <c r="G18" s="105">
        <v>1</v>
      </c>
      <c r="H18" s="105">
        <v>1</v>
      </c>
      <c r="I18" s="105">
        <v>1</v>
      </c>
      <c r="J18" s="105">
        <v>1</v>
      </c>
      <c r="K18" s="105">
        <v>1</v>
      </c>
      <c r="L18" s="105">
        <v>1</v>
      </c>
      <c r="M18" s="25" t="s">
        <v>176</v>
      </c>
    </row>
    <row r="19" spans="1:16" outlineLevel="1" x14ac:dyDescent="0.2">
      <c r="A19" s="31" t="s">
        <v>191</v>
      </c>
      <c r="B19" s="32">
        <v>1</v>
      </c>
      <c r="C19" s="105">
        <v>1</v>
      </c>
      <c r="D19" s="105">
        <v>1</v>
      </c>
      <c r="E19" s="105">
        <v>1</v>
      </c>
      <c r="F19" s="105">
        <v>1</v>
      </c>
      <c r="G19" s="105">
        <v>1</v>
      </c>
      <c r="H19" s="105">
        <v>1</v>
      </c>
      <c r="I19" s="105">
        <v>1</v>
      </c>
      <c r="J19" s="105">
        <v>1</v>
      </c>
      <c r="K19" s="105">
        <v>1</v>
      </c>
      <c r="L19" s="105">
        <v>1</v>
      </c>
      <c r="M19" s="25" t="s">
        <v>176</v>
      </c>
    </row>
    <row r="20" spans="1:16" outlineLevel="1" x14ac:dyDescent="0.2">
      <c r="A20" s="31" t="s">
        <v>192</v>
      </c>
      <c r="B20" s="32">
        <v>2</v>
      </c>
      <c r="C20" s="105">
        <v>2</v>
      </c>
      <c r="D20" s="105">
        <v>2</v>
      </c>
      <c r="E20" s="105">
        <v>2</v>
      </c>
      <c r="F20" s="105">
        <v>2</v>
      </c>
      <c r="G20" s="105">
        <v>2</v>
      </c>
      <c r="H20" s="105">
        <v>2</v>
      </c>
      <c r="I20" s="105">
        <v>2</v>
      </c>
      <c r="J20" s="105">
        <v>2</v>
      </c>
      <c r="K20" s="105">
        <v>2</v>
      </c>
      <c r="L20" s="105">
        <v>2</v>
      </c>
      <c r="M20" s="25" t="s">
        <v>176</v>
      </c>
    </row>
    <row r="21" spans="1:16" outlineLevel="1" x14ac:dyDescent="0.2">
      <c r="A21" s="31" t="s">
        <v>193</v>
      </c>
      <c r="B21" s="32">
        <v>3</v>
      </c>
      <c r="C21" s="105">
        <v>3</v>
      </c>
      <c r="D21" s="105">
        <v>3</v>
      </c>
      <c r="E21" s="105">
        <v>3</v>
      </c>
      <c r="F21" s="105">
        <v>3</v>
      </c>
      <c r="G21" s="105">
        <v>3</v>
      </c>
      <c r="H21" s="105">
        <v>3</v>
      </c>
      <c r="I21" s="105">
        <v>3</v>
      </c>
      <c r="J21" s="105">
        <v>3</v>
      </c>
      <c r="K21" s="105">
        <v>3</v>
      </c>
      <c r="L21" s="105">
        <v>3</v>
      </c>
      <c r="M21" s="25" t="s">
        <v>176</v>
      </c>
    </row>
    <row r="22" spans="1:16" outlineLevel="1" x14ac:dyDescent="0.2">
      <c r="A22" s="31" t="s">
        <v>194</v>
      </c>
      <c r="B22" s="32">
        <v>2</v>
      </c>
      <c r="C22" s="105">
        <v>2</v>
      </c>
      <c r="D22" s="105">
        <v>2</v>
      </c>
      <c r="E22" s="105">
        <v>2</v>
      </c>
      <c r="F22" s="105">
        <v>2</v>
      </c>
      <c r="G22" s="105">
        <v>2</v>
      </c>
      <c r="H22" s="105">
        <v>2</v>
      </c>
      <c r="I22" s="105">
        <v>2</v>
      </c>
      <c r="J22" s="105">
        <v>2</v>
      </c>
      <c r="K22" s="105">
        <v>2</v>
      </c>
      <c r="L22" s="105">
        <v>2</v>
      </c>
      <c r="M22" s="25" t="s">
        <v>176</v>
      </c>
    </row>
    <row r="23" spans="1:16" outlineLevel="1" x14ac:dyDescent="0.2">
      <c r="A23" s="31" t="s">
        <v>195</v>
      </c>
      <c r="B23" s="32">
        <v>3</v>
      </c>
      <c r="C23" s="105">
        <v>3</v>
      </c>
      <c r="D23" s="105">
        <v>3</v>
      </c>
      <c r="E23" s="105">
        <v>3</v>
      </c>
      <c r="F23" s="105">
        <v>3</v>
      </c>
      <c r="G23" s="105">
        <v>3</v>
      </c>
      <c r="H23" s="105">
        <v>3</v>
      </c>
      <c r="I23" s="105">
        <v>3</v>
      </c>
      <c r="J23" s="105">
        <v>3</v>
      </c>
      <c r="K23" s="105">
        <v>3</v>
      </c>
      <c r="L23" s="105">
        <v>3</v>
      </c>
      <c r="M23" s="25" t="s">
        <v>176</v>
      </c>
    </row>
    <row r="24" spans="1:16" outlineLevel="1" x14ac:dyDescent="0.2">
      <c r="A24" s="31" t="s">
        <v>196</v>
      </c>
      <c r="B24" s="32">
        <v>3</v>
      </c>
      <c r="C24" s="105">
        <v>3</v>
      </c>
      <c r="D24" s="105">
        <v>3</v>
      </c>
      <c r="E24" s="105">
        <v>3</v>
      </c>
      <c r="F24" s="105">
        <v>3</v>
      </c>
      <c r="G24" s="105">
        <v>3</v>
      </c>
      <c r="H24" s="105">
        <v>3</v>
      </c>
      <c r="I24" s="105">
        <v>3</v>
      </c>
      <c r="J24" s="105">
        <v>3</v>
      </c>
      <c r="K24" s="105">
        <v>3</v>
      </c>
      <c r="L24" s="105">
        <v>3</v>
      </c>
      <c r="M24" s="25" t="s">
        <v>176</v>
      </c>
    </row>
    <row r="25" spans="1:16" x14ac:dyDescent="0.2">
      <c r="A25" s="8" t="s">
        <v>235</v>
      </c>
      <c r="B25" s="45">
        <f>SUM(B26:B27)</f>
        <v>40</v>
      </c>
      <c r="C25" s="30" t="e">
        <f>SUM(C26:C27)</f>
        <v>#DIV/0!</v>
      </c>
      <c r="D25" s="30" t="e">
        <f t="shared" ref="D25:L25" si="1">SUM(D26:D27)</f>
        <v>#DIV/0!</v>
      </c>
      <c r="E25" s="30" t="e">
        <f t="shared" si="1"/>
        <v>#DIV/0!</v>
      </c>
      <c r="F25" s="30" t="e">
        <f t="shared" si="1"/>
        <v>#DIV/0!</v>
      </c>
      <c r="G25" s="30" t="e">
        <f t="shared" si="1"/>
        <v>#DIV/0!</v>
      </c>
      <c r="H25" s="30" t="e">
        <f t="shared" si="1"/>
        <v>#DIV/0!</v>
      </c>
      <c r="I25" s="30" t="e">
        <f t="shared" si="1"/>
        <v>#DIV/0!</v>
      </c>
      <c r="J25" s="30" t="e">
        <f t="shared" si="1"/>
        <v>#DIV/0!</v>
      </c>
      <c r="K25" s="30" t="e">
        <f t="shared" si="1"/>
        <v>#DIV/0!</v>
      </c>
      <c r="L25" s="30" t="e">
        <f t="shared" si="1"/>
        <v>#DIV/0!</v>
      </c>
    </row>
    <row r="26" spans="1:16" outlineLevel="1" x14ac:dyDescent="0.2">
      <c r="A26" s="31" t="s">
        <v>197</v>
      </c>
      <c r="B26" s="32">
        <v>20</v>
      </c>
      <c r="C26" s="163" t="e">
        <f>SUM('economical offer'!E3)</f>
        <v>#DIV/0!</v>
      </c>
      <c r="D26" s="163" t="e">
        <f>SUM('economical offer'!$E4)</f>
        <v>#DIV/0!</v>
      </c>
      <c r="E26" s="163" t="e">
        <f>SUM('economical offer'!$E5)</f>
        <v>#DIV/0!</v>
      </c>
      <c r="F26" s="163" t="e">
        <f>SUM('economical offer'!$E6)</f>
        <v>#DIV/0!</v>
      </c>
      <c r="G26" s="163" t="e">
        <f>SUM('economical offer'!$E7)</f>
        <v>#DIV/0!</v>
      </c>
      <c r="H26" s="163" t="e">
        <f>SUM('economical offer'!$E8)</f>
        <v>#DIV/0!</v>
      </c>
      <c r="I26" s="163" t="e">
        <f>SUM('economical offer'!$E9)</f>
        <v>#DIV/0!</v>
      </c>
      <c r="J26" s="163" t="e">
        <f>SUM('economical offer'!$E10)</f>
        <v>#DIV/0!</v>
      </c>
      <c r="K26" s="163" t="e">
        <f>SUM('economical offer'!$E11)</f>
        <v>#DIV/0!</v>
      </c>
      <c r="L26" s="163" t="e">
        <f>SUM('economical offer'!$E12)</f>
        <v>#DIV/0!</v>
      </c>
    </row>
    <row r="27" spans="1:16" outlineLevel="1" x14ac:dyDescent="0.2">
      <c r="A27" s="164" t="s">
        <v>198</v>
      </c>
      <c r="B27" s="165">
        <v>20</v>
      </c>
      <c r="C27" s="163" t="e">
        <f>SUM('economical offer'!K3)</f>
        <v>#DIV/0!</v>
      </c>
      <c r="D27" s="163" t="e">
        <f>SUM('economical offer'!K4)</f>
        <v>#DIV/0!</v>
      </c>
      <c r="E27" s="163" t="e">
        <f>SUM('economical offer'!K5)</f>
        <v>#DIV/0!</v>
      </c>
      <c r="F27" s="163" t="e">
        <f>SUM('economical offer'!K6)</f>
        <v>#DIV/0!</v>
      </c>
      <c r="G27" s="163" t="e">
        <f>SUM('economical offer'!K7)</f>
        <v>#DIV/0!</v>
      </c>
      <c r="H27" s="163" t="e">
        <f>SUM('economical offer'!K8)</f>
        <v>#DIV/0!</v>
      </c>
      <c r="I27" s="163" t="e">
        <f>SUM('economical offer'!K9)</f>
        <v>#DIV/0!</v>
      </c>
      <c r="J27" s="163" t="e">
        <f>SUM('economical offer'!K10)</f>
        <v>#DIV/0!</v>
      </c>
      <c r="K27" s="163" t="e">
        <f>SUM('economical offer'!K11)</f>
        <v>#DIV/0!</v>
      </c>
      <c r="L27" s="163" t="e">
        <f>SUM('economical offer'!K12)</f>
        <v>#DIV/0!</v>
      </c>
      <c r="P27" s="104"/>
    </row>
    <row r="28" spans="1:16" s="169" customFormat="1" ht="20" customHeight="1" x14ac:dyDescent="0.2">
      <c r="A28" s="166" t="s">
        <v>199</v>
      </c>
      <c r="B28" s="167">
        <f>SUM(B5+B25)</f>
        <v>100</v>
      </c>
      <c r="C28" s="168" t="e">
        <f t="shared" ref="C28:L28" si="2">SUM(C5+C25)</f>
        <v>#DIV/0!</v>
      </c>
      <c r="D28" s="168" t="e">
        <f t="shared" si="2"/>
        <v>#DIV/0!</v>
      </c>
      <c r="E28" s="168" t="e">
        <f t="shared" si="2"/>
        <v>#DIV/0!</v>
      </c>
      <c r="F28" s="168" t="e">
        <f t="shared" si="2"/>
        <v>#DIV/0!</v>
      </c>
      <c r="G28" s="168" t="e">
        <f t="shared" si="2"/>
        <v>#DIV/0!</v>
      </c>
      <c r="H28" s="168" t="e">
        <f t="shared" si="2"/>
        <v>#DIV/0!</v>
      </c>
      <c r="I28" s="168" t="e">
        <f t="shared" si="2"/>
        <v>#DIV/0!</v>
      </c>
      <c r="J28" s="168" t="e">
        <f t="shared" si="2"/>
        <v>#DIV/0!</v>
      </c>
      <c r="K28" s="168" t="e">
        <f t="shared" si="2"/>
        <v>#DIV/0!</v>
      </c>
      <c r="L28" s="168" t="e">
        <f t="shared" si="2"/>
        <v>#DIV/0!</v>
      </c>
    </row>
    <row r="29" spans="1:16" x14ac:dyDescent="0.2">
      <c r="A29" s="108"/>
      <c r="B29" s="108"/>
      <c r="C29" s="134"/>
      <c r="D29" s="134"/>
      <c r="E29" s="134"/>
      <c r="F29" s="134"/>
      <c r="G29" s="134"/>
      <c r="H29" s="134"/>
      <c r="I29" s="134"/>
      <c r="J29" s="134"/>
      <c r="K29" s="134"/>
      <c r="L29" s="134"/>
    </row>
    <row r="30" spans="1:16" x14ac:dyDescent="0.2">
      <c r="C30" s="134"/>
    </row>
    <row r="31" spans="1:16" x14ac:dyDescent="0.2">
      <c r="C31" s="134"/>
    </row>
    <row r="32" spans="1:16" x14ac:dyDescent="0.2">
      <c r="C32" s="134"/>
    </row>
    <row r="33" spans="1:6" x14ac:dyDescent="0.2">
      <c r="C33" s="134"/>
    </row>
    <row r="34" spans="1:6" x14ac:dyDescent="0.2">
      <c r="C34" s="134"/>
    </row>
    <row r="35" spans="1:6" x14ac:dyDescent="0.2">
      <c r="C35" s="134"/>
    </row>
    <row r="36" spans="1:6" x14ac:dyDescent="0.2">
      <c r="C36" s="134"/>
    </row>
    <row r="37" spans="1:6" x14ac:dyDescent="0.2">
      <c r="C37" s="134"/>
    </row>
    <row r="38" spans="1:6" x14ac:dyDescent="0.2">
      <c r="C38" s="134"/>
    </row>
    <row r="39" spans="1:6" x14ac:dyDescent="0.2">
      <c r="C39" s="134"/>
    </row>
    <row r="40" spans="1:6" x14ac:dyDescent="0.2">
      <c r="C40" s="134"/>
    </row>
    <row r="42" spans="1:6" x14ac:dyDescent="0.2">
      <c r="B42" s="108" t="s">
        <v>150</v>
      </c>
    </row>
    <row r="43" spans="1:6" x14ac:dyDescent="0.2">
      <c r="A43">
        <v>3</v>
      </c>
      <c r="B43">
        <v>2</v>
      </c>
      <c r="C43">
        <v>1</v>
      </c>
      <c r="D43">
        <v>2</v>
      </c>
      <c r="E43">
        <v>2</v>
      </c>
      <c r="F43">
        <v>2</v>
      </c>
    </row>
    <row r="44" spans="1:6" x14ac:dyDescent="0.2">
      <c r="A44">
        <v>2</v>
      </c>
      <c r="B44">
        <v>1</v>
      </c>
      <c r="C44">
        <v>0</v>
      </c>
      <c r="D44">
        <v>1.5</v>
      </c>
      <c r="E44">
        <v>0</v>
      </c>
      <c r="F44">
        <v>1</v>
      </c>
    </row>
    <row r="45" spans="1:6" x14ac:dyDescent="0.2">
      <c r="A45">
        <v>1</v>
      </c>
      <c r="B45">
        <v>0</v>
      </c>
      <c r="D45">
        <v>1</v>
      </c>
      <c r="F45">
        <v>0.5</v>
      </c>
    </row>
    <row r="46" spans="1:6" x14ac:dyDescent="0.2">
      <c r="A46">
        <v>0</v>
      </c>
      <c r="D46">
        <v>0.5</v>
      </c>
    </row>
    <row r="48" spans="1:6" x14ac:dyDescent="0.2">
      <c r="D48">
        <v>0</v>
      </c>
    </row>
  </sheetData>
  <protectedRanges>
    <protectedRange sqref="C17:L24" name="Intervallo1_6"/>
  </protectedRanges>
  <mergeCells count="3">
    <mergeCell ref="C1:L1"/>
    <mergeCell ref="C2:L2"/>
    <mergeCell ref="B3:B4"/>
  </mergeCells>
  <conditionalFormatting sqref="C17:L24">
    <cfRule type="containsBlanks" dxfId="67" priority="2">
      <formula>LEN(TRIM(C17))=0</formula>
    </cfRule>
  </conditionalFormatting>
  <conditionalFormatting sqref="C17:L24">
    <cfRule type="containsBlanks" dxfId="66" priority="1">
      <formula>LEN(TRIM(C17))=0</formula>
    </cfRule>
  </conditionalFormatting>
  <dataValidations count="4">
    <dataValidation type="list" allowBlank="1" showInputMessage="1" showErrorMessage="1" sqref="C22:L22" xr:uid="{00000000-0002-0000-0000-000000000000}">
      <formula1>$E$44:$E$45</formula1>
    </dataValidation>
    <dataValidation type="list" allowBlank="1" showInputMessage="1" showErrorMessage="1" sqref="C20:L20" xr:uid="{00000000-0002-0000-0000-000001000000}">
      <formula1>$D$44:$D$49</formula1>
    </dataValidation>
    <dataValidation type="list" allowBlank="1" showInputMessage="1" showErrorMessage="1" sqref="C18:L19" xr:uid="{00000000-0002-0000-0000-000002000000}">
      <formula1>$C$44:$C$45</formula1>
    </dataValidation>
    <dataValidation type="list" allowBlank="1" showInputMessage="1" showErrorMessage="1" sqref="C17:L17 C21:L21 C23:L24" xr:uid="{00000000-0002-0000-0000-000003000000}">
      <formula1>$A$44:$A$47</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dimension ref="A1:AQ143"/>
  <sheetViews>
    <sheetView showGridLines="0" tabSelected="1" workbookViewId="0">
      <selection activeCell="B9" sqref="B9"/>
    </sheetView>
  </sheetViews>
  <sheetFormatPr baseColWidth="10" defaultColWidth="9.1640625" defaultRowHeight="15" outlineLevelRow="1" x14ac:dyDescent="0.2"/>
  <cols>
    <col min="1" max="1" width="11.6640625" style="35" customWidth="1"/>
    <col min="2" max="2" width="15" style="34" customWidth="1"/>
    <col min="3" max="6" width="17.5" style="34" customWidth="1"/>
    <col min="7" max="7" width="12.5" style="34" customWidth="1"/>
    <col min="8" max="8" width="4.6640625" style="35" customWidth="1"/>
    <col min="9" max="9" width="5.5" style="35" customWidth="1"/>
    <col min="10" max="19" width="5.1640625" style="35" customWidth="1"/>
    <col min="20" max="21" width="5.5" style="35" customWidth="1"/>
    <col min="22" max="31" width="5.1640625" style="35" customWidth="1"/>
    <col min="32" max="33" width="5.5" style="35" customWidth="1"/>
    <col min="34" max="43" width="5.1640625" style="35" customWidth="1"/>
    <col min="44" max="46" width="4.5" style="35" customWidth="1"/>
    <col min="47" max="16384" width="9.1640625" style="35"/>
  </cols>
  <sheetData>
    <row r="1" spans="1:43" x14ac:dyDescent="0.2">
      <c r="A1" s="34" t="s">
        <v>237</v>
      </c>
      <c r="B1" s="34" t="s">
        <v>89</v>
      </c>
      <c r="C1" s="34" t="s">
        <v>98</v>
      </c>
      <c r="D1" s="34" t="s">
        <v>107</v>
      </c>
      <c r="E1" s="34" t="s">
        <v>116</v>
      </c>
      <c r="F1" s="34" t="s">
        <v>125</v>
      </c>
      <c r="G1" s="34" t="s">
        <v>239</v>
      </c>
      <c r="H1" s="34" t="s">
        <v>240</v>
      </c>
      <c r="I1" s="35" t="s">
        <v>238</v>
      </c>
      <c r="J1" s="35" t="str">
        <f>CONCATENATE($I$1,".",J5)</f>
        <v>E1.A</v>
      </c>
      <c r="K1" s="35" t="str">
        <f>CONCATENATE($I$1,".",K5)</f>
        <v>E1.B</v>
      </c>
      <c r="L1" s="35" t="str">
        <f t="shared" ref="L1:S1" si="0">CONCATENATE($I$1,".",L5)</f>
        <v>E1.C</v>
      </c>
      <c r="M1" s="35" t="str">
        <f t="shared" si="0"/>
        <v>E1.D</v>
      </c>
      <c r="N1" s="35" t="str">
        <f t="shared" si="0"/>
        <v>E1.E</v>
      </c>
      <c r="O1" s="35" t="str">
        <f t="shared" si="0"/>
        <v>E1.F</v>
      </c>
      <c r="P1" s="35" t="str">
        <f t="shared" si="0"/>
        <v>E1.G</v>
      </c>
      <c r="Q1" s="35" t="str">
        <f t="shared" si="0"/>
        <v>E1.H</v>
      </c>
      <c r="R1" s="35" t="str">
        <f t="shared" si="0"/>
        <v>E1.I</v>
      </c>
      <c r="S1" s="35" t="str">
        <f t="shared" si="0"/>
        <v>E1.L</v>
      </c>
      <c r="T1" s="35" t="s">
        <v>241</v>
      </c>
      <c r="U1" s="35" t="s">
        <v>91</v>
      </c>
      <c r="V1" s="35" t="str">
        <f>CONCATENATE($U$1,".",V5)</f>
        <v>E2.A</v>
      </c>
      <c r="W1" s="35" t="str">
        <f t="shared" ref="W1:AE1" si="1">CONCATENATE($U$1,".",W5)</f>
        <v>E2.B</v>
      </c>
      <c r="X1" s="35" t="str">
        <f t="shared" si="1"/>
        <v>E2.C</v>
      </c>
      <c r="Y1" s="35" t="str">
        <f t="shared" si="1"/>
        <v>E2.D</v>
      </c>
      <c r="Z1" s="35" t="str">
        <f t="shared" si="1"/>
        <v>E2.E</v>
      </c>
      <c r="AA1" s="35" t="str">
        <f t="shared" si="1"/>
        <v>E2.F</v>
      </c>
      <c r="AB1" s="35" t="str">
        <f t="shared" si="1"/>
        <v>E2.G</v>
      </c>
      <c r="AC1" s="35" t="str">
        <f t="shared" si="1"/>
        <v>E2.H</v>
      </c>
      <c r="AD1" s="35" t="str">
        <f t="shared" si="1"/>
        <v>E2.I</v>
      </c>
      <c r="AE1" s="35" t="str">
        <f t="shared" si="1"/>
        <v>E2.L</v>
      </c>
      <c r="AF1" s="35" t="s">
        <v>242</v>
      </c>
      <c r="AG1" s="35" t="s">
        <v>100</v>
      </c>
      <c r="AH1" s="35" t="str">
        <f>CONCATENATE($AG$1,".",AH5)</f>
        <v>E3.A</v>
      </c>
      <c r="AI1" s="35" t="str">
        <f t="shared" ref="AI1:AQ1" si="2">CONCATENATE($AG$1,".",AI5)</f>
        <v>E3.B</v>
      </c>
      <c r="AJ1" s="35" t="str">
        <f t="shared" si="2"/>
        <v>E3.C</v>
      </c>
      <c r="AK1" s="35" t="str">
        <f t="shared" si="2"/>
        <v>E3.D</v>
      </c>
      <c r="AL1" s="35" t="str">
        <f t="shared" si="2"/>
        <v>E3.E</v>
      </c>
      <c r="AM1" s="35" t="str">
        <f t="shared" si="2"/>
        <v>E3.F</v>
      </c>
      <c r="AN1" s="35" t="str">
        <f t="shared" si="2"/>
        <v>E3.G</v>
      </c>
      <c r="AO1" s="35" t="str">
        <f t="shared" si="2"/>
        <v>E3.H</v>
      </c>
      <c r="AP1" s="35" t="str">
        <f t="shared" si="2"/>
        <v>E3.I</v>
      </c>
      <c r="AQ1" s="35" t="str">
        <f t="shared" si="2"/>
        <v>E3.L</v>
      </c>
    </row>
    <row r="2" spans="1:43" ht="29" x14ac:dyDescent="0.35">
      <c r="A2" s="33" t="s">
        <v>167</v>
      </c>
      <c r="I2" s="36" t="s">
        <v>173</v>
      </c>
      <c r="U2" s="36" t="s">
        <v>175</v>
      </c>
      <c r="AG2" s="36" t="s">
        <v>174</v>
      </c>
    </row>
    <row r="3" spans="1:43" ht="6" customHeight="1" x14ac:dyDescent="0.2">
      <c r="I3" s="37"/>
      <c r="U3" s="37"/>
      <c r="AG3" s="37"/>
    </row>
    <row r="4" spans="1:43" x14ac:dyDescent="0.2">
      <c r="A4" s="24" t="str">
        <f>'MAIN REPORT'!A6</f>
        <v>1. Quality aspect 1</v>
      </c>
      <c r="B4" s="5"/>
      <c r="C4" s="5"/>
      <c r="D4" s="5"/>
      <c r="E4" s="5"/>
      <c r="F4" s="22"/>
      <c r="G4" s="23">
        <f>'MAIN REPORT'!B6</f>
        <v>6</v>
      </c>
      <c r="I4" s="24" t="str">
        <f>A4</f>
        <v>1. Quality aspect 1</v>
      </c>
      <c r="J4" s="5"/>
      <c r="K4" s="5"/>
      <c r="L4" s="5"/>
      <c r="M4" s="5"/>
      <c r="N4" s="5"/>
      <c r="O4" s="5"/>
      <c r="P4" s="5"/>
      <c r="Q4" s="5"/>
      <c r="R4" s="5"/>
      <c r="S4" s="5"/>
      <c r="U4" s="24" t="str">
        <f>A4</f>
        <v>1. Quality aspect 1</v>
      </c>
      <c r="V4" s="5"/>
      <c r="W4" s="5"/>
      <c r="X4" s="5"/>
      <c r="Y4" s="5"/>
      <c r="Z4" s="5"/>
      <c r="AA4" s="5"/>
      <c r="AB4" s="5"/>
      <c r="AC4" s="5"/>
      <c r="AD4" s="5"/>
      <c r="AE4" s="5"/>
      <c r="AG4" s="24" t="str">
        <f>A4</f>
        <v>1. Quality aspect 1</v>
      </c>
      <c r="AH4" s="5"/>
      <c r="AI4" s="5"/>
      <c r="AJ4" s="5"/>
      <c r="AK4" s="5"/>
      <c r="AL4" s="5"/>
      <c r="AM4" s="5"/>
      <c r="AN4" s="5"/>
      <c r="AO4" s="5"/>
      <c r="AP4" s="5"/>
      <c r="AQ4" s="5"/>
    </row>
    <row r="5" spans="1:43" ht="16" outlineLevel="1" thickBot="1" x14ac:dyDescent="0.25">
      <c r="A5" s="39" t="s">
        <v>139</v>
      </c>
      <c r="B5" s="40" t="s">
        <v>138</v>
      </c>
      <c r="C5" s="40"/>
      <c r="D5" s="40"/>
      <c r="E5" s="40"/>
      <c r="F5" s="40" t="s">
        <v>218</v>
      </c>
      <c r="G5" s="41" t="s">
        <v>217</v>
      </c>
      <c r="I5" s="38"/>
      <c r="J5" s="1" t="s">
        <v>1</v>
      </c>
      <c r="K5" s="1" t="s">
        <v>2</v>
      </c>
      <c r="L5" s="1" t="s">
        <v>3</v>
      </c>
      <c r="M5" s="1" t="s">
        <v>0</v>
      </c>
      <c r="N5" s="1" t="s">
        <v>4</v>
      </c>
      <c r="O5" s="1" t="s">
        <v>5</v>
      </c>
      <c r="P5" s="1" t="s">
        <v>6</v>
      </c>
      <c r="Q5" s="1" t="s">
        <v>7</v>
      </c>
      <c r="R5" s="1" t="s">
        <v>8</v>
      </c>
      <c r="S5" s="1" t="s">
        <v>9</v>
      </c>
      <c r="U5" s="38"/>
      <c r="V5" s="1" t="s">
        <v>1</v>
      </c>
      <c r="W5" s="1" t="s">
        <v>2</v>
      </c>
      <c r="X5" s="1" t="s">
        <v>3</v>
      </c>
      <c r="Y5" s="1" t="s">
        <v>0</v>
      </c>
      <c r="Z5" s="1" t="s">
        <v>4</v>
      </c>
      <c r="AA5" s="1" t="s">
        <v>5</v>
      </c>
      <c r="AB5" s="1" t="s">
        <v>6</v>
      </c>
      <c r="AC5" s="1" t="s">
        <v>7</v>
      </c>
      <c r="AD5" s="1" t="s">
        <v>8</v>
      </c>
      <c r="AE5" s="1" t="s">
        <v>9</v>
      </c>
      <c r="AG5" s="38"/>
      <c r="AH5" s="1" t="s">
        <v>1</v>
      </c>
      <c r="AI5" s="1" t="s">
        <v>2</v>
      </c>
      <c r="AJ5" s="1" t="s">
        <v>3</v>
      </c>
      <c r="AK5" s="1" t="s">
        <v>0</v>
      </c>
      <c r="AL5" s="1" t="s">
        <v>4</v>
      </c>
      <c r="AM5" s="1" t="s">
        <v>5</v>
      </c>
      <c r="AN5" s="1" t="s">
        <v>6</v>
      </c>
      <c r="AO5" s="1" t="s">
        <v>7</v>
      </c>
      <c r="AP5" s="1" t="s">
        <v>8</v>
      </c>
      <c r="AQ5" s="1" t="s">
        <v>9</v>
      </c>
    </row>
    <row r="6" spans="1:43" outlineLevel="1" x14ac:dyDescent="0.2">
      <c r="A6" s="28" t="s">
        <v>1</v>
      </c>
      <c r="B6" s="42">
        <f>SUMIF(SUPPORTO_punti!E:E,A6,SUPPORTO_punti!F:F)+SUPPORTO_pareggi!C5</f>
        <v>40</v>
      </c>
      <c r="C6" s="43">
        <f t="shared" ref="C6:C15" si="3">LARGE($B$6:$B$15,D6)</f>
        <v>71</v>
      </c>
      <c r="D6" s="43">
        <v>1</v>
      </c>
      <c r="E6" s="42">
        <f>IF(SUM(B6:B15)=0,0,D6)</f>
        <v>1</v>
      </c>
      <c r="F6" s="42">
        <f t="shared" ref="F6:F15" si="4">VLOOKUP(B6,$C$6:$E$15,3,FALSE)</f>
        <v>0.56338028169014087</v>
      </c>
      <c r="G6" s="44">
        <f>G$4*F6</f>
        <v>3.380281690140845</v>
      </c>
      <c r="H6" s="35" t="str">
        <f>'MAIN REPORT'!$A$6</f>
        <v>1. Quality aspect 1</v>
      </c>
      <c r="I6" s="1" t="s">
        <v>1</v>
      </c>
      <c r="J6" s="2"/>
      <c r="K6" s="106" t="s">
        <v>88</v>
      </c>
      <c r="L6" s="106" t="s">
        <v>96</v>
      </c>
      <c r="M6" s="106" t="s">
        <v>90</v>
      </c>
      <c r="N6" s="106" t="s">
        <v>96</v>
      </c>
      <c r="O6" s="106" t="s">
        <v>87</v>
      </c>
      <c r="P6" s="106" t="s">
        <v>96</v>
      </c>
      <c r="Q6" s="106" t="s">
        <v>94</v>
      </c>
      <c r="R6" s="106">
        <v>1</v>
      </c>
      <c r="S6" s="132" t="s">
        <v>105</v>
      </c>
      <c r="U6" s="1" t="s">
        <v>1</v>
      </c>
      <c r="V6" s="2"/>
      <c r="W6" s="106">
        <v>1</v>
      </c>
      <c r="X6" s="106" t="s">
        <v>105</v>
      </c>
      <c r="Y6" s="106">
        <v>1</v>
      </c>
      <c r="Z6" s="106">
        <v>1</v>
      </c>
      <c r="AA6" s="106">
        <v>1</v>
      </c>
      <c r="AB6" s="106">
        <v>1</v>
      </c>
      <c r="AC6" s="106">
        <v>1</v>
      </c>
      <c r="AD6" s="106">
        <v>1</v>
      </c>
      <c r="AE6" s="132" t="s">
        <v>87</v>
      </c>
      <c r="AG6" s="1" t="s">
        <v>1</v>
      </c>
      <c r="AH6" s="2"/>
      <c r="AI6" s="106" t="s">
        <v>97</v>
      </c>
      <c r="AJ6" s="106" t="s">
        <v>96</v>
      </c>
      <c r="AK6" s="106" t="s">
        <v>99</v>
      </c>
      <c r="AL6" s="106" t="s">
        <v>91</v>
      </c>
      <c r="AM6" s="106" t="s">
        <v>101</v>
      </c>
      <c r="AN6" s="106" t="s">
        <v>114</v>
      </c>
      <c r="AO6" s="106" t="s">
        <v>94</v>
      </c>
      <c r="AP6" s="106" t="s">
        <v>95</v>
      </c>
      <c r="AQ6" s="132" t="s">
        <v>96</v>
      </c>
    </row>
    <row r="7" spans="1:43" outlineLevel="1" x14ac:dyDescent="0.2">
      <c r="A7" s="28" t="s">
        <v>2</v>
      </c>
      <c r="B7" s="42">
        <f>SUMIF(SUPPORTO_punti!E:E,A7,SUPPORTO_punti!F:F)+SUPPORTO_pareggi!C11</f>
        <v>47</v>
      </c>
      <c r="C7" s="43">
        <f t="shared" si="3"/>
        <v>50</v>
      </c>
      <c r="D7" s="43">
        <v>2</v>
      </c>
      <c r="E7" s="42">
        <f t="shared" ref="E7:E15" si="5">(C7/$C$6)*$E$6</f>
        <v>0.70422535211267601</v>
      </c>
      <c r="F7" s="42">
        <f t="shared" si="4"/>
        <v>0.6619718309859155</v>
      </c>
      <c r="G7" s="44">
        <f t="shared" ref="G7:G15" si="6">G$4*F7</f>
        <v>3.971830985915493</v>
      </c>
      <c r="H7" s="35" t="str">
        <f>'MAIN REPORT'!$A$6</f>
        <v>1. Quality aspect 1</v>
      </c>
      <c r="I7" s="1" t="s">
        <v>2</v>
      </c>
      <c r="J7" s="3"/>
      <c r="K7" s="4"/>
      <c r="L7" s="107" t="s">
        <v>88</v>
      </c>
      <c r="M7" s="107" t="s">
        <v>90</v>
      </c>
      <c r="N7" s="107" t="s">
        <v>88</v>
      </c>
      <c r="O7" s="107" t="s">
        <v>88</v>
      </c>
      <c r="P7" s="107" t="s">
        <v>97</v>
      </c>
      <c r="Q7" s="107">
        <v>1</v>
      </c>
      <c r="R7" s="107" t="s">
        <v>88</v>
      </c>
      <c r="S7" s="133" t="s">
        <v>97</v>
      </c>
      <c r="U7" s="1" t="s">
        <v>2</v>
      </c>
      <c r="V7" s="3"/>
      <c r="W7" s="4"/>
      <c r="X7" s="107" t="s">
        <v>88</v>
      </c>
      <c r="Y7" s="107" t="s">
        <v>90</v>
      </c>
      <c r="Z7" s="107">
        <v>1</v>
      </c>
      <c r="AA7" s="107">
        <v>1</v>
      </c>
      <c r="AB7" s="107" t="s">
        <v>97</v>
      </c>
      <c r="AC7" s="107">
        <v>1</v>
      </c>
      <c r="AD7" s="107" t="s">
        <v>95</v>
      </c>
      <c r="AE7" s="133" t="s">
        <v>97</v>
      </c>
      <c r="AG7" s="1" t="s">
        <v>2</v>
      </c>
      <c r="AH7" s="3"/>
      <c r="AI7" s="4"/>
      <c r="AJ7" s="107" t="s">
        <v>97</v>
      </c>
      <c r="AK7" s="107" t="s">
        <v>90</v>
      </c>
      <c r="AL7" s="107">
        <v>1</v>
      </c>
      <c r="AM7" s="107">
        <v>1</v>
      </c>
      <c r="AN7" s="107" t="s">
        <v>97</v>
      </c>
      <c r="AO7" s="107">
        <v>1</v>
      </c>
      <c r="AP7" s="107">
        <v>1</v>
      </c>
      <c r="AQ7" s="133" t="s">
        <v>115</v>
      </c>
    </row>
    <row r="8" spans="1:43" outlineLevel="1" x14ac:dyDescent="0.2">
      <c r="A8" s="28" t="s">
        <v>3</v>
      </c>
      <c r="B8" s="42">
        <f>SUMIF(SUPPORTO_punti!E:E,A8,SUPPORTO_punti!F:F)+SUPPORTO_pareggi!C17</f>
        <v>4</v>
      </c>
      <c r="C8" s="43">
        <f t="shared" si="3"/>
        <v>47</v>
      </c>
      <c r="D8" s="43">
        <v>3</v>
      </c>
      <c r="E8" s="42">
        <f t="shared" si="5"/>
        <v>0.6619718309859155</v>
      </c>
      <c r="F8" s="42">
        <f t="shared" si="4"/>
        <v>5.6338028169014086E-2</v>
      </c>
      <c r="G8" s="44">
        <f t="shared" si="6"/>
        <v>0.3380281690140845</v>
      </c>
      <c r="H8" s="35" t="str">
        <f>'MAIN REPORT'!$A$6</f>
        <v>1. Quality aspect 1</v>
      </c>
      <c r="I8" s="1" t="s">
        <v>3</v>
      </c>
      <c r="J8" s="3"/>
      <c r="K8" s="4"/>
      <c r="L8" s="4"/>
      <c r="M8" s="107" t="s">
        <v>108</v>
      </c>
      <c r="N8" s="107" t="s">
        <v>100</v>
      </c>
      <c r="O8" s="107" t="s">
        <v>101</v>
      </c>
      <c r="P8" s="107" t="s">
        <v>93</v>
      </c>
      <c r="Q8" s="107" t="s">
        <v>112</v>
      </c>
      <c r="R8" s="107" t="s">
        <v>104</v>
      </c>
      <c r="S8" s="133" t="s">
        <v>89</v>
      </c>
      <c r="U8" s="1" t="s">
        <v>3</v>
      </c>
      <c r="V8" s="3"/>
      <c r="W8" s="4"/>
      <c r="X8" s="4"/>
      <c r="Y8" s="107" t="s">
        <v>108</v>
      </c>
      <c r="Z8" s="107" t="s">
        <v>109</v>
      </c>
      <c r="AA8" s="107" t="s">
        <v>101</v>
      </c>
      <c r="AB8" s="107" t="s">
        <v>102</v>
      </c>
      <c r="AC8" s="107" t="s">
        <v>103</v>
      </c>
      <c r="AD8" s="107" t="s">
        <v>104</v>
      </c>
      <c r="AE8" s="133" t="s">
        <v>132</v>
      </c>
      <c r="AG8" s="1" t="s">
        <v>3</v>
      </c>
      <c r="AH8" s="3"/>
      <c r="AI8" s="4"/>
      <c r="AJ8" s="4"/>
      <c r="AK8" s="107" t="s">
        <v>117</v>
      </c>
      <c r="AL8" s="107" t="s">
        <v>100</v>
      </c>
      <c r="AM8" s="107" t="s">
        <v>101</v>
      </c>
      <c r="AN8" s="107">
        <v>1</v>
      </c>
      <c r="AO8" s="107" t="s">
        <v>103</v>
      </c>
      <c r="AP8" s="107" t="s">
        <v>104</v>
      </c>
      <c r="AQ8" s="133">
        <v>1</v>
      </c>
    </row>
    <row r="9" spans="1:43" outlineLevel="1" x14ac:dyDescent="0.2">
      <c r="A9" s="28" t="s">
        <v>0</v>
      </c>
      <c r="B9" s="42">
        <f>SUMIF(SUPPORTO_punti!E:E,A9,SUPPORTO_punti!F:F)+SUPPORTO_pareggi!C23</f>
        <v>71</v>
      </c>
      <c r="C9" s="43">
        <f t="shared" si="3"/>
        <v>47</v>
      </c>
      <c r="D9" s="43">
        <v>4</v>
      </c>
      <c r="E9" s="42">
        <f t="shared" si="5"/>
        <v>0.6619718309859155</v>
      </c>
      <c r="F9" s="42">
        <f t="shared" si="4"/>
        <v>1</v>
      </c>
      <c r="G9" s="44">
        <f t="shared" si="6"/>
        <v>6</v>
      </c>
      <c r="H9" s="35" t="str">
        <f>'MAIN REPORT'!$A$6</f>
        <v>1. Quality aspect 1</v>
      </c>
      <c r="I9" s="1" t="s">
        <v>0</v>
      </c>
      <c r="J9" s="3"/>
      <c r="K9" s="4"/>
      <c r="L9" s="4"/>
      <c r="M9" s="4"/>
      <c r="N9" s="107" t="s">
        <v>90</v>
      </c>
      <c r="O9" s="107" t="s">
        <v>99</v>
      </c>
      <c r="P9" s="107" t="s">
        <v>108</v>
      </c>
      <c r="Q9" s="107" t="s">
        <v>90</v>
      </c>
      <c r="R9" s="107" t="s">
        <v>90</v>
      </c>
      <c r="S9" s="133" t="s">
        <v>117</v>
      </c>
      <c r="U9" s="1" t="s">
        <v>0</v>
      </c>
      <c r="V9" s="3"/>
      <c r="W9" s="4"/>
      <c r="X9" s="4"/>
      <c r="Y9" s="4"/>
      <c r="Z9" s="107" t="s">
        <v>90</v>
      </c>
      <c r="AA9" s="107">
        <v>1</v>
      </c>
      <c r="AB9" s="107" t="s">
        <v>99</v>
      </c>
      <c r="AC9" s="107" t="s">
        <v>90</v>
      </c>
      <c r="AD9" s="107">
        <v>1</v>
      </c>
      <c r="AE9" s="133" t="s">
        <v>99</v>
      </c>
      <c r="AG9" s="1" t="s">
        <v>0</v>
      </c>
      <c r="AH9" s="3"/>
      <c r="AI9" s="4"/>
      <c r="AJ9" s="4"/>
      <c r="AK9" s="4"/>
      <c r="AL9" s="107" t="s">
        <v>90</v>
      </c>
      <c r="AM9" s="107" t="s">
        <v>90</v>
      </c>
      <c r="AN9" s="107" t="s">
        <v>99</v>
      </c>
      <c r="AO9" s="107" t="s">
        <v>90</v>
      </c>
      <c r="AP9" s="107" t="s">
        <v>90</v>
      </c>
      <c r="AQ9" s="133" t="s">
        <v>117</v>
      </c>
    </row>
    <row r="10" spans="1:43" outlineLevel="1" x14ac:dyDescent="0.2">
      <c r="A10" s="28" t="s">
        <v>4</v>
      </c>
      <c r="B10" s="42">
        <f>SUMIF(SUPPORTO_punti!E:E,A10,SUPPORTO_punti!F:F)+SUPPORTO_pareggi!C29</f>
        <v>44</v>
      </c>
      <c r="C10" s="43">
        <f t="shared" si="3"/>
        <v>44</v>
      </c>
      <c r="D10" s="43">
        <v>5</v>
      </c>
      <c r="E10" s="42">
        <f t="shared" si="5"/>
        <v>0.61971830985915488</v>
      </c>
      <c r="F10" s="42">
        <f t="shared" si="4"/>
        <v>0.61971830985915488</v>
      </c>
      <c r="G10" s="44">
        <f t="shared" si="6"/>
        <v>3.7183098591549291</v>
      </c>
      <c r="H10" s="35" t="str">
        <f>'MAIN REPORT'!$A$6</f>
        <v>1. Quality aspect 1</v>
      </c>
      <c r="I10" s="1" t="s">
        <v>4</v>
      </c>
      <c r="J10" s="3"/>
      <c r="K10" s="4"/>
      <c r="L10" s="4"/>
      <c r="M10" s="4"/>
      <c r="N10" s="4"/>
      <c r="O10" s="107" t="s">
        <v>91</v>
      </c>
      <c r="P10" s="107" t="s">
        <v>100</v>
      </c>
      <c r="Q10" s="107" t="s">
        <v>94</v>
      </c>
      <c r="R10" s="107">
        <v>1</v>
      </c>
      <c r="S10" s="133" t="s">
        <v>109</v>
      </c>
      <c r="U10" s="1" t="s">
        <v>4</v>
      </c>
      <c r="V10" s="3"/>
      <c r="W10" s="4"/>
      <c r="X10" s="4"/>
      <c r="Y10" s="4"/>
      <c r="Z10" s="4"/>
      <c r="AA10" s="107">
        <v>1</v>
      </c>
      <c r="AB10" s="107" t="s">
        <v>91</v>
      </c>
      <c r="AC10" s="107">
        <v>1</v>
      </c>
      <c r="AD10" s="107" t="s">
        <v>95</v>
      </c>
      <c r="AE10" s="133" t="s">
        <v>91</v>
      </c>
      <c r="AG10" s="1" t="s">
        <v>4</v>
      </c>
      <c r="AH10" s="3"/>
      <c r="AI10" s="4"/>
      <c r="AJ10" s="4"/>
      <c r="AK10" s="4"/>
      <c r="AL10" s="4"/>
      <c r="AM10" s="107">
        <v>1</v>
      </c>
      <c r="AN10" s="107" t="s">
        <v>118</v>
      </c>
      <c r="AO10" s="107">
        <v>1</v>
      </c>
      <c r="AP10" s="107">
        <v>1</v>
      </c>
      <c r="AQ10" s="133" t="s">
        <v>118</v>
      </c>
    </row>
    <row r="11" spans="1:43" outlineLevel="1" x14ac:dyDescent="0.2">
      <c r="A11" s="28" t="s">
        <v>5</v>
      </c>
      <c r="B11" s="42">
        <f>SUMIF(SUPPORTO_punti!E:E,A11,SUPPORTO_punti!F:F)+SUPPORTO_pareggi!C35</f>
        <v>41</v>
      </c>
      <c r="C11" s="43">
        <f t="shared" si="3"/>
        <v>41</v>
      </c>
      <c r="D11" s="43">
        <v>6</v>
      </c>
      <c r="E11" s="42">
        <f t="shared" si="5"/>
        <v>0.57746478873239437</v>
      </c>
      <c r="F11" s="42">
        <f t="shared" si="4"/>
        <v>0.57746478873239437</v>
      </c>
      <c r="G11" s="44">
        <f t="shared" si="6"/>
        <v>3.464788732394366</v>
      </c>
      <c r="H11" s="35" t="str">
        <f>'MAIN REPORT'!$A$6</f>
        <v>1. Quality aspect 1</v>
      </c>
      <c r="I11" s="1" t="s">
        <v>5</v>
      </c>
      <c r="J11" s="3"/>
      <c r="K11" s="4"/>
      <c r="L11" s="4"/>
      <c r="M11" s="4"/>
      <c r="N11" s="4"/>
      <c r="O11" s="4"/>
      <c r="P11" s="107" t="s">
        <v>92</v>
      </c>
      <c r="Q11" s="107" t="s">
        <v>94</v>
      </c>
      <c r="R11" s="107" t="s">
        <v>95</v>
      </c>
      <c r="S11" s="133" t="s">
        <v>101</v>
      </c>
      <c r="U11" s="1" t="s">
        <v>5</v>
      </c>
      <c r="V11" s="3"/>
      <c r="W11" s="4"/>
      <c r="X11" s="4"/>
      <c r="Y11" s="4"/>
      <c r="Z11" s="4"/>
      <c r="AA11" s="4"/>
      <c r="AB11" s="107" t="s">
        <v>92</v>
      </c>
      <c r="AC11" s="107">
        <v>1</v>
      </c>
      <c r="AD11" s="107" t="s">
        <v>95</v>
      </c>
      <c r="AE11" s="133" t="s">
        <v>92</v>
      </c>
      <c r="AG11" s="1" t="s">
        <v>5</v>
      </c>
      <c r="AH11" s="3"/>
      <c r="AI11" s="4"/>
      <c r="AJ11" s="4"/>
      <c r="AK11" s="4"/>
      <c r="AL11" s="4"/>
      <c r="AM11" s="4"/>
      <c r="AN11" s="107" t="s">
        <v>119</v>
      </c>
      <c r="AO11" s="107">
        <v>1</v>
      </c>
      <c r="AP11" s="107" t="s">
        <v>92</v>
      </c>
      <c r="AQ11" s="133" t="s">
        <v>119</v>
      </c>
    </row>
    <row r="12" spans="1:43" outlineLevel="1" x14ac:dyDescent="0.2">
      <c r="A12" s="28" t="s">
        <v>6</v>
      </c>
      <c r="B12" s="42">
        <f>SUMIF(SUPPORTO_punti!E:E,A12,SUPPORTO_punti!F:F)+SUPPORTO_pareggi!C41</f>
        <v>12</v>
      </c>
      <c r="C12" s="43">
        <f t="shared" si="3"/>
        <v>40</v>
      </c>
      <c r="D12" s="43">
        <v>7</v>
      </c>
      <c r="E12" s="42">
        <f t="shared" si="5"/>
        <v>0.56338028169014087</v>
      </c>
      <c r="F12" s="42">
        <f t="shared" si="4"/>
        <v>0.16901408450704225</v>
      </c>
      <c r="G12" s="44">
        <f t="shared" si="6"/>
        <v>1.0140845070422535</v>
      </c>
      <c r="H12" s="35" t="str">
        <f>'MAIN REPORT'!$A$6</f>
        <v>1. Quality aspect 1</v>
      </c>
      <c r="I12" s="1" t="s">
        <v>6</v>
      </c>
      <c r="J12" s="3"/>
      <c r="K12" s="4"/>
      <c r="L12" s="4"/>
      <c r="M12" s="4"/>
      <c r="N12" s="4"/>
      <c r="O12" s="4"/>
      <c r="P12" s="4"/>
      <c r="Q12" s="107" t="s">
        <v>103</v>
      </c>
      <c r="R12" s="107" t="s">
        <v>104</v>
      </c>
      <c r="S12" s="133" t="s">
        <v>93</v>
      </c>
      <c r="U12" s="1" t="s">
        <v>6</v>
      </c>
      <c r="V12" s="3"/>
      <c r="W12" s="4"/>
      <c r="X12" s="4"/>
      <c r="Y12" s="4"/>
      <c r="Z12" s="4"/>
      <c r="AA12" s="4"/>
      <c r="AB12" s="4"/>
      <c r="AC12" s="107" t="s">
        <v>94</v>
      </c>
      <c r="AD12" s="107" t="s">
        <v>104</v>
      </c>
      <c r="AE12" s="133" t="s">
        <v>93</v>
      </c>
      <c r="AG12" s="1" t="s">
        <v>6</v>
      </c>
      <c r="AH12" s="3"/>
      <c r="AI12" s="4"/>
      <c r="AJ12" s="4"/>
      <c r="AK12" s="4"/>
      <c r="AL12" s="4"/>
      <c r="AM12" s="4"/>
      <c r="AN12" s="4"/>
      <c r="AO12" s="107" t="s">
        <v>121</v>
      </c>
      <c r="AP12" s="107" t="s">
        <v>113</v>
      </c>
      <c r="AQ12" s="133">
        <v>1</v>
      </c>
    </row>
    <row r="13" spans="1:43" outlineLevel="1" x14ac:dyDescent="0.2">
      <c r="A13" s="28" t="s">
        <v>7</v>
      </c>
      <c r="B13" s="42">
        <f>SUMIF(SUPPORTO_punti!E:E,A13,SUPPORTO_punti!F:F)+SUPPORTO_pareggi!C47</f>
        <v>47</v>
      </c>
      <c r="C13" s="43">
        <f t="shared" si="3"/>
        <v>12</v>
      </c>
      <c r="D13" s="43">
        <v>8</v>
      </c>
      <c r="E13" s="42">
        <f t="shared" si="5"/>
        <v>0.16901408450704225</v>
      </c>
      <c r="F13" s="42">
        <f t="shared" si="4"/>
        <v>0.6619718309859155</v>
      </c>
      <c r="G13" s="44">
        <f t="shared" si="6"/>
        <v>3.971830985915493</v>
      </c>
      <c r="H13" s="35" t="str">
        <f>'MAIN REPORT'!$A$6</f>
        <v>1. Quality aspect 1</v>
      </c>
      <c r="I13" s="1" t="s">
        <v>7</v>
      </c>
      <c r="J13" s="3"/>
      <c r="K13" s="4"/>
      <c r="L13" s="4"/>
      <c r="M13" s="4"/>
      <c r="N13" s="4"/>
      <c r="O13" s="4"/>
      <c r="P13" s="4"/>
      <c r="Q13" s="4"/>
      <c r="R13" s="107" t="s">
        <v>94</v>
      </c>
      <c r="S13" s="133" t="s">
        <v>134</v>
      </c>
      <c r="U13" s="1" t="s">
        <v>7</v>
      </c>
      <c r="V13" s="3"/>
      <c r="W13" s="4"/>
      <c r="X13" s="4"/>
      <c r="Y13" s="4"/>
      <c r="Z13" s="4"/>
      <c r="AA13" s="4"/>
      <c r="AB13" s="4"/>
      <c r="AC13" s="4"/>
      <c r="AD13" s="107" t="s">
        <v>95</v>
      </c>
      <c r="AE13" s="133" t="s">
        <v>103</v>
      </c>
      <c r="AG13" s="1" t="s">
        <v>7</v>
      </c>
      <c r="AH13" s="3"/>
      <c r="AI13" s="4"/>
      <c r="AJ13" s="4"/>
      <c r="AK13" s="4"/>
      <c r="AL13" s="4"/>
      <c r="AM13" s="4"/>
      <c r="AN13" s="4"/>
      <c r="AO13" s="4"/>
      <c r="AP13" s="107">
        <v>1</v>
      </c>
      <c r="AQ13" s="133" t="s">
        <v>121</v>
      </c>
    </row>
    <row r="14" spans="1:43" outlineLevel="1" x14ac:dyDescent="0.2">
      <c r="A14" s="28" t="s">
        <v>8</v>
      </c>
      <c r="B14" s="42">
        <f>SUMIF(SUPPORTO_punti!E:E,A14,SUPPORTO_punti!F:F)+SUPPORTO_pareggi!C53</f>
        <v>50</v>
      </c>
      <c r="C14" s="43">
        <f t="shared" si="3"/>
        <v>8</v>
      </c>
      <c r="D14" s="43">
        <v>9</v>
      </c>
      <c r="E14" s="42">
        <f t="shared" si="5"/>
        <v>0.11267605633802817</v>
      </c>
      <c r="F14" s="42">
        <f t="shared" si="4"/>
        <v>0.70422535211267601</v>
      </c>
      <c r="G14" s="44">
        <f t="shared" si="6"/>
        <v>4.225352112676056</v>
      </c>
      <c r="H14" s="35" t="str">
        <f>'MAIN REPORT'!$A$6</f>
        <v>1. Quality aspect 1</v>
      </c>
      <c r="I14" s="1" t="s">
        <v>8</v>
      </c>
      <c r="J14" s="3"/>
      <c r="K14" s="4"/>
      <c r="L14" s="4"/>
      <c r="M14" s="4"/>
      <c r="N14" s="4"/>
      <c r="O14" s="4"/>
      <c r="P14" s="4"/>
      <c r="Q14" s="4"/>
      <c r="R14" s="4"/>
      <c r="S14" s="133" t="s">
        <v>113</v>
      </c>
      <c r="U14" s="1" t="s">
        <v>8</v>
      </c>
      <c r="V14" s="3"/>
      <c r="W14" s="4"/>
      <c r="X14" s="4"/>
      <c r="Y14" s="4"/>
      <c r="Z14" s="4"/>
      <c r="AA14" s="4"/>
      <c r="AB14" s="4"/>
      <c r="AC14" s="4"/>
      <c r="AD14" s="4"/>
      <c r="AE14" s="133" t="s">
        <v>104</v>
      </c>
      <c r="AG14" s="1" t="s">
        <v>8</v>
      </c>
      <c r="AH14" s="3"/>
      <c r="AI14" s="4"/>
      <c r="AJ14" s="4"/>
      <c r="AK14" s="4"/>
      <c r="AL14" s="4"/>
      <c r="AM14" s="4"/>
      <c r="AN14" s="4"/>
      <c r="AO14" s="4"/>
      <c r="AP14" s="4"/>
      <c r="AQ14" s="133" t="s">
        <v>122</v>
      </c>
    </row>
    <row r="15" spans="1:43" outlineLevel="1" x14ac:dyDescent="0.2">
      <c r="A15" s="29" t="s">
        <v>9</v>
      </c>
      <c r="B15" s="42">
        <f>SUMIF(SUPPORTO_punti!E:E,A15,SUPPORTO_punti!F:F)+SUPPORTO_pareggi!C59</f>
        <v>8</v>
      </c>
      <c r="C15" s="43">
        <f t="shared" si="3"/>
        <v>4</v>
      </c>
      <c r="D15" s="43">
        <v>10</v>
      </c>
      <c r="E15" s="42">
        <f t="shared" si="5"/>
        <v>5.6338028169014086E-2</v>
      </c>
      <c r="F15" s="42">
        <f t="shared" si="4"/>
        <v>0.11267605633802817</v>
      </c>
      <c r="G15" s="44">
        <f t="shared" si="6"/>
        <v>0.676056338028169</v>
      </c>
      <c r="H15" s="35" t="str">
        <f>'MAIN REPORT'!$A$6</f>
        <v>1. Quality aspect 1</v>
      </c>
      <c r="I15" s="1" t="s">
        <v>9</v>
      </c>
      <c r="J15" s="3"/>
      <c r="K15" s="4"/>
      <c r="L15" s="4"/>
      <c r="M15" s="4"/>
      <c r="N15" s="4"/>
      <c r="O15" s="4"/>
      <c r="P15" s="4"/>
      <c r="Q15" s="4"/>
      <c r="R15" s="4"/>
      <c r="S15" s="4"/>
      <c r="U15" s="1" t="s">
        <v>9</v>
      </c>
      <c r="V15" s="3"/>
      <c r="W15" s="4"/>
      <c r="X15" s="4"/>
      <c r="Y15" s="4"/>
      <c r="Z15" s="4"/>
      <c r="AA15" s="4"/>
      <c r="AB15" s="4"/>
      <c r="AC15" s="4"/>
      <c r="AD15" s="4"/>
      <c r="AE15" s="4"/>
      <c r="AG15" s="1" t="s">
        <v>9</v>
      </c>
      <c r="AH15" s="3"/>
      <c r="AI15" s="4"/>
      <c r="AJ15" s="4"/>
      <c r="AK15" s="4"/>
      <c r="AL15" s="4"/>
      <c r="AM15" s="4"/>
      <c r="AN15" s="4"/>
      <c r="AO15" s="4"/>
      <c r="AP15" s="4"/>
      <c r="AQ15" s="4"/>
    </row>
    <row r="16" spans="1:43" x14ac:dyDescent="0.2">
      <c r="A16" s="24" t="str">
        <f>'MAIN REPORT'!A7</f>
        <v>1. Quality aspect 2</v>
      </c>
      <c r="B16" s="5"/>
      <c r="C16" s="5"/>
      <c r="D16" s="5"/>
      <c r="E16" s="5"/>
      <c r="F16" s="22"/>
      <c r="G16" s="23">
        <f>'MAIN REPORT'!B7</f>
        <v>3</v>
      </c>
      <c r="I16" s="24" t="str">
        <f>A16</f>
        <v>1. Quality aspect 2</v>
      </c>
      <c r="J16" s="5"/>
      <c r="K16" s="5"/>
      <c r="L16" s="5"/>
      <c r="M16" s="5"/>
      <c r="N16" s="5"/>
      <c r="O16" s="5"/>
      <c r="P16" s="5"/>
      <c r="Q16" s="5"/>
      <c r="R16" s="5"/>
      <c r="S16" s="5"/>
      <c r="U16" s="24" t="str">
        <f>A16</f>
        <v>1. Quality aspect 2</v>
      </c>
      <c r="V16" s="5"/>
      <c r="W16" s="5"/>
      <c r="X16" s="5"/>
      <c r="Y16" s="5"/>
      <c r="Z16" s="5"/>
      <c r="AA16" s="5"/>
      <c r="AB16" s="5"/>
      <c r="AC16" s="5"/>
      <c r="AD16" s="5"/>
      <c r="AE16" s="5"/>
      <c r="AG16" s="24" t="str">
        <f>A16</f>
        <v>1. Quality aspect 2</v>
      </c>
      <c r="AH16" s="5"/>
      <c r="AI16" s="5"/>
      <c r="AJ16" s="5"/>
      <c r="AK16" s="5"/>
      <c r="AL16" s="5"/>
      <c r="AM16" s="5"/>
      <c r="AN16" s="5"/>
      <c r="AO16" s="5"/>
      <c r="AP16" s="5"/>
      <c r="AQ16" s="5"/>
    </row>
    <row r="17" spans="1:43" ht="16" outlineLevel="1" thickBot="1" x14ac:dyDescent="0.25">
      <c r="A17" s="39" t="s">
        <v>139</v>
      </c>
      <c r="B17" s="40" t="s">
        <v>138</v>
      </c>
      <c r="C17" s="40"/>
      <c r="D17" s="40"/>
      <c r="E17" s="40"/>
      <c r="F17" s="40" t="s">
        <v>218</v>
      </c>
      <c r="G17" s="41" t="s">
        <v>217</v>
      </c>
      <c r="I17" s="38"/>
      <c r="J17" s="1" t="s">
        <v>1</v>
      </c>
      <c r="K17" s="1" t="s">
        <v>2</v>
      </c>
      <c r="L17" s="1" t="s">
        <v>3</v>
      </c>
      <c r="M17" s="1" t="s">
        <v>0</v>
      </c>
      <c r="N17" s="1" t="s">
        <v>4</v>
      </c>
      <c r="O17" s="1" t="s">
        <v>5</v>
      </c>
      <c r="P17" s="1" t="s">
        <v>6</v>
      </c>
      <c r="Q17" s="1" t="s">
        <v>7</v>
      </c>
      <c r="R17" s="1" t="s">
        <v>8</v>
      </c>
      <c r="S17" s="1" t="s">
        <v>9</v>
      </c>
      <c r="U17" s="38"/>
      <c r="V17" s="1" t="s">
        <v>1</v>
      </c>
      <c r="W17" s="1" t="s">
        <v>2</v>
      </c>
      <c r="X17" s="1" t="s">
        <v>3</v>
      </c>
      <c r="Y17" s="1" t="s">
        <v>0</v>
      </c>
      <c r="Z17" s="1" t="s">
        <v>4</v>
      </c>
      <c r="AA17" s="1" t="s">
        <v>5</v>
      </c>
      <c r="AB17" s="1" t="s">
        <v>6</v>
      </c>
      <c r="AC17" s="1" t="s">
        <v>7</v>
      </c>
      <c r="AD17" s="1" t="s">
        <v>8</v>
      </c>
      <c r="AE17" s="1" t="s">
        <v>9</v>
      </c>
      <c r="AG17" s="38"/>
      <c r="AH17" s="1" t="s">
        <v>1</v>
      </c>
      <c r="AI17" s="1" t="s">
        <v>2</v>
      </c>
      <c r="AJ17" s="1" t="s">
        <v>3</v>
      </c>
      <c r="AK17" s="1" t="s">
        <v>0</v>
      </c>
      <c r="AL17" s="1" t="s">
        <v>4</v>
      </c>
      <c r="AM17" s="1" t="s">
        <v>5</v>
      </c>
      <c r="AN17" s="1" t="s">
        <v>6</v>
      </c>
      <c r="AO17" s="1" t="s">
        <v>7</v>
      </c>
      <c r="AP17" s="1" t="s">
        <v>8</v>
      </c>
      <c r="AQ17" s="1" t="s">
        <v>9</v>
      </c>
    </row>
    <row r="18" spans="1:43" outlineLevel="1" x14ac:dyDescent="0.2">
      <c r="A18" s="28" t="s">
        <v>1</v>
      </c>
      <c r="B18" s="42">
        <f>SUMIF(SUPPORTO_punti!G:G,A18,SUPPORTO_punti!H:H)+SUPPORTO_pareggi!E5</f>
        <v>81</v>
      </c>
      <c r="C18" s="43">
        <f t="shared" ref="C18:C27" si="7">LARGE($B$18:$B$27,D18)</f>
        <v>81</v>
      </c>
      <c r="D18" s="43">
        <v>1</v>
      </c>
      <c r="E18" s="42">
        <f>IF(SUM(B18:B27)=0,0,D18)</f>
        <v>1</v>
      </c>
      <c r="F18" s="42">
        <f t="shared" ref="F18:F27" si="8">VLOOKUP(B18,$C$18:$E$27,3,FALSE)</f>
        <v>1</v>
      </c>
      <c r="G18" s="44">
        <f>G$16*F18</f>
        <v>3</v>
      </c>
      <c r="H18" s="35" t="str">
        <f>'MAIN REPORT'!$A$7</f>
        <v>1. Quality aspect 2</v>
      </c>
      <c r="I18" s="1" t="s">
        <v>1</v>
      </c>
      <c r="J18" s="2"/>
      <c r="K18" s="106" t="s">
        <v>96</v>
      </c>
      <c r="L18" s="106" t="s">
        <v>105</v>
      </c>
      <c r="M18" s="106" t="s">
        <v>96</v>
      </c>
      <c r="N18" s="106" t="s">
        <v>87</v>
      </c>
      <c r="O18" s="106" t="s">
        <v>87</v>
      </c>
      <c r="P18" s="106" t="s">
        <v>105</v>
      </c>
      <c r="Q18" s="106" t="s">
        <v>96</v>
      </c>
      <c r="R18" s="106" t="s">
        <v>96</v>
      </c>
      <c r="S18" s="132" t="s">
        <v>96</v>
      </c>
      <c r="U18" s="1" t="s">
        <v>1</v>
      </c>
      <c r="V18" s="2"/>
      <c r="W18" s="106" t="s">
        <v>96</v>
      </c>
      <c r="X18" s="106" t="s">
        <v>114</v>
      </c>
      <c r="Y18" s="106" t="s">
        <v>96</v>
      </c>
      <c r="Z18" s="106" t="s">
        <v>87</v>
      </c>
      <c r="AA18" s="106" t="s">
        <v>87</v>
      </c>
      <c r="AB18" s="106" t="s">
        <v>96</v>
      </c>
      <c r="AC18" s="106" t="s">
        <v>87</v>
      </c>
      <c r="AD18" s="106" t="s">
        <v>96</v>
      </c>
      <c r="AE18" s="132" t="s">
        <v>96</v>
      </c>
      <c r="AG18" s="1" t="s">
        <v>1</v>
      </c>
      <c r="AH18" s="2"/>
      <c r="AI18" s="106" t="s">
        <v>87</v>
      </c>
      <c r="AJ18" s="106" t="s">
        <v>114</v>
      </c>
      <c r="AK18" s="106">
        <v>1</v>
      </c>
      <c r="AL18" s="106">
        <v>1</v>
      </c>
      <c r="AM18" s="106" t="s">
        <v>87</v>
      </c>
      <c r="AN18" s="106" t="s">
        <v>105</v>
      </c>
      <c r="AO18" s="106" t="s">
        <v>96</v>
      </c>
      <c r="AP18" s="106" t="s">
        <v>114</v>
      </c>
      <c r="AQ18" s="132" t="s">
        <v>114</v>
      </c>
    </row>
    <row r="19" spans="1:43" outlineLevel="1" x14ac:dyDescent="0.2">
      <c r="A19" s="28" t="s">
        <v>2</v>
      </c>
      <c r="B19" s="42">
        <f>SUMIF(SUPPORTO_punti!G:G,A19,SUPPORTO_punti!H:H)+SUPPORTO_pareggi!E11</f>
        <v>40</v>
      </c>
      <c r="C19" s="43">
        <f t="shared" si="7"/>
        <v>71</v>
      </c>
      <c r="D19" s="43">
        <v>2</v>
      </c>
      <c r="E19" s="42">
        <f t="shared" ref="E19:E24" si="9">(C19/$C$18)*$E$18</f>
        <v>0.87654320987654322</v>
      </c>
      <c r="F19" s="42">
        <f t="shared" si="8"/>
        <v>0.49382716049382713</v>
      </c>
      <c r="G19" s="44">
        <f t="shared" ref="G19:G27" si="10">G$16*F19</f>
        <v>1.4814814814814814</v>
      </c>
      <c r="H19" s="35" t="str">
        <f>'MAIN REPORT'!$A$7</f>
        <v>1. Quality aspect 2</v>
      </c>
      <c r="I19" s="1" t="s">
        <v>2</v>
      </c>
      <c r="J19" s="3"/>
      <c r="K19" s="4"/>
      <c r="L19" s="107" t="s">
        <v>106</v>
      </c>
      <c r="M19" s="107">
        <v>1</v>
      </c>
      <c r="N19" s="107" t="s">
        <v>100</v>
      </c>
      <c r="O19" s="107" t="s">
        <v>88</v>
      </c>
      <c r="P19" s="107" t="s">
        <v>88</v>
      </c>
      <c r="Q19" s="107" t="s">
        <v>88</v>
      </c>
      <c r="R19" s="107" t="s">
        <v>88</v>
      </c>
      <c r="S19" s="133" t="s">
        <v>97</v>
      </c>
      <c r="U19" s="1" t="s">
        <v>2</v>
      </c>
      <c r="V19" s="3"/>
      <c r="W19" s="4"/>
      <c r="X19" s="107" t="s">
        <v>97</v>
      </c>
      <c r="Y19" s="107" t="s">
        <v>99</v>
      </c>
      <c r="Z19" s="107" t="s">
        <v>100</v>
      </c>
      <c r="AA19" s="107" t="s">
        <v>92</v>
      </c>
      <c r="AB19" s="107" t="s">
        <v>88</v>
      </c>
      <c r="AC19" s="107" t="s">
        <v>103</v>
      </c>
      <c r="AD19" s="107" t="s">
        <v>95</v>
      </c>
      <c r="AE19" s="133">
        <v>1</v>
      </c>
      <c r="AG19" s="1" t="s">
        <v>2</v>
      </c>
      <c r="AH19" s="3"/>
      <c r="AI19" s="4"/>
      <c r="AJ19" s="107" t="s">
        <v>106</v>
      </c>
      <c r="AK19" s="107" t="s">
        <v>90</v>
      </c>
      <c r="AL19" s="107" t="s">
        <v>91</v>
      </c>
      <c r="AM19" s="107">
        <v>1</v>
      </c>
      <c r="AN19" s="107" t="s">
        <v>97</v>
      </c>
      <c r="AO19" s="107" t="s">
        <v>88</v>
      </c>
      <c r="AP19" s="107" t="s">
        <v>106</v>
      </c>
      <c r="AQ19" s="133" t="s">
        <v>106</v>
      </c>
    </row>
    <row r="20" spans="1:43" outlineLevel="1" x14ac:dyDescent="0.2">
      <c r="A20" s="28" t="s">
        <v>3</v>
      </c>
      <c r="B20" s="42">
        <f>SUMIF(SUPPORTO_punti!G:G,A20,SUPPORTO_punti!H:H)+SUPPORTO_pareggi!E17</f>
        <v>2</v>
      </c>
      <c r="C20" s="43">
        <f t="shared" si="7"/>
        <v>66</v>
      </c>
      <c r="D20" s="43">
        <v>3</v>
      </c>
      <c r="E20" s="42">
        <f t="shared" si="9"/>
        <v>0.81481481481481477</v>
      </c>
      <c r="F20" s="42">
        <f t="shared" si="8"/>
        <v>2.4691358024691357E-2</v>
      </c>
      <c r="G20" s="44">
        <f t="shared" si="10"/>
        <v>7.407407407407407E-2</v>
      </c>
      <c r="H20" s="35" t="str">
        <f>'MAIN REPORT'!$A$7</f>
        <v>1. Quality aspect 2</v>
      </c>
      <c r="I20" s="1" t="s">
        <v>3</v>
      </c>
      <c r="J20" s="3"/>
      <c r="K20" s="4"/>
      <c r="L20" s="4"/>
      <c r="M20" s="107" t="s">
        <v>108</v>
      </c>
      <c r="N20" s="107" t="s">
        <v>109</v>
      </c>
      <c r="O20" s="107" t="s">
        <v>110</v>
      </c>
      <c r="P20" s="107" t="s">
        <v>111</v>
      </c>
      <c r="Q20" s="107" t="s">
        <v>112</v>
      </c>
      <c r="R20" s="107" t="s">
        <v>122</v>
      </c>
      <c r="S20" s="133" t="s">
        <v>134</v>
      </c>
      <c r="U20" s="1" t="s">
        <v>3</v>
      </c>
      <c r="V20" s="3"/>
      <c r="W20" s="4"/>
      <c r="X20" s="4"/>
      <c r="Y20" s="107" t="s">
        <v>108</v>
      </c>
      <c r="Z20" s="107" t="s">
        <v>109</v>
      </c>
      <c r="AA20" s="107" t="s">
        <v>101</v>
      </c>
      <c r="AB20" s="107" t="s">
        <v>102</v>
      </c>
      <c r="AC20" s="107" t="s">
        <v>112</v>
      </c>
      <c r="AD20" s="107" t="s">
        <v>104</v>
      </c>
      <c r="AE20" s="133" t="s">
        <v>132</v>
      </c>
      <c r="AG20" s="1" t="s">
        <v>3</v>
      </c>
      <c r="AH20" s="3"/>
      <c r="AI20" s="4"/>
      <c r="AJ20" s="4"/>
      <c r="AK20" s="107" t="s">
        <v>117</v>
      </c>
      <c r="AL20" s="107" t="s">
        <v>118</v>
      </c>
      <c r="AM20" s="107" t="s">
        <v>110</v>
      </c>
      <c r="AN20" s="107" t="s">
        <v>93</v>
      </c>
      <c r="AO20" s="107" t="s">
        <v>103</v>
      </c>
      <c r="AP20" s="107">
        <v>1</v>
      </c>
      <c r="AQ20" s="133">
        <v>1</v>
      </c>
    </row>
    <row r="21" spans="1:43" outlineLevel="1" x14ac:dyDescent="0.2">
      <c r="A21" s="28" t="s">
        <v>0</v>
      </c>
      <c r="B21" s="42">
        <f>SUMIF(SUPPORTO_punti!G:G,A21,SUPPORTO_punti!H:H)+SUPPORTO_pareggi!E23</f>
        <v>66</v>
      </c>
      <c r="C21" s="43">
        <f t="shared" si="7"/>
        <v>42</v>
      </c>
      <c r="D21" s="43">
        <v>4</v>
      </c>
      <c r="E21" s="42">
        <f t="shared" si="9"/>
        <v>0.51851851851851849</v>
      </c>
      <c r="F21" s="42">
        <f t="shared" si="8"/>
        <v>0.81481481481481477</v>
      </c>
      <c r="G21" s="44">
        <f t="shared" si="10"/>
        <v>2.4444444444444442</v>
      </c>
      <c r="H21" s="35" t="str">
        <f>'MAIN REPORT'!$A$7</f>
        <v>1. Quality aspect 2</v>
      </c>
      <c r="I21" s="1" t="s">
        <v>0</v>
      </c>
      <c r="J21" s="3"/>
      <c r="K21" s="4"/>
      <c r="L21" s="4"/>
      <c r="M21" s="4"/>
      <c r="N21" s="107">
        <v>1</v>
      </c>
      <c r="O21" s="107">
        <v>1</v>
      </c>
      <c r="P21" s="107" t="s">
        <v>90</v>
      </c>
      <c r="Q21" s="107" t="s">
        <v>99</v>
      </c>
      <c r="R21" s="107" t="s">
        <v>108</v>
      </c>
      <c r="S21" s="133" t="s">
        <v>108</v>
      </c>
      <c r="U21" s="1" t="s">
        <v>0</v>
      </c>
      <c r="V21" s="3"/>
      <c r="W21" s="4"/>
      <c r="X21" s="4"/>
      <c r="Y21" s="4"/>
      <c r="Z21" s="107">
        <v>1</v>
      </c>
      <c r="AA21" s="107" t="s">
        <v>90</v>
      </c>
      <c r="AB21" s="107" t="s">
        <v>90</v>
      </c>
      <c r="AC21" s="107">
        <v>1</v>
      </c>
      <c r="AD21" s="107" t="s">
        <v>90</v>
      </c>
      <c r="AE21" s="133" t="s">
        <v>99</v>
      </c>
      <c r="AG21" s="1" t="s">
        <v>0</v>
      </c>
      <c r="AH21" s="3"/>
      <c r="AI21" s="4"/>
      <c r="AJ21" s="4"/>
      <c r="AK21" s="4"/>
      <c r="AL21" s="107">
        <v>1</v>
      </c>
      <c r="AM21" s="107" t="s">
        <v>90</v>
      </c>
      <c r="AN21" s="107" t="s">
        <v>108</v>
      </c>
      <c r="AO21" s="107" t="s">
        <v>99</v>
      </c>
      <c r="AP21" s="107" t="s">
        <v>117</v>
      </c>
      <c r="AQ21" s="133" t="s">
        <v>117</v>
      </c>
    </row>
    <row r="22" spans="1:43" outlineLevel="1" x14ac:dyDescent="0.2">
      <c r="A22" s="28" t="s">
        <v>4</v>
      </c>
      <c r="B22" s="42">
        <f>SUMIF(SUPPORTO_punti!G:G,A22,SUPPORTO_punti!H:H)+SUPPORTO_pareggi!E29</f>
        <v>71</v>
      </c>
      <c r="C22" s="43">
        <f t="shared" si="7"/>
        <v>40</v>
      </c>
      <c r="D22" s="43">
        <v>5</v>
      </c>
      <c r="E22" s="42">
        <f t="shared" si="9"/>
        <v>0.49382716049382713</v>
      </c>
      <c r="F22" s="42">
        <f t="shared" si="8"/>
        <v>0.87654320987654322</v>
      </c>
      <c r="G22" s="44">
        <f t="shared" si="10"/>
        <v>2.6296296296296298</v>
      </c>
      <c r="H22" s="35" t="str">
        <f>'MAIN REPORT'!$A$7</f>
        <v>1. Quality aspect 2</v>
      </c>
      <c r="I22" s="1" t="s">
        <v>4</v>
      </c>
      <c r="J22" s="3"/>
      <c r="K22" s="4"/>
      <c r="L22" s="4"/>
      <c r="M22" s="4"/>
      <c r="N22" s="4"/>
      <c r="O22" s="107" t="s">
        <v>100</v>
      </c>
      <c r="P22" s="107" t="s">
        <v>100</v>
      </c>
      <c r="Q22" s="107" t="s">
        <v>109</v>
      </c>
      <c r="R22" s="107" t="s">
        <v>109</v>
      </c>
      <c r="S22" s="133" t="s">
        <v>100</v>
      </c>
      <c r="U22" s="1" t="s">
        <v>4</v>
      </c>
      <c r="V22" s="3"/>
      <c r="W22" s="4"/>
      <c r="X22" s="4"/>
      <c r="Y22" s="4"/>
      <c r="Z22" s="4"/>
      <c r="AA22" s="107" t="s">
        <v>91</v>
      </c>
      <c r="AB22" s="107" t="s">
        <v>91</v>
      </c>
      <c r="AC22" s="107">
        <v>1</v>
      </c>
      <c r="AD22" s="107" t="s">
        <v>91</v>
      </c>
      <c r="AE22" s="133" t="s">
        <v>100</v>
      </c>
      <c r="AG22" s="1" t="s">
        <v>4</v>
      </c>
      <c r="AH22" s="3"/>
      <c r="AI22" s="4"/>
      <c r="AJ22" s="4"/>
      <c r="AK22" s="4"/>
      <c r="AL22" s="4"/>
      <c r="AM22" s="107" t="s">
        <v>91</v>
      </c>
      <c r="AN22" s="107" t="s">
        <v>109</v>
      </c>
      <c r="AO22" s="107" t="s">
        <v>100</v>
      </c>
      <c r="AP22" s="107" t="s">
        <v>118</v>
      </c>
      <c r="AQ22" s="133" t="s">
        <v>118</v>
      </c>
    </row>
    <row r="23" spans="1:43" outlineLevel="1" x14ac:dyDescent="0.2">
      <c r="A23" s="28" t="s">
        <v>5</v>
      </c>
      <c r="B23" s="42">
        <f>SUMIF(SUPPORTO_punti!G:G,A23,SUPPORTO_punti!H:H)+SUPPORTO_pareggi!E35</f>
        <v>42</v>
      </c>
      <c r="C23" s="43">
        <f t="shared" si="7"/>
        <v>34</v>
      </c>
      <c r="D23" s="43">
        <v>6</v>
      </c>
      <c r="E23" s="42">
        <f t="shared" si="9"/>
        <v>0.41975308641975306</v>
      </c>
      <c r="F23" s="42">
        <f t="shared" si="8"/>
        <v>0.51851851851851849</v>
      </c>
      <c r="G23" s="44">
        <f t="shared" si="10"/>
        <v>1.5555555555555554</v>
      </c>
      <c r="H23" s="35" t="str">
        <f>'MAIN REPORT'!$A$7</f>
        <v>1. Quality aspect 2</v>
      </c>
      <c r="I23" s="1" t="s">
        <v>5</v>
      </c>
      <c r="J23" s="3"/>
      <c r="K23" s="4"/>
      <c r="L23" s="4"/>
      <c r="M23" s="4"/>
      <c r="N23" s="4"/>
      <c r="O23" s="4"/>
      <c r="P23" s="107" t="s">
        <v>92</v>
      </c>
      <c r="Q23" s="107" t="s">
        <v>101</v>
      </c>
      <c r="R23" s="107" t="s">
        <v>101</v>
      </c>
      <c r="S23" s="133" t="s">
        <v>92</v>
      </c>
      <c r="U23" s="1" t="s">
        <v>5</v>
      </c>
      <c r="V23" s="3"/>
      <c r="W23" s="4"/>
      <c r="X23" s="4"/>
      <c r="Y23" s="4"/>
      <c r="Z23" s="4"/>
      <c r="AA23" s="4"/>
      <c r="AB23" s="107">
        <v>1</v>
      </c>
      <c r="AC23" s="107" t="s">
        <v>94</v>
      </c>
      <c r="AD23" s="107">
        <v>1</v>
      </c>
      <c r="AE23" s="133" t="s">
        <v>92</v>
      </c>
      <c r="AG23" s="1" t="s">
        <v>5</v>
      </c>
      <c r="AH23" s="3"/>
      <c r="AI23" s="4"/>
      <c r="AJ23" s="4"/>
      <c r="AK23" s="4"/>
      <c r="AL23" s="4"/>
      <c r="AM23" s="4"/>
      <c r="AN23" s="107" t="s">
        <v>101</v>
      </c>
      <c r="AO23" s="107" t="s">
        <v>92</v>
      </c>
      <c r="AP23" s="107" t="s">
        <v>110</v>
      </c>
      <c r="AQ23" s="133" t="s">
        <v>110</v>
      </c>
    </row>
    <row r="24" spans="1:43" outlineLevel="1" x14ac:dyDescent="0.2">
      <c r="A24" s="28" t="s">
        <v>6</v>
      </c>
      <c r="B24" s="42">
        <f>SUMIF(SUPPORTO_punti!G:G,A24,SUPPORTO_punti!H:H)+SUPPORTO_pareggi!E41</f>
        <v>22</v>
      </c>
      <c r="C24" s="43">
        <f t="shared" si="7"/>
        <v>22</v>
      </c>
      <c r="D24" s="43">
        <v>7</v>
      </c>
      <c r="E24" s="42">
        <f t="shared" si="9"/>
        <v>0.27160493827160492</v>
      </c>
      <c r="F24" s="42">
        <f t="shared" si="8"/>
        <v>0.27160493827160492</v>
      </c>
      <c r="G24" s="44">
        <f t="shared" si="10"/>
        <v>0.81481481481481477</v>
      </c>
      <c r="H24" s="35" t="str">
        <f>'MAIN REPORT'!$A$7</f>
        <v>1. Quality aspect 2</v>
      </c>
      <c r="I24" s="1" t="s">
        <v>6</v>
      </c>
      <c r="J24" s="3"/>
      <c r="K24" s="4"/>
      <c r="L24" s="4"/>
      <c r="M24" s="4"/>
      <c r="N24" s="4"/>
      <c r="O24" s="4"/>
      <c r="P24" s="4"/>
      <c r="Q24" s="107" t="s">
        <v>93</v>
      </c>
      <c r="R24" s="107" t="s">
        <v>93</v>
      </c>
      <c r="S24" s="133">
        <v>1</v>
      </c>
      <c r="U24" s="1" t="s">
        <v>6</v>
      </c>
      <c r="V24" s="3"/>
      <c r="W24" s="4"/>
      <c r="X24" s="4"/>
      <c r="Y24" s="4"/>
      <c r="Z24" s="4"/>
      <c r="AA24" s="4"/>
      <c r="AB24" s="4"/>
      <c r="AC24" s="107" t="s">
        <v>94</v>
      </c>
      <c r="AD24" s="107">
        <v>1</v>
      </c>
      <c r="AE24" s="133" t="s">
        <v>93</v>
      </c>
      <c r="AG24" s="1" t="s">
        <v>6</v>
      </c>
      <c r="AH24" s="3"/>
      <c r="AI24" s="4"/>
      <c r="AJ24" s="4"/>
      <c r="AK24" s="4"/>
      <c r="AL24" s="4"/>
      <c r="AM24" s="4"/>
      <c r="AN24" s="4"/>
      <c r="AO24" s="107" t="s">
        <v>94</v>
      </c>
      <c r="AP24" s="107" t="s">
        <v>93</v>
      </c>
      <c r="AQ24" s="133" t="s">
        <v>93</v>
      </c>
    </row>
    <row r="25" spans="1:43" outlineLevel="1" x14ac:dyDescent="0.2">
      <c r="A25" s="28" t="s">
        <v>7</v>
      </c>
      <c r="B25" s="42">
        <f>SUMIF(SUPPORTO_punti!G:G,A25,SUPPORTO_punti!H:H)+SUPPORTO_pareggi!E47</f>
        <v>34</v>
      </c>
      <c r="C25" s="43">
        <f t="shared" si="7"/>
        <v>17</v>
      </c>
      <c r="D25" s="43">
        <v>8</v>
      </c>
      <c r="E25" s="42">
        <f t="shared" ref="E25:E27" si="11">(C25/$C$18)*$E$18</f>
        <v>0.20987654320987653</v>
      </c>
      <c r="F25" s="42">
        <f t="shared" si="8"/>
        <v>0.41975308641975306</v>
      </c>
      <c r="G25" s="44">
        <f t="shared" si="10"/>
        <v>1.2592592592592591</v>
      </c>
      <c r="H25" s="35" t="str">
        <f>'MAIN REPORT'!$A$7</f>
        <v>1. Quality aspect 2</v>
      </c>
      <c r="I25" s="1" t="s">
        <v>7</v>
      </c>
      <c r="J25" s="3"/>
      <c r="K25" s="4"/>
      <c r="L25" s="4"/>
      <c r="M25" s="4"/>
      <c r="N25" s="4"/>
      <c r="O25" s="4"/>
      <c r="P25" s="4"/>
      <c r="Q25" s="4"/>
      <c r="R25" s="107">
        <v>1</v>
      </c>
      <c r="S25" s="133" t="s">
        <v>132</v>
      </c>
      <c r="U25" s="1" t="s">
        <v>7</v>
      </c>
      <c r="V25" s="3"/>
      <c r="W25" s="4"/>
      <c r="X25" s="4"/>
      <c r="Y25" s="4"/>
      <c r="Z25" s="4"/>
      <c r="AA25" s="4"/>
      <c r="AB25" s="4"/>
      <c r="AC25" s="4"/>
      <c r="AD25" s="107" t="s">
        <v>94</v>
      </c>
      <c r="AE25" s="133" t="s">
        <v>103</v>
      </c>
      <c r="AG25" s="1" t="s">
        <v>7</v>
      </c>
      <c r="AH25" s="3"/>
      <c r="AI25" s="4"/>
      <c r="AJ25" s="4"/>
      <c r="AK25" s="4"/>
      <c r="AL25" s="4"/>
      <c r="AM25" s="4"/>
      <c r="AN25" s="4"/>
      <c r="AO25" s="4"/>
      <c r="AP25" s="107" t="s">
        <v>103</v>
      </c>
      <c r="AQ25" s="133" t="s">
        <v>103</v>
      </c>
    </row>
    <row r="26" spans="1:43" outlineLevel="1" x14ac:dyDescent="0.2">
      <c r="A26" s="28" t="s">
        <v>8</v>
      </c>
      <c r="B26" s="42">
        <f>SUMIF(SUPPORTO_punti!G:G,A26,SUPPORTO_punti!H:H)+SUPPORTO_pareggi!E53</f>
        <v>17</v>
      </c>
      <c r="C26" s="43">
        <f t="shared" si="7"/>
        <v>14</v>
      </c>
      <c r="D26" s="43">
        <v>9</v>
      </c>
      <c r="E26" s="42">
        <f t="shared" si="11"/>
        <v>0.1728395061728395</v>
      </c>
      <c r="F26" s="42">
        <f t="shared" si="8"/>
        <v>0.20987654320987653</v>
      </c>
      <c r="G26" s="44">
        <f t="shared" si="10"/>
        <v>0.62962962962962954</v>
      </c>
      <c r="H26" s="35" t="str">
        <f>'MAIN REPORT'!$A$7</f>
        <v>1. Quality aspect 2</v>
      </c>
      <c r="I26" s="1" t="s">
        <v>8</v>
      </c>
      <c r="J26" s="3"/>
      <c r="K26" s="4"/>
      <c r="L26" s="4"/>
      <c r="M26" s="4"/>
      <c r="N26" s="4"/>
      <c r="O26" s="4"/>
      <c r="P26" s="4"/>
      <c r="Q26" s="4"/>
      <c r="R26" s="4"/>
      <c r="S26" s="133" t="s">
        <v>132</v>
      </c>
      <c r="U26" s="1" t="s">
        <v>8</v>
      </c>
      <c r="V26" s="3"/>
      <c r="W26" s="4"/>
      <c r="X26" s="4"/>
      <c r="Y26" s="4"/>
      <c r="Z26" s="4"/>
      <c r="AA26" s="4"/>
      <c r="AB26" s="4"/>
      <c r="AC26" s="4"/>
      <c r="AD26" s="4"/>
      <c r="AE26" s="133" t="s">
        <v>95</v>
      </c>
      <c r="AG26" s="1" t="s">
        <v>8</v>
      </c>
      <c r="AH26" s="3"/>
      <c r="AI26" s="4"/>
      <c r="AJ26" s="4"/>
      <c r="AK26" s="4"/>
      <c r="AL26" s="4"/>
      <c r="AM26" s="4"/>
      <c r="AN26" s="4"/>
      <c r="AO26" s="4"/>
      <c r="AP26" s="4"/>
      <c r="AQ26" s="133">
        <v>1</v>
      </c>
    </row>
    <row r="27" spans="1:43" outlineLevel="1" x14ac:dyDescent="0.2">
      <c r="A27" s="29" t="s">
        <v>9</v>
      </c>
      <c r="B27" s="42">
        <f>SUMIF(SUPPORTO_punti!G:G,A27,SUPPORTO_punti!H:H)+SUPPORTO_pareggi!E59</f>
        <v>14</v>
      </c>
      <c r="C27" s="43">
        <f t="shared" si="7"/>
        <v>2</v>
      </c>
      <c r="D27" s="43">
        <v>10</v>
      </c>
      <c r="E27" s="42">
        <f t="shared" si="11"/>
        <v>2.4691358024691357E-2</v>
      </c>
      <c r="F27" s="42">
        <f t="shared" si="8"/>
        <v>0.1728395061728395</v>
      </c>
      <c r="G27" s="44">
        <f t="shared" si="10"/>
        <v>0.51851851851851849</v>
      </c>
      <c r="H27" s="35" t="str">
        <f>'MAIN REPORT'!$A$7</f>
        <v>1. Quality aspect 2</v>
      </c>
      <c r="I27" s="1" t="s">
        <v>9</v>
      </c>
      <c r="J27" s="3"/>
      <c r="K27" s="4"/>
      <c r="L27" s="4"/>
      <c r="M27" s="4"/>
      <c r="N27" s="4"/>
      <c r="O27" s="4"/>
      <c r="P27" s="4"/>
      <c r="Q27" s="4"/>
      <c r="R27" s="4"/>
      <c r="S27" s="4"/>
      <c r="U27" s="1" t="s">
        <v>9</v>
      </c>
      <c r="V27" s="3"/>
      <c r="W27" s="4"/>
      <c r="X27" s="4"/>
      <c r="Y27" s="4"/>
      <c r="Z27" s="4"/>
      <c r="AA27" s="4"/>
      <c r="AB27" s="4"/>
      <c r="AC27" s="4"/>
      <c r="AD27" s="4"/>
      <c r="AE27" s="4"/>
      <c r="AG27" s="1" t="s">
        <v>9</v>
      </c>
      <c r="AH27" s="3"/>
      <c r="AI27" s="4"/>
      <c r="AJ27" s="4"/>
      <c r="AK27" s="4"/>
      <c r="AL27" s="4"/>
      <c r="AM27" s="4"/>
      <c r="AN27" s="4"/>
      <c r="AO27" s="4"/>
      <c r="AP27" s="4"/>
      <c r="AQ27" s="4"/>
    </row>
    <row r="28" spans="1:43" x14ac:dyDescent="0.2">
      <c r="A28" s="24" t="str">
        <f>'MAIN REPORT'!A8</f>
        <v>1. Quality aspect 3</v>
      </c>
      <c r="B28" s="5"/>
      <c r="C28" s="5"/>
      <c r="D28" s="5"/>
      <c r="E28" s="5"/>
      <c r="F28" s="22"/>
      <c r="G28" s="23">
        <f>'MAIN REPORT'!B8</f>
        <v>3</v>
      </c>
      <c r="I28" s="24" t="str">
        <f>A28</f>
        <v>1. Quality aspect 3</v>
      </c>
      <c r="J28" s="5"/>
      <c r="K28" s="5"/>
      <c r="L28" s="5"/>
      <c r="M28" s="5"/>
      <c r="N28" s="5"/>
      <c r="O28" s="5"/>
      <c r="P28" s="5"/>
      <c r="Q28" s="5"/>
      <c r="R28" s="5"/>
      <c r="S28" s="5"/>
      <c r="U28" s="24" t="str">
        <f>A28</f>
        <v>1. Quality aspect 3</v>
      </c>
      <c r="V28" s="5"/>
      <c r="W28" s="5"/>
      <c r="X28" s="5"/>
      <c r="Y28" s="5"/>
      <c r="Z28" s="5"/>
      <c r="AA28" s="5"/>
      <c r="AB28" s="5"/>
      <c r="AC28" s="5"/>
      <c r="AD28" s="5"/>
      <c r="AE28" s="5"/>
      <c r="AG28" s="24" t="str">
        <f>A28</f>
        <v>1. Quality aspect 3</v>
      </c>
      <c r="AH28" s="5"/>
      <c r="AI28" s="5"/>
      <c r="AJ28" s="5"/>
      <c r="AK28" s="5"/>
      <c r="AL28" s="5"/>
      <c r="AM28" s="5"/>
      <c r="AN28" s="5"/>
      <c r="AO28" s="5"/>
      <c r="AP28" s="5"/>
      <c r="AQ28" s="5"/>
    </row>
    <row r="29" spans="1:43" ht="16" outlineLevel="1" thickBot="1" x14ac:dyDescent="0.25">
      <c r="A29" s="39" t="s">
        <v>139</v>
      </c>
      <c r="B29" s="40" t="s">
        <v>138</v>
      </c>
      <c r="C29" s="40"/>
      <c r="D29" s="40"/>
      <c r="E29" s="40"/>
      <c r="F29" s="40" t="s">
        <v>218</v>
      </c>
      <c r="G29" s="41" t="s">
        <v>217</v>
      </c>
      <c r="I29" s="38"/>
      <c r="J29" s="1" t="s">
        <v>1</v>
      </c>
      <c r="K29" s="1" t="s">
        <v>2</v>
      </c>
      <c r="L29" s="1" t="s">
        <v>3</v>
      </c>
      <c r="M29" s="1" t="s">
        <v>0</v>
      </c>
      <c r="N29" s="1" t="s">
        <v>4</v>
      </c>
      <c r="O29" s="1" t="s">
        <v>5</v>
      </c>
      <c r="P29" s="1" t="s">
        <v>6</v>
      </c>
      <c r="Q29" s="1" t="s">
        <v>7</v>
      </c>
      <c r="R29" s="1" t="s">
        <v>8</v>
      </c>
      <c r="S29" s="1" t="s">
        <v>9</v>
      </c>
      <c r="U29" s="38"/>
      <c r="V29" s="1" t="s">
        <v>1</v>
      </c>
      <c r="W29" s="1" t="s">
        <v>2</v>
      </c>
      <c r="X29" s="1" t="s">
        <v>3</v>
      </c>
      <c r="Y29" s="1" t="s">
        <v>0</v>
      </c>
      <c r="Z29" s="1" t="s">
        <v>4</v>
      </c>
      <c r="AA29" s="1" t="s">
        <v>5</v>
      </c>
      <c r="AB29" s="1" t="s">
        <v>6</v>
      </c>
      <c r="AC29" s="1" t="s">
        <v>7</v>
      </c>
      <c r="AD29" s="1" t="s">
        <v>8</v>
      </c>
      <c r="AE29" s="1" t="s">
        <v>9</v>
      </c>
      <c r="AG29" s="38"/>
      <c r="AH29" s="1" t="s">
        <v>1</v>
      </c>
      <c r="AI29" s="1" t="s">
        <v>2</v>
      </c>
      <c r="AJ29" s="1" t="s">
        <v>3</v>
      </c>
      <c r="AK29" s="1" t="s">
        <v>0</v>
      </c>
      <c r="AL29" s="1" t="s">
        <v>4</v>
      </c>
      <c r="AM29" s="1" t="s">
        <v>5</v>
      </c>
      <c r="AN29" s="1" t="s">
        <v>6</v>
      </c>
      <c r="AO29" s="1" t="s">
        <v>7</v>
      </c>
      <c r="AP29" s="1" t="s">
        <v>8</v>
      </c>
      <c r="AQ29" s="1" t="s">
        <v>9</v>
      </c>
    </row>
    <row r="30" spans="1:43" outlineLevel="1" x14ac:dyDescent="0.2">
      <c r="A30" s="28" t="s">
        <v>1</v>
      </c>
      <c r="B30" s="42">
        <f>SUMIF(SUPPORTO_punti!I:I,A30,SUPPORTO_punti!J:J)+SUPPORTO_pareggi!G5</f>
        <v>32</v>
      </c>
      <c r="C30" s="43">
        <f t="shared" ref="C30:C39" si="12">LARGE($B$30:$B$39,D30)</f>
        <v>77</v>
      </c>
      <c r="D30" s="43">
        <v>1</v>
      </c>
      <c r="E30" s="42">
        <f>IF(SUM(B30:B39)=0,0,D30)</f>
        <v>1</v>
      </c>
      <c r="F30" s="42">
        <f t="shared" ref="F30:F39" si="13">VLOOKUP(B30,$C$30:$E$39,3,FALSE)</f>
        <v>0.41558441558441561</v>
      </c>
      <c r="G30" s="44">
        <f>G$28*F30</f>
        <v>1.2467532467532467</v>
      </c>
      <c r="H30" s="35" t="str">
        <f>'MAIN REPORT'!$A$8</f>
        <v>1. Quality aspect 3</v>
      </c>
      <c r="I30" s="1" t="s">
        <v>1</v>
      </c>
      <c r="J30" s="2"/>
      <c r="K30" s="106" t="s">
        <v>88</v>
      </c>
      <c r="L30" s="106" t="s">
        <v>96</v>
      </c>
      <c r="M30" s="106" t="s">
        <v>108</v>
      </c>
      <c r="N30" s="106" t="s">
        <v>91</v>
      </c>
      <c r="O30" s="106" t="s">
        <v>87</v>
      </c>
      <c r="P30" s="106" t="s">
        <v>96</v>
      </c>
      <c r="Q30" s="106" t="s">
        <v>96</v>
      </c>
      <c r="R30" s="106" t="s">
        <v>104</v>
      </c>
      <c r="S30" s="132" t="s">
        <v>96</v>
      </c>
      <c r="U30" s="1" t="s">
        <v>1</v>
      </c>
      <c r="V30" s="2"/>
      <c r="W30" s="106">
        <v>1</v>
      </c>
      <c r="X30" s="106" t="s">
        <v>87</v>
      </c>
      <c r="Y30" s="106">
        <v>1</v>
      </c>
      <c r="Z30" s="106" t="s">
        <v>91</v>
      </c>
      <c r="AA30" s="106" t="s">
        <v>92</v>
      </c>
      <c r="AB30" s="106">
        <v>1</v>
      </c>
      <c r="AC30" s="106">
        <v>1</v>
      </c>
      <c r="AD30" s="106">
        <v>1</v>
      </c>
      <c r="AE30" s="132" t="s">
        <v>96</v>
      </c>
      <c r="AG30" s="1" t="s">
        <v>1</v>
      </c>
      <c r="AH30" s="2"/>
      <c r="AI30" s="106" t="s">
        <v>97</v>
      </c>
      <c r="AJ30" s="106" t="s">
        <v>89</v>
      </c>
      <c r="AK30" s="106" t="s">
        <v>108</v>
      </c>
      <c r="AL30" s="106" t="s">
        <v>87</v>
      </c>
      <c r="AM30" s="106" t="s">
        <v>110</v>
      </c>
      <c r="AN30" s="106" t="s">
        <v>87</v>
      </c>
      <c r="AO30" s="106" t="s">
        <v>87</v>
      </c>
      <c r="AP30" s="106" t="s">
        <v>104</v>
      </c>
      <c r="AQ30" s="132" t="s">
        <v>87</v>
      </c>
    </row>
    <row r="31" spans="1:43" outlineLevel="1" x14ac:dyDescent="0.2">
      <c r="A31" s="28" t="s">
        <v>2</v>
      </c>
      <c r="B31" s="42">
        <f>SUMIF(SUPPORTO_punti!I:I,A31,SUPPORTO_punti!J:J)+SUPPORTO_pareggi!G11</f>
        <v>40</v>
      </c>
      <c r="C31" s="43">
        <f t="shared" si="12"/>
        <v>64</v>
      </c>
      <c r="D31" s="43">
        <v>2</v>
      </c>
      <c r="E31" s="42">
        <f>(C31/$C$30)*$E$30</f>
        <v>0.83116883116883122</v>
      </c>
      <c r="F31" s="42">
        <f t="shared" si="13"/>
        <v>0.51948051948051943</v>
      </c>
      <c r="G31" s="44">
        <f t="shared" ref="G31:G39" si="14">G$28*F31</f>
        <v>1.5584415584415583</v>
      </c>
      <c r="H31" s="35" t="str">
        <f>'MAIN REPORT'!$A$8</f>
        <v>1. Quality aspect 3</v>
      </c>
      <c r="I31" s="1" t="s">
        <v>2</v>
      </c>
      <c r="J31" s="3"/>
      <c r="K31" s="4"/>
      <c r="L31" s="107" t="s">
        <v>88</v>
      </c>
      <c r="M31" s="107" t="s">
        <v>90</v>
      </c>
      <c r="N31" s="107">
        <v>1</v>
      </c>
      <c r="O31" s="107" t="s">
        <v>88</v>
      </c>
      <c r="P31" s="107" t="s">
        <v>88</v>
      </c>
      <c r="Q31" s="107" t="s">
        <v>97</v>
      </c>
      <c r="R31" s="107" t="s">
        <v>95</v>
      </c>
      <c r="S31" s="133" t="s">
        <v>97</v>
      </c>
      <c r="U31" s="1" t="s">
        <v>2</v>
      </c>
      <c r="V31" s="3"/>
      <c r="W31" s="4"/>
      <c r="X31" s="107" t="s">
        <v>89</v>
      </c>
      <c r="Y31" s="107">
        <v>1</v>
      </c>
      <c r="Z31" s="107">
        <v>1</v>
      </c>
      <c r="AA31" s="107" t="s">
        <v>92</v>
      </c>
      <c r="AB31" s="107" t="s">
        <v>93</v>
      </c>
      <c r="AC31" s="107" t="s">
        <v>88</v>
      </c>
      <c r="AD31" s="107" t="s">
        <v>95</v>
      </c>
      <c r="AE31" s="133" t="s">
        <v>88</v>
      </c>
      <c r="AG31" s="1" t="s">
        <v>2</v>
      </c>
      <c r="AH31" s="3"/>
      <c r="AI31" s="4"/>
      <c r="AJ31" s="107" t="s">
        <v>88</v>
      </c>
      <c r="AK31" s="107" t="s">
        <v>90</v>
      </c>
      <c r="AL31" s="107" t="s">
        <v>106</v>
      </c>
      <c r="AM31" s="107" t="s">
        <v>92</v>
      </c>
      <c r="AN31" s="107" t="s">
        <v>106</v>
      </c>
      <c r="AO31" s="107" t="s">
        <v>106</v>
      </c>
      <c r="AP31" s="107">
        <v>1</v>
      </c>
      <c r="AQ31" s="133" t="s">
        <v>134</v>
      </c>
    </row>
    <row r="32" spans="1:43" outlineLevel="1" x14ac:dyDescent="0.2">
      <c r="A32" s="28" t="s">
        <v>3</v>
      </c>
      <c r="B32" s="42">
        <f>SUMIF(SUPPORTO_punti!I:I,A32,SUPPORTO_punti!J:J)+SUPPORTO_pareggi!G17</f>
        <v>16</v>
      </c>
      <c r="C32" s="43">
        <f t="shared" si="12"/>
        <v>59</v>
      </c>
      <c r="D32" s="43">
        <v>3</v>
      </c>
      <c r="E32" s="42">
        <f t="shared" ref="E32:E39" si="15">(C32/$C$30)*$E$30</f>
        <v>0.76623376623376627</v>
      </c>
      <c r="F32" s="42">
        <f t="shared" si="13"/>
        <v>0.20779220779220781</v>
      </c>
      <c r="G32" s="44">
        <f t="shared" si="14"/>
        <v>0.62337662337662336</v>
      </c>
      <c r="H32" s="35" t="str">
        <f>'MAIN REPORT'!$A$8</f>
        <v>1. Quality aspect 3</v>
      </c>
      <c r="I32" s="1" t="s">
        <v>3</v>
      </c>
      <c r="J32" s="3"/>
      <c r="K32" s="4"/>
      <c r="L32" s="4"/>
      <c r="M32" s="107" t="s">
        <v>117</v>
      </c>
      <c r="N32" s="107" t="s">
        <v>100</v>
      </c>
      <c r="O32" s="107" t="s">
        <v>101</v>
      </c>
      <c r="P32" s="107" t="s">
        <v>93</v>
      </c>
      <c r="Q32" s="107" t="s">
        <v>94</v>
      </c>
      <c r="R32" s="107" t="s">
        <v>113</v>
      </c>
      <c r="S32" s="133">
        <v>1</v>
      </c>
      <c r="U32" s="1" t="s">
        <v>3</v>
      </c>
      <c r="V32" s="3"/>
      <c r="W32" s="4"/>
      <c r="X32" s="4"/>
      <c r="Y32" s="107" t="s">
        <v>108</v>
      </c>
      <c r="Z32" s="107">
        <v>1</v>
      </c>
      <c r="AA32" s="107" t="s">
        <v>92</v>
      </c>
      <c r="AB32" s="107" t="s">
        <v>93</v>
      </c>
      <c r="AC32" s="107" t="s">
        <v>98</v>
      </c>
      <c r="AD32" s="107" t="s">
        <v>95</v>
      </c>
      <c r="AE32" s="133">
        <v>1</v>
      </c>
      <c r="AG32" s="1" t="s">
        <v>3</v>
      </c>
      <c r="AH32" s="3"/>
      <c r="AI32" s="4"/>
      <c r="AJ32" s="4"/>
      <c r="AK32" s="107" t="s">
        <v>99</v>
      </c>
      <c r="AL32" s="107" t="s">
        <v>98</v>
      </c>
      <c r="AM32" s="107" t="s">
        <v>101</v>
      </c>
      <c r="AN32" s="107" t="s">
        <v>98</v>
      </c>
      <c r="AO32" s="107" t="s">
        <v>103</v>
      </c>
      <c r="AP32" s="107" t="s">
        <v>95</v>
      </c>
      <c r="AQ32" s="133" t="s">
        <v>133</v>
      </c>
    </row>
    <row r="33" spans="1:43" outlineLevel="1" x14ac:dyDescent="0.2">
      <c r="A33" s="28" t="s">
        <v>0</v>
      </c>
      <c r="B33" s="42">
        <f>SUMIF(SUPPORTO_punti!I:I,A33,SUPPORTO_punti!J:J)+SUPPORTO_pareggi!G23</f>
        <v>77</v>
      </c>
      <c r="C33" s="43">
        <f t="shared" si="12"/>
        <v>40</v>
      </c>
      <c r="D33" s="43">
        <v>4</v>
      </c>
      <c r="E33" s="42">
        <f t="shared" si="15"/>
        <v>0.51948051948051943</v>
      </c>
      <c r="F33" s="42">
        <f t="shared" si="13"/>
        <v>1</v>
      </c>
      <c r="G33" s="44">
        <f t="shared" si="14"/>
        <v>3</v>
      </c>
      <c r="H33" s="35" t="str">
        <f>'MAIN REPORT'!$A$8</f>
        <v>1. Quality aspect 3</v>
      </c>
      <c r="I33" s="1" t="s">
        <v>0</v>
      </c>
      <c r="J33" s="3"/>
      <c r="K33" s="4"/>
      <c r="L33" s="4"/>
      <c r="M33" s="4"/>
      <c r="N33" s="107" t="s">
        <v>99</v>
      </c>
      <c r="O33" s="107" t="s">
        <v>99</v>
      </c>
      <c r="P33" s="107" t="s">
        <v>108</v>
      </c>
      <c r="Q33" s="107" t="s">
        <v>108</v>
      </c>
      <c r="R33" s="107">
        <v>1</v>
      </c>
      <c r="S33" s="133" t="s">
        <v>117</v>
      </c>
      <c r="U33" s="1" t="s">
        <v>0</v>
      </c>
      <c r="V33" s="3"/>
      <c r="W33" s="4"/>
      <c r="X33" s="4"/>
      <c r="Y33" s="4"/>
      <c r="Z33" s="107" t="s">
        <v>90</v>
      </c>
      <c r="AA33" s="107" t="s">
        <v>92</v>
      </c>
      <c r="AB33" s="107">
        <v>1</v>
      </c>
      <c r="AC33" s="107" t="s">
        <v>99</v>
      </c>
      <c r="AD33" s="107">
        <v>1</v>
      </c>
      <c r="AE33" s="133" t="s">
        <v>90</v>
      </c>
      <c r="AG33" s="1" t="s">
        <v>0</v>
      </c>
      <c r="AH33" s="3"/>
      <c r="AI33" s="4"/>
      <c r="AJ33" s="4"/>
      <c r="AK33" s="4"/>
      <c r="AL33" s="107" t="s">
        <v>117</v>
      </c>
      <c r="AM33" s="107">
        <v>1</v>
      </c>
      <c r="AN33" s="107" t="s">
        <v>117</v>
      </c>
      <c r="AO33" s="107" t="s">
        <v>117</v>
      </c>
      <c r="AP33" s="107">
        <v>1</v>
      </c>
      <c r="AQ33" s="133" t="s">
        <v>117</v>
      </c>
    </row>
    <row r="34" spans="1:43" outlineLevel="1" x14ac:dyDescent="0.2">
      <c r="A34" s="28" t="s">
        <v>4</v>
      </c>
      <c r="B34" s="42">
        <f>SUMIF(SUPPORTO_punti!I:I,A34,SUPPORTO_punti!J:J)+SUPPORTO_pareggi!G29</f>
        <v>28</v>
      </c>
      <c r="C34" s="43">
        <f t="shared" si="12"/>
        <v>32</v>
      </c>
      <c r="D34" s="43">
        <v>5</v>
      </c>
      <c r="E34" s="42">
        <f t="shared" si="15"/>
        <v>0.41558441558441561</v>
      </c>
      <c r="F34" s="42">
        <f t="shared" si="13"/>
        <v>0.36363636363636365</v>
      </c>
      <c r="G34" s="44">
        <f t="shared" si="14"/>
        <v>1.0909090909090908</v>
      </c>
      <c r="H34" s="35" t="str">
        <f>'MAIN REPORT'!$A$8</f>
        <v>1. Quality aspect 3</v>
      </c>
      <c r="I34" s="1" t="s">
        <v>4</v>
      </c>
      <c r="J34" s="3"/>
      <c r="K34" s="4"/>
      <c r="L34" s="4"/>
      <c r="M34" s="4"/>
      <c r="N34" s="4"/>
      <c r="O34" s="107" t="s">
        <v>91</v>
      </c>
      <c r="P34" s="107" t="s">
        <v>91</v>
      </c>
      <c r="Q34" s="107" t="s">
        <v>100</v>
      </c>
      <c r="R34" s="107" t="s">
        <v>95</v>
      </c>
      <c r="S34" s="133" t="s">
        <v>100</v>
      </c>
      <c r="U34" s="1" t="s">
        <v>4</v>
      </c>
      <c r="V34" s="3"/>
      <c r="W34" s="4"/>
      <c r="X34" s="4"/>
      <c r="Y34" s="4"/>
      <c r="Z34" s="4"/>
      <c r="AA34" s="107" t="s">
        <v>92</v>
      </c>
      <c r="AB34" s="107" t="s">
        <v>93</v>
      </c>
      <c r="AC34" s="107" t="s">
        <v>100</v>
      </c>
      <c r="AD34" s="107" t="s">
        <v>95</v>
      </c>
      <c r="AE34" s="133" t="s">
        <v>91</v>
      </c>
      <c r="AG34" s="1" t="s">
        <v>4</v>
      </c>
      <c r="AH34" s="3"/>
      <c r="AI34" s="4"/>
      <c r="AJ34" s="4"/>
      <c r="AK34" s="4"/>
      <c r="AL34" s="4"/>
      <c r="AM34" s="107" t="s">
        <v>119</v>
      </c>
      <c r="AN34" s="107">
        <v>1</v>
      </c>
      <c r="AO34" s="107">
        <v>1</v>
      </c>
      <c r="AP34" s="107" t="s">
        <v>113</v>
      </c>
      <c r="AQ34" s="133">
        <v>1</v>
      </c>
    </row>
    <row r="35" spans="1:43" outlineLevel="1" x14ac:dyDescent="0.2">
      <c r="A35" s="28" t="s">
        <v>5</v>
      </c>
      <c r="B35" s="42">
        <f>SUMIF(SUPPORTO_punti!I:I,A35,SUPPORTO_punti!J:J)+SUPPORTO_pareggi!G35</f>
        <v>59</v>
      </c>
      <c r="C35" s="43">
        <f t="shared" si="12"/>
        <v>28</v>
      </c>
      <c r="D35" s="43">
        <v>6</v>
      </c>
      <c r="E35" s="42">
        <f t="shared" si="15"/>
        <v>0.36363636363636365</v>
      </c>
      <c r="F35" s="42">
        <f t="shared" si="13"/>
        <v>0.76623376623376627</v>
      </c>
      <c r="G35" s="44">
        <f t="shared" si="14"/>
        <v>2.2987012987012987</v>
      </c>
      <c r="H35" s="35" t="str">
        <f>'MAIN REPORT'!$A$8</f>
        <v>1. Quality aspect 3</v>
      </c>
      <c r="I35" s="1" t="s">
        <v>5</v>
      </c>
      <c r="J35" s="3"/>
      <c r="K35" s="4"/>
      <c r="L35" s="4"/>
      <c r="M35" s="4"/>
      <c r="N35" s="4"/>
      <c r="O35" s="4"/>
      <c r="P35" s="107" t="s">
        <v>92</v>
      </c>
      <c r="Q35" s="107" t="s">
        <v>92</v>
      </c>
      <c r="R35" s="107" t="s">
        <v>104</v>
      </c>
      <c r="S35" s="133" t="s">
        <v>101</v>
      </c>
      <c r="U35" s="1" t="s">
        <v>5</v>
      </c>
      <c r="V35" s="3"/>
      <c r="W35" s="4"/>
      <c r="X35" s="4"/>
      <c r="Y35" s="4"/>
      <c r="Z35" s="4"/>
      <c r="AA35" s="4"/>
      <c r="AB35" s="107">
        <v>1</v>
      </c>
      <c r="AC35" s="107" t="s">
        <v>92</v>
      </c>
      <c r="AD35" s="107">
        <v>1</v>
      </c>
      <c r="AE35" s="133" t="s">
        <v>101</v>
      </c>
      <c r="AG35" s="1" t="s">
        <v>5</v>
      </c>
      <c r="AH35" s="3"/>
      <c r="AI35" s="4"/>
      <c r="AJ35" s="4"/>
      <c r="AK35" s="4"/>
      <c r="AL35" s="4"/>
      <c r="AM35" s="4"/>
      <c r="AN35" s="107" t="s">
        <v>119</v>
      </c>
      <c r="AO35" s="107" t="s">
        <v>119</v>
      </c>
      <c r="AP35" s="107" t="s">
        <v>92</v>
      </c>
      <c r="AQ35" s="133" t="s">
        <v>119</v>
      </c>
    </row>
    <row r="36" spans="1:43" outlineLevel="1" x14ac:dyDescent="0.2">
      <c r="A36" s="28" t="s">
        <v>6</v>
      </c>
      <c r="B36" s="42">
        <f>SUMIF(SUPPORTO_punti!I:I,A36,SUPPORTO_punti!J:J)+SUPPORTO_pareggi!G41</f>
        <v>23</v>
      </c>
      <c r="C36" s="43">
        <f t="shared" si="12"/>
        <v>23</v>
      </c>
      <c r="D36" s="43">
        <v>7</v>
      </c>
      <c r="E36" s="42">
        <f t="shared" si="15"/>
        <v>0.29870129870129869</v>
      </c>
      <c r="F36" s="42">
        <f t="shared" si="13"/>
        <v>0.29870129870129869</v>
      </c>
      <c r="G36" s="44">
        <f t="shared" si="14"/>
        <v>0.89610389610389607</v>
      </c>
      <c r="H36" s="35" t="str">
        <f>'MAIN REPORT'!$A$8</f>
        <v>1. Quality aspect 3</v>
      </c>
      <c r="I36" s="1" t="s">
        <v>6</v>
      </c>
      <c r="J36" s="3"/>
      <c r="K36" s="4"/>
      <c r="L36" s="4"/>
      <c r="M36" s="4"/>
      <c r="N36" s="4"/>
      <c r="O36" s="4"/>
      <c r="P36" s="4"/>
      <c r="Q36" s="107">
        <v>1</v>
      </c>
      <c r="R36" s="107" t="s">
        <v>113</v>
      </c>
      <c r="S36" s="133" t="s">
        <v>93</v>
      </c>
      <c r="U36" s="1" t="s">
        <v>6</v>
      </c>
      <c r="V36" s="3"/>
      <c r="W36" s="4"/>
      <c r="X36" s="4"/>
      <c r="Y36" s="4"/>
      <c r="Z36" s="4"/>
      <c r="AA36" s="4"/>
      <c r="AB36" s="4"/>
      <c r="AC36" s="107" t="s">
        <v>93</v>
      </c>
      <c r="AD36" s="107">
        <v>1</v>
      </c>
      <c r="AE36" s="133" t="s">
        <v>102</v>
      </c>
      <c r="AG36" s="1" t="s">
        <v>6</v>
      </c>
      <c r="AH36" s="3"/>
      <c r="AI36" s="4"/>
      <c r="AJ36" s="4"/>
      <c r="AK36" s="4"/>
      <c r="AL36" s="4"/>
      <c r="AM36" s="4"/>
      <c r="AN36" s="4"/>
      <c r="AO36" s="107">
        <v>1</v>
      </c>
      <c r="AP36" s="107" t="s">
        <v>113</v>
      </c>
      <c r="AQ36" s="133">
        <v>1</v>
      </c>
    </row>
    <row r="37" spans="1:43" outlineLevel="1" x14ac:dyDescent="0.2">
      <c r="A37" s="28" t="s">
        <v>7</v>
      </c>
      <c r="B37" s="42">
        <f>SUMIF(SUPPORTO_punti!I:I,A37,SUPPORTO_punti!J:J)+SUPPORTO_pareggi!G47</f>
        <v>15</v>
      </c>
      <c r="C37" s="43">
        <f t="shared" si="12"/>
        <v>16</v>
      </c>
      <c r="D37" s="43">
        <v>8</v>
      </c>
      <c r="E37" s="42">
        <f t="shared" si="15"/>
        <v>0.20779220779220781</v>
      </c>
      <c r="F37" s="42">
        <f t="shared" si="13"/>
        <v>0.19480519480519481</v>
      </c>
      <c r="G37" s="44">
        <f t="shared" si="14"/>
        <v>0.5844155844155845</v>
      </c>
      <c r="H37" s="35" t="str">
        <f>'MAIN REPORT'!$A$8</f>
        <v>1. Quality aspect 3</v>
      </c>
      <c r="I37" s="1" t="s">
        <v>7</v>
      </c>
      <c r="J37" s="3"/>
      <c r="K37" s="4"/>
      <c r="L37" s="4"/>
      <c r="M37" s="4"/>
      <c r="N37" s="4"/>
      <c r="O37" s="4"/>
      <c r="P37" s="4"/>
      <c r="Q37" s="4"/>
      <c r="R37" s="107" t="s">
        <v>113</v>
      </c>
      <c r="S37" s="133" t="s">
        <v>94</v>
      </c>
      <c r="U37" s="1" t="s">
        <v>7</v>
      </c>
      <c r="V37" s="3"/>
      <c r="W37" s="4"/>
      <c r="X37" s="4"/>
      <c r="Y37" s="4"/>
      <c r="Z37" s="4"/>
      <c r="AA37" s="4"/>
      <c r="AB37" s="4"/>
      <c r="AC37" s="4"/>
      <c r="AD37" s="107">
        <v>1</v>
      </c>
      <c r="AE37" s="133" t="s">
        <v>94</v>
      </c>
      <c r="AG37" s="1" t="s">
        <v>7</v>
      </c>
      <c r="AH37" s="3"/>
      <c r="AI37" s="4"/>
      <c r="AJ37" s="4"/>
      <c r="AK37" s="4"/>
      <c r="AL37" s="4"/>
      <c r="AM37" s="4"/>
      <c r="AN37" s="4"/>
      <c r="AO37" s="4"/>
      <c r="AP37" s="107" t="s">
        <v>113</v>
      </c>
      <c r="AQ37" s="133">
        <v>1</v>
      </c>
    </row>
    <row r="38" spans="1:43" outlineLevel="1" x14ac:dyDescent="0.2">
      <c r="A38" s="28" t="s">
        <v>8</v>
      </c>
      <c r="B38" s="42">
        <f>SUMIF(SUPPORTO_punti!I:I,A38,SUPPORTO_punti!J:J)+SUPPORTO_pareggi!G53</f>
        <v>64</v>
      </c>
      <c r="C38" s="43">
        <f t="shared" si="12"/>
        <v>15</v>
      </c>
      <c r="D38" s="43">
        <v>9</v>
      </c>
      <c r="E38" s="42">
        <f t="shared" si="15"/>
        <v>0.19480519480519481</v>
      </c>
      <c r="F38" s="42">
        <f t="shared" si="13"/>
        <v>0.83116883116883122</v>
      </c>
      <c r="G38" s="44">
        <f t="shared" si="14"/>
        <v>2.4935064935064934</v>
      </c>
      <c r="H38" s="35" t="str">
        <f>'MAIN REPORT'!$A$8</f>
        <v>1. Quality aspect 3</v>
      </c>
      <c r="I38" s="1" t="s">
        <v>8</v>
      </c>
      <c r="J38" s="3"/>
      <c r="K38" s="4"/>
      <c r="L38" s="4"/>
      <c r="M38" s="4"/>
      <c r="N38" s="4"/>
      <c r="O38" s="4"/>
      <c r="P38" s="4"/>
      <c r="Q38" s="4"/>
      <c r="R38" s="4"/>
      <c r="S38" s="133" t="s">
        <v>122</v>
      </c>
      <c r="U38" s="1" t="s">
        <v>8</v>
      </c>
      <c r="V38" s="3"/>
      <c r="W38" s="4"/>
      <c r="X38" s="4"/>
      <c r="Y38" s="4"/>
      <c r="Z38" s="4"/>
      <c r="AA38" s="4"/>
      <c r="AB38" s="4"/>
      <c r="AC38" s="4"/>
      <c r="AD38" s="4"/>
      <c r="AE38" s="133" t="s">
        <v>95</v>
      </c>
      <c r="AG38" s="1" t="s">
        <v>8</v>
      </c>
      <c r="AH38" s="3"/>
      <c r="AI38" s="4"/>
      <c r="AJ38" s="4"/>
      <c r="AK38" s="4"/>
      <c r="AL38" s="4"/>
      <c r="AM38" s="4"/>
      <c r="AN38" s="4"/>
      <c r="AO38" s="4"/>
      <c r="AP38" s="4"/>
      <c r="AQ38" s="133" t="s">
        <v>113</v>
      </c>
    </row>
    <row r="39" spans="1:43" outlineLevel="1" x14ac:dyDescent="0.2">
      <c r="A39" s="29" t="s">
        <v>9</v>
      </c>
      <c r="B39" s="42">
        <f>SUMIF(SUPPORTO_punti!I:I,A39,SUPPORTO_punti!J:J)+SUPPORTO_pareggi!G59</f>
        <v>12</v>
      </c>
      <c r="C39" s="43">
        <f t="shared" si="12"/>
        <v>12</v>
      </c>
      <c r="D39" s="43">
        <v>10</v>
      </c>
      <c r="E39" s="42">
        <f t="shared" si="15"/>
        <v>0.15584415584415584</v>
      </c>
      <c r="F39" s="42">
        <f t="shared" si="13"/>
        <v>0.15584415584415584</v>
      </c>
      <c r="G39" s="44">
        <f t="shared" si="14"/>
        <v>0.46753246753246752</v>
      </c>
      <c r="H39" s="35" t="str">
        <f>'MAIN REPORT'!$A$8</f>
        <v>1. Quality aspect 3</v>
      </c>
      <c r="I39" s="1" t="s">
        <v>9</v>
      </c>
      <c r="J39" s="3"/>
      <c r="K39" s="4"/>
      <c r="L39" s="4"/>
      <c r="M39" s="4"/>
      <c r="N39" s="4"/>
      <c r="O39" s="4"/>
      <c r="P39" s="4"/>
      <c r="Q39" s="4"/>
      <c r="R39" s="4"/>
      <c r="S39" s="4"/>
      <c r="U39" s="1" t="s">
        <v>9</v>
      </c>
      <c r="V39" s="3"/>
      <c r="W39" s="4"/>
      <c r="X39" s="4"/>
      <c r="Y39" s="4"/>
      <c r="Z39" s="4"/>
      <c r="AA39" s="4"/>
      <c r="AB39" s="4"/>
      <c r="AC39" s="4"/>
      <c r="AD39" s="4"/>
      <c r="AE39" s="4"/>
      <c r="AG39" s="1" t="s">
        <v>9</v>
      </c>
      <c r="AH39" s="3"/>
      <c r="AI39" s="4"/>
      <c r="AJ39" s="4"/>
      <c r="AK39" s="4"/>
      <c r="AL39" s="4"/>
      <c r="AM39" s="4"/>
      <c r="AN39" s="4"/>
      <c r="AO39" s="4"/>
      <c r="AP39" s="4"/>
      <c r="AQ39" s="4"/>
    </row>
    <row r="40" spans="1:43" x14ac:dyDescent="0.2">
      <c r="A40" s="24" t="str">
        <f>'MAIN REPORT'!A9</f>
        <v>1. Quality aspect 4</v>
      </c>
      <c r="B40" s="5"/>
      <c r="C40" s="5"/>
      <c r="D40" s="5"/>
      <c r="E40" s="5"/>
      <c r="F40" s="22"/>
      <c r="G40" s="23">
        <f>'MAIN REPORT'!B9</f>
        <v>3</v>
      </c>
      <c r="I40" s="24" t="str">
        <f>A40</f>
        <v>1. Quality aspect 4</v>
      </c>
      <c r="J40" s="5"/>
      <c r="K40" s="5"/>
      <c r="L40" s="5"/>
      <c r="M40" s="5"/>
      <c r="N40" s="5"/>
      <c r="O40" s="5"/>
      <c r="P40" s="5"/>
      <c r="Q40" s="5"/>
      <c r="R40" s="5"/>
      <c r="S40" s="5"/>
      <c r="U40" s="24" t="str">
        <f>A40</f>
        <v>1. Quality aspect 4</v>
      </c>
      <c r="V40" s="5"/>
      <c r="W40" s="5"/>
      <c r="X40" s="5"/>
      <c r="Y40" s="5"/>
      <c r="Z40" s="5"/>
      <c r="AA40" s="5"/>
      <c r="AB40" s="5"/>
      <c r="AC40" s="5"/>
      <c r="AD40" s="5"/>
      <c r="AE40" s="5"/>
      <c r="AG40" s="24" t="str">
        <f>A40</f>
        <v>1. Quality aspect 4</v>
      </c>
      <c r="AH40" s="5"/>
      <c r="AI40" s="5"/>
      <c r="AJ40" s="5"/>
      <c r="AK40" s="5"/>
      <c r="AL40" s="5"/>
      <c r="AM40" s="5"/>
      <c r="AN40" s="5"/>
      <c r="AO40" s="5"/>
      <c r="AP40" s="5"/>
      <c r="AQ40" s="5"/>
    </row>
    <row r="41" spans="1:43" ht="16" outlineLevel="1" thickBot="1" x14ac:dyDescent="0.25">
      <c r="A41" s="39" t="s">
        <v>139</v>
      </c>
      <c r="B41" s="40" t="s">
        <v>138</v>
      </c>
      <c r="C41" s="40"/>
      <c r="D41" s="40"/>
      <c r="E41" s="40"/>
      <c r="F41" s="40" t="s">
        <v>218</v>
      </c>
      <c r="G41" s="41" t="s">
        <v>217</v>
      </c>
      <c r="I41" s="38"/>
      <c r="J41" s="1" t="s">
        <v>1</v>
      </c>
      <c r="K41" s="1" t="s">
        <v>2</v>
      </c>
      <c r="L41" s="1" t="s">
        <v>3</v>
      </c>
      <c r="M41" s="1" t="s">
        <v>0</v>
      </c>
      <c r="N41" s="1" t="s">
        <v>4</v>
      </c>
      <c r="O41" s="1" t="s">
        <v>5</v>
      </c>
      <c r="P41" s="1" t="s">
        <v>6</v>
      </c>
      <c r="Q41" s="1" t="s">
        <v>7</v>
      </c>
      <c r="R41" s="1" t="s">
        <v>8</v>
      </c>
      <c r="S41" s="1" t="s">
        <v>9</v>
      </c>
      <c r="U41" s="38"/>
      <c r="V41" s="1" t="s">
        <v>1</v>
      </c>
      <c r="W41" s="1" t="s">
        <v>2</v>
      </c>
      <c r="X41" s="1" t="s">
        <v>3</v>
      </c>
      <c r="Y41" s="1" t="s">
        <v>0</v>
      </c>
      <c r="Z41" s="1" t="s">
        <v>4</v>
      </c>
      <c r="AA41" s="1" t="s">
        <v>5</v>
      </c>
      <c r="AB41" s="1" t="s">
        <v>6</v>
      </c>
      <c r="AC41" s="1" t="s">
        <v>7</v>
      </c>
      <c r="AD41" s="1" t="s">
        <v>8</v>
      </c>
      <c r="AE41" s="1" t="s">
        <v>9</v>
      </c>
      <c r="AG41" s="38"/>
      <c r="AH41" s="1" t="s">
        <v>1</v>
      </c>
      <c r="AI41" s="1" t="s">
        <v>2</v>
      </c>
      <c r="AJ41" s="1" t="s">
        <v>3</v>
      </c>
      <c r="AK41" s="1" t="s">
        <v>0</v>
      </c>
      <c r="AL41" s="1" t="s">
        <v>4</v>
      </c>
      <c r="AM41" s="1" t="s">
        <v>5</v>
      </c>
      <c r="AN41" s="1" t="s">
        <v>6</v>
      </c>
      <c r="AO41" s="1" t="s">
        <v>7</v>
      </c>
      <c r="AP41" s="1" t="s">
        <v>8</v>
      </c>
      <c r="AQ41" s="1" t="s">
        <v>9</v>
      </c>
    </row>
    <row r="42" spans="1:43" outlineLevel="1" x14ac:dyDescent="0.2">
      <c r="A42" s="28" t="s">
        <v>1</v>
      </c>
      <c r="B42" s="42">
        <f>SUMIF(SUPPORTO_punti!K:K,A42,SUPPORTO_punti!L:L)+SUPPORTO_pareggi!I5</f>
        <v>52</v>
      </c>
      <c r="C42" s="43">
        <f t="shared" ref="C42:C51" si="16">LARGE($B$42:$B$51,D42)</f>
        <v>63</v>
      </c>
      <c r="D42" s="43">
        <v>1</v>
      </c>
      <c r="E42" s="42">
        <f>IF(SUM(B42:B51)=0,0,D42)</f>
        <v>1</v>
      </c>
      <c r="F42" s="42">
        <f t="shared" ref="F42:F51" si="17">VLOOKUP(B42,$C$42:$E$51,3,FALSE)</f>
        <v>0.82539682539682535</v>
      </c>
      <c r="G42" s="44">
        <f>G$40*F42</f>
        <v>2.4761904761904763</v>
      </c>
      <c r="H42" s="35" t="str">
        <f>'MAIN REPORT'!$A$9</f>
        <v>1. Quality aspect 4</v>
      </c>
      <c r="I42" s="1" t="s">
        <v>1</v>
      </c>
      <c r="J42" s="2"/>
      <c r="K42" s="106" t="s">
        <v>87</v>
      </c>
      <c r="L42" s="106" t="s">
        <v>96</v>
      </c>
      <c r="M42" s="106">
        <v>1</v>
      </c>
      <c r="N42" s="106" t="s">
        <v>91</v>
      </c>
      <c r="O42" s="106" t="s">
        <v>92</v>
      </c>
      <c r="P42" s="106" t="s">
        <v>87</v>
      </c>
      <c r="Q42" s="106" t="s">
        <v>96</v>
      </c>
      <c r="R42" s="106" t="s">
        <v>87</v>
      </c>
      <c r="S42" s="132" t="s">
        <v>96</v>
      </c>
      <c r="U42" s="1" t="s">
        <v>1</v>
      </c>
      <c r="V42" s="2"/>
      <c r="W42" s="106">
        <v>1</v>
      </c>
      <c r="X42" s="106" t="s">
        <v>96</v>
      </c>
      <c r="Y42" s="106" t="s">
        <v>87</v>
      </c>
      <c r="Z42" s="106" t="s">
        <v>87</v>
      </c>
      <c r="AA42" s="106">
        <v>1</v>
      </c>
      <c r="AB42" s="106">
        <v>1</v>
      </c>
      <c r="AC42" s="106" t="s">
        <v>87</v>
      </c>
      <c r="AD42" s="106">
        <v>1</v>
      </c>
      <c r="AE42" s="132" t="s">
        <v>96</v>
      </c>
      <c r="AG42" s="1" t="s">
        <v>1</v>
      </c>
      <c r="AH42" s="2"/>
      <c r="AI42" s="106" t="s">
        <v>96</v>
      </c>
      <c r="AJ42" s="106" t="s">
        <v>87</v>
      </c>
      <c r="AK42" s="106">
        <v>1</v>
      </c>
      <c r="AL42" s="106" t="s">
        <v>87</v>
      </c>
      <c r="AM42" s="106">
        <v>1</v>
      </c>
      <c r="AN42" s="106">
        <v>1</v>
      </c>
      <c r="AO42" s="106" t="s">
        <v>105</v>
      </c>
      <c r="AP42" s="106">
        <v>1</v>
      </c>
      <c r="AQ42" s="132" t="s">
        <v>114</v>
      </c>
    </row>
    <row r="43" spans="1:43" outlineLevel="1" x14ac:dyDescent="0.2">
      <c r="A43" s="28" t="s">
        <v>2</v>
      </c>
      <c r="B43" s="42">
        <f>SUMIF(SUPPORTO_punti!K:K,A43,SUPPORTO_punti!L:L)+SUPPORTO_pareggi!I11</f>
        <v>26</v>
      </c>
      <c r="C43" s="43">
        <f t="shared" si="16"/>
        <v>52</v>
      </c>
      <c r="D43" s="43">
        <v>2</v>
      </c>
      <c r="E43" s="42">
        <f>(C43/$C$42)*$E$42</f>
        <v>0.82539682539682535</v>
      </c>
      <c r="F43" s="42">
        <f t="shared" si="17"/>
        <v>0.41269841269841268</v>
      </c>
      <c r="G43" s="44">
        <f t="shared" ref="G43:G51" si="18">G$40*F43</f>
        <v>1.2380952380952381</v>
      </c>
      <c r="H43" s="35" t="str">
        <f>'MAIN REPORT'!$A$9</f>
        <v>1. Quality aspect 4</v>
      </c>
      <c r="I43" s="1" t="s">
        <v>2</v>
      </c>
      <c r="J43" s="3"/>
      <c r="K43" s="4"/>
      <c r="L43" s="107" t="s">
        <v>97</v>
      </c>
      <c r="M43" s="107" t="s">
        <v>90</v>
      </c>
      <c r="N43" s="107" t="s">
        <v>91</v>
      </c>
      <c r="O43" s="107" t="s">
        <v>101</v>
      </c>
      <c r="P43" s="107">
        <v>1</v>
      </c>
      <c r="Q43" s="107" t="s">
        <v>97</v>
      </c>
      <c r="R43" s="107" t="s">
        <v>97</v>
      </c>
      <c r="S43" s="133" t="s">
        <v>88</v>
      </c>
      <c r="U43" s="1" t="s">
        <v>2</v>
      </c>
      <c r="V43" s="3"/>
      <c r="W43" s="4"/>
      <c r="X43" s="107" t="s">
        <v>89</v>
      </c>
      <c r="Y43" s="107" t="s">
        <v>88</v>
      </c>
      <c r="Z43" s="107">
        <v>1</v>
      </c>
      <c r="AA43" s="107" t="s">
        <v>92</v>
      </c>
      <c r="AB43" s="107" t="s">
        <v>93</v>
      </c>
      <c r="AC43" s="107" t="s">
        <v>88</v>
      </c>
      <c r="AD43" s="107" t="s">
        <v>104</v>
      </c>
      <c r="AE43" s="133" t="s">
        <v>97</v>
      </c>
      <c r="AG43" s="1" t="s">
        <v>2</v>
      </c>
      <c r="AH43" s="3"/>
      <c r="AI43" s="4"/>
      <c r="AJ43" s="107" t="s">
        <v>89</v>
      </c>
      <c r="AK43" s="107" t="s">
        <v>99</v>
      </c>
      <c r="AL43" s="107" t="s">
        <v>91</v>
      </c>
      <c r="AM43" s="107" t="s">
        <v>101</v>
      </c>
      <c r="AN43" s="107" t="s">
        <v>102</v>
      </c>
      <c r="AO43" s="107" t="s">
        <v>88</v>
      </c>
      <c r="AP43" s="107" t="s">
        <v>104</v>
      </c>
      <c r="AQ43" s="133" t="s">
        <v>97</v>
      </c>
    </row>
    <row r="44" spans="1:43" outlineLevel="1" x14ac:dyDescent="0.2">
      <c r="A44" s="28" t="s">
        <v>3</v>
      </c>
      <c r="B44" s="42">
        <f>SUMIF(SUPPORTO_punti!K:K,A44,SUPPORTO_punti!L:L)+SUPPORTO_pareggi!I17</f>
        <v>20</v>
      </c>
      <c r="C44" s="43">
        <f t="shared" si="16"/>
        <v>52</v>
      </c>
      <c r="D44" s="43">
        <v>3</v>
      </c>
      <c r="E44" s="42">
        <f t="shared" ref="E44:E51" si="19">(C44/$C$42)*$E$42</f>
        <v>0.82539682539682535</v>
      </c>
      <c r="F44" s="42">
        <f t="shared" si="17"/>
        <v>0.31746031746031744</v>
      </c>
      <c r="G44" s="44">
        <f t="shared" si="18"/>
        <v>0.95238095238095233</v>
      </c>
      <c r="H44" s="35" t="str">
        <f>'MAIN REPORT'!$A$9</f>
        <v>1. Quality aspect 4</v>
      </c>
      <c r="I44" s="1" t="s">
        <v>3</v>
      </c>
      <c r="J44" s="3"/>
      <c r="K44" s="4"/>
      <c r="L44" s="4"/>
      <c r="M44" s="107" t="s">
        <v>99</v>
      </c>
      <c r="N44" s="107" t="s">
        <v>91</v>
      </c>
      <c r="O44" s="107" t="s">
        <v>110</v>
      </c>
      <c r="P44" s="107" t="s">
        <v>102</v>
      </c>
      <c r="Q44" s="107" t="s">
        <v>89</v>
      </c>
      <c r="R44" s="107">
        <v>1</v>
      </c>
      <c r="S44" s="133" t="s">
        <v>132</v>
      </c>
      <c r="U44" s="1" t="s">
        <v>3</v>
      </c>
      <c r="V44" s="3"/>
      <c r="W44" s="4"/>
      <c r="X44" s="4"/>
      <c r="Y44" s="107" t="s">
        <v>90</v>
      </c>
      <c r="Z44" s="107">
        <v>1</v>
      </c>
      <c r="AA44" s="107" t="s">
        <v>92</v>
      </c>
      <c r="AB44" s="107" t="s">
        <v>93</v>
      </c>
      <c r="AC44" s="107" t="s">
        <v>98</v>
      </c>
      <c r="AD44" s="107" t="s">
        <v>95</v>
      </c>
      <c r="AE44" s="133">
        <v>1</v>
      </c>
      <c r="AG44" s="1" t="s">
        <v>3</v>
      </c>
      <c r="AH44" s="3"/>
      <c r="AI44" s="4"/>
      <c r="AJ44" s="4"/>
      <c r="AK44" s="107" t="s">
        <v>90</v>
      </c>
      <c r="AL44" s="107">
        <v>1</v>
      </c>
      <c r="AM44" s="107" t="s">
        <v>92</v>
      </c>
      <c r="AN44" s="107" t="s">
        <v>93</v>
      </c>
      <c r="AO44" s="107" t="s">
        <v>98</v>
      </c>
      <c r="AP44" s="107" t="s">
        <v>95</v>
      </c>
      <c r="AQ44" s="133" t="s">
        <v>107</v>
      </c>
    </row>
    <row r="45" spans="1:43" outlineLevel="1" x14ac:dyDescent="0.2">
      <c r="A45" s="28" t="s">
        <v>0</v>
      </c>
      <c r="B45" s="42">
        <f>SUMIF(SUPPORTO_punti!K:K,A45,SUPPORTO_punti!L:L)+SUPPORTO_pareggi!I23</f>
        <v>52</v>
      </c>
      <c r="C45" s="43">
        <f t="shared" si="16"/>
        <v>49</v>
      </c>
      <c r="D45" s="43">
        <v>4</v>
      </c>
      <c r="E45" s="42">
        <f t="shared" si="19"/>
        <v>0.77777777777777779</v>
      </c>
      <c r="F45" s="42">
        <f t="shared" si="17"/>
        <v>0.82539682539682535</v>
      </c>
      <c r="G45" s="44">
        <f t="shared" si="18"/>
        <v>2.4761904761904763</v>
      </c>
      <c r="H45" s="35" t="str">
        <f>'MAIN REPORT'!$A$9</f>
        <v>1. Quality aspect 4</v>
      </c>
      <c r="I45" s="1" t="s">
        <v>0</v>
      </c>
      <c r="J45" s="3"/>
      <c r="K45" s="4"/>
      <c r="L45" s="4"/>
      <c r="M45" s="4"/>
      <c r="N45" s="107">
        <v>1</v>
      </c>
      <c r="O45" s="107" t="s">
        <v>92</v>
      </c>
      <c r="P45" s="107" t="s">
        <v>90</v>
      </c>
      <c r="Q45" s="107" t="s">
        <v>108</v>
      </c>
      <c r="R45" s="107" t="s">
        <v>99</v>
      </c>
      <c r="S45" s="133" t="s">
        <v>108</v>
      </c>
      <c r="U45" s="1" t="s">
        <v>0</v>
      </c>
      <c r="V45" s="3"/>
      <c r="W45" s="4"/>
      <c r="X45" s="4"/>
      <c r="Y45" s="4"/>
      <c r="Z45" s="107" t="s">
        <v>90</v>
      </c>
      <c r="AA45" s="107">
        <v>1</v>
      </c>
      <c r="AB45" s="107">
        <v>1</v>
      </c>
      <c r="AC45" s="107" t="s">
        <v>90</v>
      </c>
      <c r="AD45" s="107">
        <v>1</v>
      </c>
      <c r="AE45" s="133" t="s">
        <v>99</v>
      </c>
      <c r="AG45" s="1" t="s">
        <v>0</v>
      </c>
      <c r="AH45" s="3"/>
      <c r="AI45" s="4"/>
      <c r="AJ45" s="4"/>
      <c r="AK45" s="4"/>
      <c r="AL45" s="107" t="s">
        <v>90</v>
      </c>
      <c r="AM45" s="107">
        <v>1</v>
      </c>
      <c r="AN45" s="107">
        <v>1</v>
      </c>
      <c r="AO45" s="107" t="s">
        <v>108</v>
      </c>
      <c r="AP45" s="107">
        <v>1</v>
      </c>
      <c r="AQ45" s="133" t="s">
        <v>117</v>
      </c>
    </row>
    <row r="46" spans="1:43" outlineLevel="1" x14ac:dyDescent="0.2">
      <c r="A46" s="28" t="s">
        <v>4</v>
      </c>
      <c r="B46" s="42">
        <f>SUMIF(SUPPORTO_punti!K:K,A46,SUPPORTO_punti!L:L)+SUPPORTO_pareggi!I29</f>
        <v>35</v>
      </c>
      <c r="C46" s="43">
        <f t="shared" si="16"/>
        <v>38</v>
      </c>
      <c r="D46" s="43">
        <v>5</v>
      </c>
      <c r="E46" s="42">
        <f t="shared" si="19"/>
        <v>0.60317460317460314</v>
      </c>
      <c r="F46" s="42">
        <f t="shared" si="17"/>
        <v>0.55555555555555558</v>
      </c>
      <c r="G46" s="44">
        <f t="shared" si="18"/>
        <v>1.6666666666666667</v>
      </c>
      <c r="H46" s="35" t="str">
        <f>'MAIN REPORT'!$A$9</f>
        <v>1. Quality aspect 4</v>
      </c>
      <c r="I46" s="1" t="s">
        <v>4</v>
      </c>
      <c r="J46" s="3"/>
      <c r="K46" s="4"/>
      <c r="L46" s="4"/>
      <c r="M46" s="4"/>
      <c r="N46" s="4"/>
      <c r="O46" s="107">
        <v>1</v>
      </c>
      <c r="P46" s="107" t="s">
        <v>91</v>
      </c>
      <c r="Q46" s="107" t="s">
        <v>100</v>
      </c>
      <c r="R46" s="107" t="s">
        <v>91</v>
      </c>
      <c r="S46" s="133" t="s">
        <v>91</v>
      </c>
      <c r="U46" s="1" t="s">
        <v>4</v>
      </c>
      <c r="V46" s="3"/>
      <c r="W46" s="4"/>
      <c r="X46" s="4"/>
      <c r="Y46" s="4"/>
      <c r="Z46" s="4"/>
      <c r="AA46" s="107" t="s">
        <v>92</v>
      </c>
      <c r="AB46" s="107" t="s">
        <v>93</v>
      </c>
      <c r="AC46" s="107" t="s">
        <v>100</v>
      </c>
      <c r="AD46" s="107" t="s">
        <v>95</v>
      </c>
      <c r="AE46" s="133" t="s">
        <v>100</v>
      </c>
      <c r="AG46" s="1" t="s">
        <v>4</v>
      </c>
      <c r="AH46" s="3"/>
      <c r="AI46" s="4"/>
      <c r="AJ46" s="4"/>
      <c r="AK46" s="4"/>
      <c r="AL46" s="4"/>
      <c r="AM46" s="107" t="s">
        <v>92</v>
      </c>
      <c r="AN46" s="107" t="s">
        <v>93</v>
      </c>
      <c r="AO46" s="107" t="s">
        <v>100</v>
      </c>
      <c r="AP46" s="107" t="s">
        <v>95</v>
      </c>
      <c r="AQ46" s="133" t="s">
        <v>109</v>
      </c>
    </row>
    <row r="47" spans="1:43" outlineLevel="1" x14ac:dyDescent="0.2">
      <c r="A47" s="28" t="s">
        <v>5</v>
      </c>
      <c r="B47" s="42">
        <f>SUMIF(SUPPORTO_punti!K:K,A47,SUPPORTO_punti!L:L)+SUPPORTO_pareggi!I35</f>
        <v>63</v>
      </c>
      <c r="C47" s="43">
        <f t="shared" si="16"/>
        <v>35</v>
      </c>
      <c r="D47" s="43">
        <v>6</v>
      </c>
      <c r="E47" s="42">
        <f t="shared" si="19"/>
        <v>0.55555555555555558</v>
      </c>
      <c r="F47" s="42">
        <f t="shared" si="17"/>
        <v>1</v>
      </c>
      <c r="G47" s="44">
        <f t="shared" si="18"/>
        <v>3</v>
      </c>
      <c r="H47" s="35" t="str">
        <f>'MAIN REPORT'!$A$9</f>
        <v>1. Quality aspect 4</v>
      </c>
      <c r="I47" s="1" t="s">
        <v>5</v>
      </c>
      <c r="J47" s="3"/>
      <c r="K47" s="4"/>
      <c r="L47" s="4"/>
      <c r="M47" s="4"/>
      <c r="N47" s="4"/>
      <c r="O47" s="4"/>
      <c r="P47" s="107" t="s">
        <v>101</v>
      </c>
      <c r="Q47" s="107" t="s">
        <v>119</v>
      </c>
      <c r="R47" s="107" t="s">
        <v>110</v>
      </c>
      <c r="S47" s="133" t="s">
        <v>101</v>
      </c>
      <c r="U47" s="1" t="s">
        <v>5</v>
      </c>
      <c r="V47" s="3"/>
      <c r="W47" s="4"/>
      <c r="X47" s="4"/>
      <c r="Y47" s="4"/>
      <c r="Z47" s="4"/>
      <c r="AA47" s="4"/>
      <c r="AB47" s="107">
        <v>1</v>
      </c>
      <c r="AC47" s="107" t="s">
        <v>101</v>
      </c>
      <c r="AD47" s="107">
        <v>1</v>
      </c>
      <c r="AE47" s="133" t="s">
        <v>101</v>
      </c>
      <c r="AG47" s="1" t="s">
        <v>5</v>
      </c>
      <c r="AH47" s="3"/>
      <c r="AI47" s="4"/>
      <c r="AJ47" s="4"/>
      <c r="AK47" s="4"/>
      <c r="AL47" s="4"/>
      <c r="AM47" s="4"/>
      <c r="AN47" s="107">
        <v>1</v>
      </c>
      <c r="AO47" s="107" t="s">
        <v>110</v>
      </c>
      <c r="AP47" s="107">
        <v>1</v>
      </c>
      <c r="AQ47" s="133" t="s">
        <v>119</v>
      </c>
    </row>
    <row r="48" spans="1:43" outlineLevel="1" x14ac:dyDescent="0.2">
      <c r="A48" s="28" t="s">
        <v>6</v>
      </c>
      <c r="B48" s="42">
        <f>SUMIF(SUPPORTO_punti!K:K,A48,SUPPORTO_punti!L:L)+SUPPORTO_pareggi!I41</f>
        <v>49</v>
      </c>
      <c r="C48" s="43">
        <f t="shared" si="16"/>
        <v>26</v>
      </c>
      <c r="D48" s="43">
        <v>7</v>
      </c>
      <c r="E48" s="42">
        <f t="shared" si="19"/>
        <v>0.41269841269841268</v>
      </c>
      <c r="F48" s="42">
        <f t="shared" si="17"/>
        <v>0.77777777777777779</v>
      </c>
      <c r="G48" s="44">
        <f t="shared" si="18"/>
        <v>2.3333333333333335</v>
      </c>
      <c r="H48" s="35" t="str">
        <f>'MAIN REPORT'!$A$9</f>
        <v>1. Quality aspect 4</v>
      </c>
      <c r="I48" s="1" t="s">
        <v>6</v>
      </c>
      <c r="J48" s="3"/>
      <c r="K48" s="4"/>
      <c r="L48" s="4"/>
      <c r="M48" s="4"/>
      <c r="N48" s="4"/>
      <c r="O48" s="4"/>
      <c r="P48" s="4"/>
      <c r="Q48" s="107" t="s">
        <v>111</v>
      </c>
      <c r="R48" s="107" t="s">
        <v>102</v>
      </c>
      <c r="S48" s="133" t="s">
        <v>93</v>
      </c>
      <c r="U48" s="1" t="s">
        <v>6</v>
      </c>
      <c r="V48" s="3"/>
      <c r="W48" s="4"/>
      <c r="X48" s="4"/>
      <c r="Y48" s="4"/>
      <c r="Z48" s="4"/>
      <c r="AA48" s="4"/>
      <c r="AB48" s="4"/>
      <c r="AC48" s="107" t="s">
        <v>102</v>
      </c>
      <c r="AD48" s="107">
        <v>1</v>
      </c>
      <c r="AE48" s="133" t="s">
        <v>102</v>
      </c>
      <c r="AG48" s="1" t="s">
        <v>6</v>
      </c>
      <c r="AH48" s="3"/>
      <c r="AI48" s="4"/>
      <c r="AJ48" s="4"/>
      <c r="AK48" s="4"/>
      <c r="AL48" s="4"/>
      <c r="AM48" s="4"/>
      <c r="AN48" s="4"/>
      <c r="AO48" s="107" t="s">
        <v>111</v>
      </c>
      <c r="AP48" s="107">
        <v>1</v>
      </c>
      <c r="AQ48" s="133" t="s">
        <v>120</v>
      </c>
    </row>
    <row r="49" spans="1:43" outlineLevel="1" x14ac:dyDescent="0.2">
      <c r="A49" s="28" t="s">
        <v>7</v>
      </c>
      <c r="B49" s="42">
        <f>SUMIF(SUPPORTO_punti!K:K,A49,SUPPORTO_punti!L:L)+SUPPORTO_pareggi!I47</f>
        <v>5</v>
      </c>
      <c r="C49" s="43">
        <f t="shared" si="16"/>
        <v>20</v>
      </c>
      <c r="D49" s="43">
        <v>8</v>
      </c>
      <c r="E49" s="42">
        <f t="shared" si="19"/>
        <v>0.31746031746031744</v>
      </c>
      <c r="F49" s="42">
        <f t="shared" si="17"/>
        <v>7.9365079365079361E-2</v>
      </c>
      <c r="G49" s="44">
        <f t="shared" si="18"/>
        <v>0.23809523809523808</v>
      </c>
      <c r="H49" s="35" t="str">
        <f>'MAIN REPORT'!$A$9</f>
        <v>1. Quality aspect 4</v>
      </c>
      <c r="I49" s="1" t="s">
        <v>7</v>
      </c>
      <c r="J49" s="3"/>
      <c r="K49" s="4"/>
      <c r="L49" s="4"/>
      <c r="M49" s="4"/>
      <c r="N49" s="4"/>
      <c r="O49" s="4"/>
      <c r="P49" s="4"/>
      <c r="Q49" s="4"/>
      <c r="R49" s="107" t="s">
        <v>95</v>
      </c>
      <c r="S49" s="133" t="s">
        <v>133</v>
      </c>
      <c r="U49" s="1" t="s">
        <v>7</v>
      </c>
      <c r="V49" s="3"/>
      <c r="W49" s="4"/>
      <c r="X49" s="4"/>
      <c r="Y49" s="4"/>
      <c r="Z49" s="4"/>
      <c r="AA49" s="4"/>
      <c r="AB49" s="4"/>
      <c r="AC49" s="4"/>
      <c r="AD49" s="107">
        <v>1</v>
      </c>
      <c r="AE49" s="133" t="s">
        <v>94</v>
      </c>
      <c r="AG49" s="1" t="s">
        <v>7</v>
      </c>
      <c r="AH49" s="3"/>
      <c r="AI49" s="4"/>
      <c r="AJ49" s="4"/>
      <c r="AK49" s="4"/>
      <c r="AL49" s="4"/>
      <c r="AM49" s="4"/>
      <c r="AN49" s="4"/>
      <c r="AO49" s="4"/>
      <c r="AP49" s="107" t="s">
        <v>113</v>
      </c>
      <c r="AQ49" s="133" t="s">
        <v>94</v>
      </c>
    </row>
    <row r="50" spans="1:43" outlineLevel="1" x14ac:dyDescent="0.2">
      <c r="A50" s="28" t="s">
        <v>8</v>
      </c>
      <c r="B50" s="42">
        <f>SUMIF(SUPPORTO_punti!K:K,A50,SUPPORTO_punti!L:L)+SUPPORTO_pareggi!I53</f>
        <v>38</v>
      </c>
      <c r="C50" s="43">
        <f t="shared" si="16"/>
        <v>8</v>
      </c>
      <c r="D50" s="43">
        <v>9</v>
      </c>
      <c r="E50" s="42">
        <f t="shared" si="19"/>
        <v>0.12698412698412698</v>
      </c>
      <c r="F50" s="42">
        <f t="shared" si="17"/>
        <v>0.60317460317460314</v>
      </c>
      <c r="G50" s="44">
        <f t="shared" si="18"/>
        <v>1.8095238095238093</v>
      </c>
      <c r="H50" s="35" t="str">
        <f>'MAIN REPORT'!$A$9</f>
        <v>1. Quality aspect 4</v>
      </c>
      <c r="I50" s="1" t="s">
        <v>8</v>
      </c>
      <c r="J50" s="3"/>
      <c r="K50" s="4"/>
      <c r="L50" s="4"/>
      <c r="M50" s="4"/>
      <c r="N50" s="4"/>
      <c r="O50" s="4"/>
      <c r="P50" s="4"/>
      <c r="Q50" s="4"/>
      <c r="R50" s="4"/>
      <c r="S50" s="133" t="s">
        <v>132</v>
      </c>
      <c r="U50" s="1" t="s">
        <v>8</v>
      </c>
      <c r="V50" s="3"/>
      <c r="W50" s="4"/>
      <c r="X50" s="4"/>
      <c r="Y50" s="4"/>
      <c r="Z50" s="4"/>
      <c r="AA50" s="4"/>
      <c r="AB50" s="4"/>
      <c r="AC50" s="4"/>
      <c r="AD50" s="4"/>
      <c r="AE50" s="133" t="s">
        <v>104</v>
      </c>
      <c r="AG50" s="1" t="s">
        <v>8</v>
      </c>
      <c r="AH50" s="3"/>
      <c r="AI50" s="4"/>
      <c r="AJ50" s="4"/>
      <c r="AK50" s="4"/>
      <c r="AL50" s="4"/>
      <c r="AM50" s="4"/>
      <c r="AN50" s="4"/>
      <c r="AO50" s="4"/>
      <c r="AP50" s="4"/>
      <c r="AQ50" s="133" t="s">
        <v>122</v>
      </c>
    </row>
    <row r="51" spans="1:43" outlineLevel="1" x14ac:dyDescent="0.2">
      <c r="A51" s="29" t="s">
        <v>9</v>
      </c>
      <c r="B51" s="42">
        <f>SUMIF(SUPPORTO_punti!K:K,A51,SUPPORTO_punti!L:L)+SUPPORTO_pareggi!I59</f>
        <v>8</v>
      </c>
      <c r="C51" s="43">
        <f t="shared" si="16"/>
        <v>5</v>
      </c>
      <c r="D51" s="43">
        <v>10</v>
      </c>
      <c r="E51" s="42">
        <f t="shared" si="19"/>
        <v>7.9365079365079361E-2</v>
      </c>
      <c r="F51" s="42">
        <f t="shared" si="17"/>
        <v>0.12698412698412698</v>
      </c>
      <c r="G51" s="44">
        <f t="shared" si="18"/>
        <v>0.38095238095238093</v>
      </c>
      <c r="H51" s="35" t="str">
        <f>'MAIN REPORT'!$A$9</f>
        <v>1. Quality aspect 4</v>
      </c>
      <c r="I51" s="1" t="s">
        <v>9</v>
      </c>
      <c r="J51" s="3"/>
      <c r="K51" s="4"/>
      <c r="L51" s="4"/>
      <c r="M51" s="4"/>
      <c r="N51" s="4"/>
      <c r="O51" s="4"/>
      <c r="P51" s="4"/>
      <c r="Q51" s="4"/>
      <c r="R51" s="4"/>
      <c r="S51" s="4"/>
      <c r="U51" s="1" t="s">
        <v>9</v>
      </c>
      <c r="V51" s="3"/>
      <c r="W51" s="4"/>
      <c r="X51" s="4"/>
      <c r="Y51" s="4"/>
      <c r="Z51" s="4"/>
      <c r="AA51" s="4"/>
      <c r="AB51" s="4"/>
      <c r="AC51" s="4"/>
      <c r="AD51" s="4"/>
      <c r="AE51" s="4"/>
      <c r="AG51" s="1" t="s">
        <v>9</v>
      </c>
      <c r="AH51" s="3"/>
      <c r="AI51" s="4"/>
      <c r="AJ51" s="4"/>
      <c r="AK51" s="4"/>
      <c r="AL51" s="4"/>
      <c r="AM51" s="4"/>
      <c r="AN51" s="4"/>
      <c r="AO51" s="4"/>
      <c r="AP51" s="4"/>
      <c r="AQ51" s="4"/>
    </row>
    <row r="52" spans="1:43" x14ac:dyDescent="0.2">
      <c r="A52" s="24" t="str">
        <f>'MAIN REPORT'!A10</f>
        <v>1. Quality aspect 5</v>
      </c>
      <c r="B52" s="5"/>
      <c r="C52" s="5"/>
      <c r="D52" s="5"/>
      <c r="E52" s="5"/>
      <c r="F52" s="22"/>
      <c r="G52" s="23">
        <f>'MAIN REPORT'!B10</f>
        <v>4</v>
      </c>
      <c r="I52" s="24" t="str">
        <f>A52</f>
        <v>1. Quality aspect 5</v>
      </c>
      <c r="J52" s="5"/>
      <c r="K52" s="5"/>
      <c r="L52" s="5"/>
      <c r="M52" s="5"/>
      <c r="N52" s="5"/>
      <c r="O52" s="5"/>
      <c r="P52" s="5"/>
      <c r="Q52" s="5"/>
      <c r="R52" s="5"/>
      <c r="S52" s="5"/>
      <c r="U52" s="24" t="str">
        <f>A52</f>
        <v>1. Quality aspect 5</v>
      </c>
      <c r="V52" s="5"/>
      <c r="W52" s="5"/>
      <c r="X52" s="5"/>
      <c r="Y52" s="5"/>
      <c r="Z52" s="5"/>
      <c r="AA52" s="5"/>
      <c r="AB52" s="5"/>
      <c r="AC52" s="5"/>
      <c r="AD52" s="5"/>
      <c r="AE52" s="5"/>
      <c r="AG52" s="24" t="str">
        <f>A52</f>
        <v>1. Quality aspect 5</v>
      </c>
      <c r="AH52" s="5"/>
      <c r="AI52" s="5"/>
      <c r="AJ52" s="5"/>
      <c r="AK52" s="5"/>
      <c r="AL52" s="5"/>
      <c r="AM52" s="5"/>
      <c r="AN52" s="5"/>
      <c r="AO52" s="5"/>
      <c r="AP52" s="5"/>
      <c r="AQ52" s="5"/>
    </row>
    <row r="53" spans="1:43" ht="16" outlineLevel="1" thickBot="1" x14ac:dyDescent="0.25">
      <c r="A53" s="39" t="s">
        <v>139</v>
      </c>
      <c r="B53" s="40" t="s">
        <v>138</v>
      </c>
      <c r="C53" s="40"/>
      <c r="D53" s="40"/>
      <c r="E53" s="40"/>
      <c r="F53" s="40" t="s">
        <v>218</v>
      </c>
      <c r="G53" s="41" t="s">
        <v>217</v>
      </c>
      <c r="I53" s="38"/>
      <c r="J53" s="1" t="s">
        <v>1</v>
      </c>
      <c r="K53" s="1" t="s">
        <v>2</v>
      </c>
      <c r="L53" s="1" t="s">
        <v>3</v>
      </c>
      <c r="M53" s="1" t="s">
        <v>0</v>
      </c>
      <c r="N53" s="1" t="s">
        <v>4</v>
      </c>
      <c r="O53" s="1" t="s">
        <v>5</v>
      </c>
      <c r="P53" s="1" t="s">
        <v>6</v>
      </c>
      <c r="Q53" s="1" t="s">
        <v>7</v>
      </c>
      <c r="R53" s="1" t="s">
        <v>8</v>
      </c>
      <c r="S53" s="1" t="s">
        <v>9</v>
      </c>
      <c r="U53" s="38"/>
      <c r="V53" s="1" t="s">
        <v>1</v>
      </c>
      <c r="W53" s="1" t="s">
        <v>2</v>
      </c>
      <c r="X53" s="1" t="s">
        <v>3</v>
      </c>
      <c r="Y53" s="1" t="s">
        <v>0</v>
      </c>
      <c r="Z53" s="1" t="s">
        <v>4</v>
      </c>
      <c r="AA53" s="1" t="s">
        <v>5</v>
      </c>
      <c r="AB53" s="1" t="s">
        <v>6</v>
      </c>
      <c r="AC53" s="1" t="s">
        <v>7</v>
      </c>
      <c r="AD53" s="1" t="s">
        <v>8</v>
      </c>
      <c r="AE53" s="1" t="s">
        <v>9</v>
      </c>
      <c r="AG53" s="38"/>
      <c r="AH53" s="1" t="s">
        <v>1</v>
      </c>
      <c r="AI53" s="1" t="s">
        <v>2</v>
      </c>
      <c r="AJ53" s="1" t="s">
        <v>3</v>
      </c>
      <c r="AK53" s="1" t="s">
        <v>0</v>
      </c>
      <c r="AL53" s="1" t="s">
        <v>4</v>
      </c>
      <c r="AM53" s="1" t="s">
        <v>5</v>
      </c>
      <c r="AN53" s="1" t="s">
        <v>6</v>
      </c>
      <c r="AO53" s="1" t="s">
        <v>7</v>
      </c>
      <c r="AP53" s="1" t="s">
        <v>8</v>
      </c>
      <c r="AQ53" s="1" t="s">
        <v>9</v>
      </c>
    </row>
    <row r="54" spans="1:43" outlineLevel="1" x14ac:dyDescent="0.2">
      <c r="A54" s="28" t="s">
        <v>1</v>
      </c>
      <c r="B54" s="42">
        <f>SUMIF(SUPPORTO_punti!M:M,A54,SUPPORTO_punti!N:N)+SUPPORTO_pareggi!K5</f>
        <v>60</v>
      </c>
      <c r="C54" s="43">
        <f t="shared" ref="C54:C63" si="20">LARGE($B$54:$B$63,D54)</f>
        <v>61</v>
      </c>
      <c r="D54" s="43">
        <v>1</v>
      </c>
      <c r="E54" s="42">
        <f>IF(SUM(B54:B63)=0,0,D54)</f>
        <v>1</v>
      </c>
      <c r="F54" s="42">
        <f t="shared" ref="F54:F63" si="21">VLOOKUP(B54,$C$54:$E$63,3,FALSE)</f>
        <v>0.98360655737704916</v>
      </c>
      <c r="G54" s="44">
        <f>G$52*F54</f>
        <v>3.9344262295081966</v>
      </c>
      <c r="H54" s="35" t="str">
        <f>'MAIN REPORT'!$A$10</f>
        <v>1. Quality aspect 5</v>
      </c>
      <c r="I54" s="1" t="s">
        <v>1</v>
      </c>
      <c r="J54" s="2"/>
      <c r="K54" s="106" t="s">
        <v>87</v>
      </c>
      <c r="L54" s="106" t="s">
        <v>96</v>
      </c>
      <c r="M54" s="106">
        <v>1</v>
      </c>
      <c r="N54" s="106" t="s">
        <v>87</v>
      </c>
      <c r="O54" s="106" t="s">
        <v>87</v>
      </c>
      <c r="P54" s="106" t="s">
        <v>96</v>
      </c>
      <c r="Q54" s="106" t="s">
        <v>87</v>
      </c>
      <c r="R54" s="106" t="s">
        <v>87</v>
      </c>
      <c r="S54" s="132" t="s">
        <v>96</v>
      </c>
      <c r="U54" s="1" t="s">
        <v>1</v>
      </c>
      <c r="V54" s="2"/>
      <c r="W54" s="106">
        <v>1</v>
      </c>
      <c r="X54" s="106" t="s">
        <v>96</v>
      </c>
      <c r="Y54" s="106">
        <v>1</v>
      </c>
      <c r="Z54" s="106" t="s">
        <v>87</v>
      </c>
      <c r="AA54" s="106">
        <v>1</v>
      </c>
      <c r="AB54" s="106" t="s">
        <v>87</v>
      </c>
      <c r="AC54" s="106">
        <v>1</v>
      </c>
      <c r="AD54" s="106" t="s">
        <v>87</v>
      </c>
      <c r="AE54" s="132" t="s">
        <v>87</v>
      </c>
      <c r="AG54" s="1" t="s">
        <v>1</v>
      </c>
      <c r="AH54" s="2"/>
      <c r="AI54" s="106" t="s">
        <v>105</v>
      </c>
      <c r="AJ54" s="106" t="s">
        <v>123</v>
      </c>
      <c r="AK54" s="106">
        <v>1</v>
      </c>
      <c r="AL54" s="106" t="s">
        <v>87</v>
      </c>
      <c r="AM54" s="106">
        <v>1</v>
      </c>
      <c r="AN54" s="106" t="s">
        <v>96</v>
      </c>
      <c r="AO54" s="106" t="s">
        <v>87</v>
      </c>
      <c r="AP54" s="106" t="s">
        <v>96</v>
      </c>
      <c r="AQ54" s="132" t="s">
        <v>96</v>
      </c>
    </row>
    <row r="55" spans="1:43" outlineLevel="1" x14ac:dyDescent="0.2">
      <c r="A55" s="28" t="s">
        <v>2</v>
      </c>
      <c r="B55" s="42">
        <f>SUMIF(SUPPORTO_punti!M:M,A55,SUPPORTO_punti!N:N)+SUPPORTO_pareggi!K11</f>
        <v>27</v>
      </c>
      <c r="C55" s="43">
        <f t="shared" si="20"/>
        <v>60</v>
      </c>
      <c r="D55" s="43">
        <v>2</v>
      </c>
      <c r="E55" s="42">
        <f>(C55/$C$54)*$E$54</f>
        <v>0.98360655737704916</v>
      </c>
      <c r="F55" s="42">
        <f t="shared" si="21"/>
        <v>0.44262295081967212</v>
      </c>
      <c r="G55" s="44">
        <f t="shared" ref="G55:G63" si="22">G$52*F55</f>
        <v>1.7704918032786885</v>
      </c>
      <c r="H55" s="35" t="str">
        <f>'MAIN REPORT'!$A$10</f>
        <v>1. Quality aspect 5</v>
      </c>
      <c r="I55" s="1" t="s">
        <v>2</v>
      </c>
      <c r="J55" s="3"/>
      <c r="K55" s="4"/>
      <c r="L55" s="107" t="s">
        <v>97</v>
      </c>
      <c r="M55" s="107" t="s">
        <v>90</v>
      </c>
      <c r="N55" s="107">
        <v>1</v>
      </c>
      <c r="O55" s="107" t="s">
        <v>88</v>
      </c>
      <c r="P55" s="107" t="s">
        <v>88</v>
      </c>
      <c r="Q55" s="107">
        <v>1</v>
      </c>
      <c r="R55" s="107">
        <v>1</v>
      </c>
      <c r="S55" s="133" t="s">
        <v>88</v>
      </c>
      <c r="U55" s="1" t="s">
        <v>2</v>
      </c>
      <c r="V55" s="3"/>
      <c r="W55" s="4"/>
      <c r="X55" s="107" t="s">
        <v>97</v>
      </c>
      <c r="Y55" s="107" t="s">
        <v>88</v>
      </c>
      <c r="Z55" s="107" t="s">
        <v>91</v>
      </c>
      <c r="AA55" s="107" t="s">
        <v>92</v>
      </c>
      <c r="AB55" s="107">
        <v>1</v>
      </c>
      <c r="AC55" s="107" t="s">
        <v>94</v>
      </c>
      <c r="AD55" s="107">
        <v>1</v>
      </c>
      <c r="AE55" s="133">
        <v>1</v>
      </c>
      <c r="AG55" s="1" t="s">
        <v>2</v>
      </c>
      <c r="AH55" s="3"/>
      <c r="AI55" s="4"/>
      <c r="AJ55" s="107" t="s">
        <v>106</v>
      </c>
      <c r="AK55" s="107" t="s">
        <v>99</v>
      </c>
      <c r="AL55" s="107" t="s">
        <v>100</v>
      </c>
      <c r="AM55" s="107" t="s">
        <v>119</v>
      </c>
      <c r="AN55" s="107">
        <v>1</v>
      </c>
      <c r="AO55" s="107" t="s">
        <v>94</v>
      </c>
      <c r="AP55" s="107">
        <v>1</v>
      </c>
      <c r="AQ55" s="133" t="s">
        <v>132</v>
      </c>
    </row>
    <row r="56" spans="1:43" outlineLevel="1" x14ac:dyDescent="0.2">
      <c r="A56" s="28" t="s">
        <v>3</v>
      </c>
      <c r="B56" s="42">
        <f>SUMIF(SUPPORTO_punti!M:M,A56,SUPPORTO_punti!N:N)+SUPPORTO_pareggi!K17</f>
        <v>0</v>
      </c>
      <c r="C56" s="43">
        <f t="shared" si="20"/>
        <v>53</v>
      </c>
      <c r="D56" s="43">
        <v>3</v>
      </c>
      <c r="E56" s="42">
        <f t="shared" ref="E56:E63" si="23">(C56/$C$54)*$E$54</f>
        <v>0.86885245901639341</v>
      </c>
      <c r="F56" s="42">
        <f t="shared" si="21"/>
        <v>0</v>
      </c>
      <c r="G56" s="44">
        <f t="shared" si="22"/>
        <v>0</v>
      </c>
      <c r="H56" s="35" t="str">
        <f>'MAIN REPORT'!$A$10</f>
        <v>1. Quality aspect 5</v>
      </c>
      <c r="I56" s="1" t="s">
        <v>3</v>
      </c>
      <c r="J56" s="3"/>
      <c r="K56" s="4"/>
      <c r="L56" s="4"/>
      <c r="M56" s="107" t="s">
        <v>117</v>
      </c>
      <c r="N56" s="107" t="s">
        <v>100</v>
      </c>
      <c r="O56" s="107" t="s">
        <v>101</v>
      </c>
      <c r="P56" s="107" t="s">
        <v>93</v>
      </c>
      <c r="Q56" s="107" t="s">
        <v>103</v>
      </c>
      <c r="R56" s="107" t="s">
        <v>104</v>
      </c>
      <c r="S56" s="133" t="s">
        <v>132</v>
      </c>
      <c r="U56" s="1" t="s">
        <v>3</v>
      </c>
      <c r="V56" s="3"/>
      <c r="W56" s="4"/>
      <c r="X56" s="4"/>
      <c r="Y56" s="107" t="s">
        <v>99</v>
      </c>
      <c r="Z56" s="107" t="s">
        <v>100</v>
      </c>
      <c r="AA56" s="107" t="s">
        <v>101</v>
      </c>
      <c r="AB56" s="107" t="s">
        <v>93</v>
      </c>
      <c r="AC56" s="107" t="s">
        <v>103</v>
      </c>
      <c r="AD56" s="107" t="s">
        <v>104</v>
      </c>
      <c r="AE56" s="133" t="s">
        <v>133</v>
      </c>
      <c r="AG56" s="1" t="s">
        <v>3</v>
      </c>
      <c r="AH56" s="3"/>
      <c r="AI56" s="4"/>
      <c r="AJ56" s="4"/>
      <c r="AK56" s="107" t="s">
        <v>126</v>
      </c>
      <c r="AL56" s="107" t="s">
        <v>118</v>
      </c>
      <c r="AM56" s="107" t="s">
        <v>128</v>
      </c>
      <c r="AN56" s="107" t="s">
        <v>111</v>
      </c>
      <c r="AO56" s="107" t="s">
        <v>112</v>
      </c>
      <c r="AP56" s="107" t="s">
        <v>113</v>
      </c>
      <c r="AQ56" s="133" t="s">
        <v>134</v>
      </c>
    </row>
    <row r="57" spans="1:43" outlineLevel="1" x14ac:dyDescent="0.2">
      <c r="A57" s="28" t="s">
        <v>0</v>
      </c>
      <c r="B57" s="42">
        <f>SUMIF(SUPPORTO_punti!M:M,A57,SUPPORTO_punti!N:N)+SUPPORTO_pareggi!K23</f>
        <v>61</v>
      </c>
      <c r="C57" s="43">
        <f t="shared" si="20"/>
        <v>50</v>
      </c>
      <c r="D57" s="43">
        <v>4</v>
      </c>
      <c r="E57" s="42">
        <f t="shared" si="23"/>
        <v>0.81967213114754101</v>
      </c>
      <c r="F57" s="42">
        <f t="shared" si="21"/>
        <v>1</v>
      </c>
      <c r="G57" s="44">
        <f t="shared" si="22"/>
        <v>4</v>
      </c>
      <c r="H57" s="35" t="str">
        <f>'MAIN REPORT'!$A$10</f>
        <v>1. Quality aspect 5</v>
      </c>
      <c r="I57" s="1" t="s">
        <v>0</v>
      </c>
      <c r="J57" s="3"/>
      <c r="K57" s="4"/>
      <c r="L57" s="4"/>
      <c r="M57" s="4"/>
      <c r="N57" s="107" t="s">
        <v>90</v>
      </c>
      <c r="O57" s="107" t="s">
        <v>90</v>
      </c>
      <c r="P57" s="107" t="s">
        <v>99</v>
      </c>
      <c r="Q57" s="107" t="s">
        <v>90</v>
      </c>
      <c r="R57" s="107" t="s">
        <v>108</v>
      </c>
      <c r="S57" s="133" t="s">
        <v>99</v>
      </c>
      <c r="U57" s="1" t="s">
        <v>0</v>
      </c>
      <c r="V57" s="3"/>
      <c r="W57" s="4"/>
      <c r="X57" s="4"/>
      <c r="Y57" s="4"/>
      <c r="Z57" s="107" t="s">
        <v>100</v>
      </c>
      <c r="AA57" s="107" t="s">
        <v>101</v>
      </c>
      <c r="AB57" s="107" t="s">
        <v>102</v>
      </c>
      <c r="AC57" s="107" t="s">
        <v>99</v>
      </c>
      <c r="AD57" s="107" t="s">
        <v>99</v>
      </c>
      <c r="AE57" s="133" t="s">
        <v>90</v>
      </c>
      <c r="AG57" s="1" t="s">
        <v>0</v>
      </c>
      <c r="AH57" s="3"/>
      <c r="AI57" s="4"/>
      <c r="AJ57" s="4"/>
      <c r="AK57" s="4"/>
      <c r="AL57" s="107" t="s">
        <v>90</v>
      </c>
      <c r="AM57" s="107">
        <v>1</v>
      </c>
      <c r="AN57" s="107" t="s">
        <v>99</v>
      </c>
      <c r="AO57" s="107" t="s">
        <v>90</v>
      </c>
      <c r="AP57" s="107" t="s">
        <v>108</v>
      </c>
      <c r="AQ57" s="133" t="s">
        <v>99</v>
      </c>
    </row>
    <row r="58" spans="1:43" outlineLevel="1" x14ac:dyDescent="0.2">
      <c r="A58" s="28" t="s">
        <v>4</v>
      </c>
      <c r="B58" s="42">
        <f>SUMIF(SUPPORTO_punti!M:M,A58,SUPPORTO_punti!N:N)+SUPPORTO_pareggi!K29</f>
        <v>50</v>
      </c>
      <c r="C58" s="43">
        <f t="shared" si="20"/>
        <v>32</v>
      </c>
      <c r="D58" s="43">
        <v>5</v>
      </c>
      <c r="E58" s="42">
        <f t="shared" si="23"/>
        <v>0.52459016393442626</v>
      </c>
      <c r="F58" s="42">
        <f t="shared" si="21"/>
        <v>0.81967213114754101</v>
      </c>
      <c r="G58" s="44">
        <f t="shared" si="22"/>
        <v>3.278688524590164</v>
      </c>
      <c r="H58" s="35" t="str">
        <f>'MAIN REPORT'!$A$10</f>
        <v>1. Quality aspect 5</v>
      </c>
      <c r="I58" s="1" t="s">
        <v>4</v>
      </c>
      <c r="J58" s="3"/>
      <c r="K58" s="4"/>
      <c r="L58" s="4"/>
      <c r="M58" s="4"/>
      <c r="N58" s="4"/>
      <c r="O58" s="107" t="s">
        <v>91</v>
      </c>
      <c r="P58" s="107" t="s">
        <v>100</v>
      </c>
      <c r="Q58" s="107" t="s">
        <v>91</v>
      </c>
      <c r="R58" s="107">
        <v>1</v>
      </c>
      <c r="S58" s="133" t="s">
        <v>100</v>
      </c>
      <c r="U58" s="1" t="s">
        <v>4</v>
      </c>
      <c r="V58" s="3"/>
      <c r="W58" s="4"/>
      <c r="X58" s="4"/>
      <c r="Y58" s="4"/>
      <c r="Z58" s="4"/>
      <c r="AA58" s="107">
        <v>1</v>
      </c>
      <c r="AB58" s="107" t="s">
        <v>100</v>
      </c>
      <c r="AC58" s="107" t="s">
        <v>91</v>
      </c>
      <c r="AD58" s="107" t="s">
        <v>91</v>
      </c>
      <c r="AE58" s="133" t="s">
        <v>91</v>
      </c>
      <c r="AG58" s="1" t="s">
        <v>4</v>
      </c>
      <c r="AH58" s="3"/>
      <c r="AI58" s="4"/>
      <c r="AJ58" s="4"/>
      <c r="AK58" s="4"/>
      <c r="AL58" s="4"/>
      <c r="AM58" s="107" t="s">
        <v>92</v>
      </c>
      <c r="AN58" s="107" t="s">
        <v>100</v>
      </c>
      <c r="AO58" s="107" t="s">
        <v>91</v>
      </c>
      <c r="AP58" s="107" t="s">
        <v>91</v>
      </c>
      <c r="AQ58" s="133" t="s">
        <v>91</v>
      </c>
    </row>
    <row r="59" spans="1:43" outlineLevel="1" x14ac:dyDescent="0.2">
      <c r="A59" s="28" t="s">
        <v>5</v>
      </c>
      <c r="B59" s="42">
        <f>SUMIF(SUPPORTO_punti!M:M,A59,SUPPORTO_punti!N:N)+SUPPORTO_pareggi!K35</f>
        <v>53</v>
      </c>
      <c r="C59" s="43">
        <f t="shared" si="20"/>
        <v>27</v>
      </c>
      <c r="D59" s="43">
        <v>6</v>
      </c>
      <c r="E59" s="42">
        <f>(C59/$C$54)*$E$54</f>
        <v>0.44262295081967212</v>
      </c>
      <c r="F59" s="42">
        <f t="shared" si="21"/>
        <v>0.86885245901639341</v>
      </c>
      <c r="G59" s="44">
        <f t="shared" si="22"/>
        <v>3.4754098360655736</v>
      </c>
      <c r="H59" s="35" t="str">
        <f>'MAIN REPORT'!$A$10</f>
        <v>1. Quality aspect 5</v>
      </c>
      <c r="I59" s="1" t="s">
        <v>5</v>
      </c>
      <c r="J59" s="3"/>
      <c r="K59" s="4"/>
      <c r="L59" s="4"/>
      <c r="M59" s="4"/>
      <c r="N59" s="4"/>
      <c r="O59" s="4"/>
      <c r="P59" s="107" t="s">
        <v>92</v>
      </c>
      <c r="Q59" s="107">
        <v>1</v>
      </c>
      <c r="R59" s="107" t="s">
        <v>95</v>
      </c>
      <c r="S59" s="133" t="s">
        <v>92</v>
      </c>
      <c r="U59" s="1" t="s">
        <v>5</v>
      </c>
      <c r="V59" s="3"/>
      <c r="W59" s="4"/>
      <c r="X59" s="4"/>
      <c r="Y59" s="4"/>
      <c r="Z59" s="4"/>
      <c r="AA59" s="4"/>
      <c r="AB59" s="107" t="s">
        <v>101</v>
      </c>
      <c r="AC59" s="107" t="s">
        <v>92</v>
      </c>
      <c r="AD59" s="107" t="s">
        <v>101</v>
      </c>
      <c r="AE59" s="133" t="s">
        <v>92</v>
      </c>
      <c r="AG59" s="1" t="s">
        <v>5</v>
      </c>
      <c r="AH59" s="3"/>
      <c r="AI59" s="4"/>
      <c r="AJ59" s="4"/>
      <c r="AK59" s="4"/>
      <c r="AL59" s="4"/>
      <c r="AM59" s="4"/>
      <c r="AN59" s="107" t="s">
        <v>101</v>
      </c>
      <c r="AO59" s="107" t="s">
        <v>92</v>
      </c>
      <c r="AP59" s="107" t="s">
        <v>101</v>
      </c>
      <c r="AQ59" s="133" t="s">
        <v>92</v>
      </c>
    </row>
    <row r="60" spans="1:43" outlineLevel="1" x14ac:dyDescent="0.2">
      <c r="A60" s="28" t="s">
        <v>6</v>
      </c>
      <c r="B60" s="42">
        <f>SUMIF(SUPPORTO_punti!M:M,A60,SUPPORTO_punti!N:N)+SUPPORTO_pareggi!K41</f>
        <v>15</v>
      </c>
      <c r="C60" s="43">
        <f t="shared" si="20"/>
        <v>25</v>
      </c>
      <c r="D60" s="43">
        <v>7</v>
      </c>
      <c r="E60" s="42">
        <f t="shared" si="23"/>
        <v>0.4098360655737705</v>
      </c>
      <c r="F60" s="42">
        <f t="shared" si="21"/>
        <v>0.24590163934426229</v>
      </c>
      <c r="G60" s="44">
        <f t="shared" si="22"/>
        <v>0.98360655737704916</v>
      </c>
      <c r="H60" s="35" t="str">
        <f>'MAIN REPORT'!$A$10</f>
        <v>1. Quality aspect 5</v>
      </c>
      <c r="I60" s="1" t="s">
        <v>6</v>
      </c>
      <c r="J60" s="3"/>
      <c r="K60" s="4"/>
      <c r="L60" s="4"/>
      <c r="M60" s="4"/>
      <c r="N60" s="4"/>
      <c r="O60" s="4"/>
      <c r="P60" s="4"/>
      <c r="Q60" s="107" t="s">
        <v>94</v>
      </c>
      <c r="R60" s="107" t="s">
        <v>95</v>
      </c>
      <c r="S60" s="133">
        <v>1</v>
      </c>
      <c r="U60" s="1" t="s">
        <v>6</v>
      </c>
      <c r="V60" s="3"/>
      <c r="W60" s="4"/>
      <c r="X60" s="4"/>
      <c r="Y60" s="4"/>
      <c r="Z60" s="4"/>
      <c r="AA60" s="4"/>
      <c r="AB60" s="4"/>
      <c r="AC60" s="107" t="s">
        <v>103</v>
      </c>
      <c r="AD60" s="107" t="s">
        <v>95</v>
      </c>
      <c r="AE60" s="133" t="s">
        <v>132</v>
      </c>
      <c r="AG60" s="1" t="s">
        <v>6</v>
      </c>
      <c r="AH60" s="3"/>
      <c r="AI60" s="4"/>
      <c r="AJ60" s="4"/>
      <c r="AK60" s="4"/>
      <c r="AL60" s="4"/>
      <c r="AM60" s="4"/>
      <c r="AN60" s="4"/>
      <c r="AO60" s="107" t="s">
        <v>94</v>
      </c>
      <c r="AP60" s="107">
        <v>1</v>
      </c>
      <c r="AQ60" s="133" t="s">
        <v>132</v>
      </c>
    </row>
    <row r="61" spans="1:43" outlineLevel="1" x14ac:dyDescent="0.2">
      <c r="A61" s="28" t="s">
        <v>7</v>
      </c>
      <c r="B61" s="42">
        <f>SUMIF(SUPPORTO_punti!M:M,A61,SUPPORTO_punti!N:N)+SUPPORTO_pareggi!K47</f>
        <v>32</v>
      </c>
      <c r="C61" s="43">
        <f t="shared" si="20"/>
        <v>23</v>
      </c>
      <c r="D61" s="43">
        <v>8</v>
      </c>
      <c r="E61" s="42">
        <f t="shared" si="23"/>
        <v>0.37704918032786883</v>
      </c>
      <c r="F61" s="42">
        <f t="shared" si="21"/>
        <v>0.52459016393442626</v>
      </c>
      <c r="G61" s="44">
        <f t="shared" si="22"/>
        <v>2.098360655737705</v>
      </c>
      <c r="H61" s="35" t="str">
        <f>'MAIN REPORT'!$A$10</f>
        <v>1. Quality aspect 5</v>
      </c>
      <c r="I61" s="1" t="s">
        <v>7</v>
      </c>
      <c r="J61" s="3"/>
      <c r="K61" s="4"/>
      <c r="L61" s="4"/>
      <c r="M61" s="4"/>
      <c r="N61" s="4"/>
      <c r="O61" s="4"/>
      <c r="P61" s="4"/>
      <c r="Q61" s="4"/>
      <c r="R61" s="107" t="s">
        <v>95</v>
      </c>
      <c r="S61" s="133" t="s">
        <v>94</v>
      </c>
      <c r="U61" s="1" t="s">
        <v>7</v>
      </c>
      <c r="V61" s="3"/>
      <c r="W61" s="4"/>
      <c r="X61" s="4"/>
      <c r="Y61" s="4"/>
      <c r="Z61" s="4"/>
      <c r="AA61" s="4"/>
      <c r="AB61" s="4"/>
      <c r="AC61" s="4"/>
      <c r="AD61" s="107" t="s">
        <v>94</v>
      </c>
      <c r="AE61" s="133" t="s">
        <v>132</v>
      </c>
      <c r="AG61" s="1" t="s">
        <v>7</v>
      </c>
      <c r="AH61" s="3"/>
      <c r="AI61" s="4"/>
      <c r="AJ61" s="4"/>
      <c r="AK61" s="4"/>
      <c r="AL61" s="4"/>
      <c r="AM61" s="4"/>
      <c r="AN61" s="4"/>
      <c r="AO61" s="4"/>
      <c r="AP61" s="107" t="s">
        <v>94</v>
      </c>
      <c r="AQ61" s="133" t="s">
        <v>94</v>
      </c>
    </row>
    <row r="62" spans="1:43" outlineLevel="1" x14ac:dyDescent="0.2">
      <c r="A62" s="28" t="s">
        <v>8</v>
      </c>
      <c r="B62" s="42">
        <f>SUMIF(SUPPORTO_punti!M:M,A62,SUPPORTO_punti!N:N)+SUPPORTO_pareggi!K53</f>
        <v>25</v>
      </c>
      <c r="C62" s="43">
        <f t="shared" si="20"/>
        <v>15</v>
      </c>
      <c r="D62" s="43">
        <v>9</v>
      </c>
      <c r="E62" s="42">
        <f t="shared" si="23"/>
        <v>0.24590163934426229</v>
      </c>
      <c r="F62" s="42">
        <f t="shared" si="21"/>
        <v>0.4098360655737705</v>
      </c>
      <c r="G62" s="44">
        <f t="shared" si="22"/>
        <v>1.639344262295082</v>
      </c>
      <c r="H62" s="35" t="str">
        <f>'MAIN REPORT'!$A$10</f>
        <v>1. Quality aspect 5</v>
      </c>
      <c r="I62" s="1" t="s">
        <v>8</v>
      </c>
      <c r="J62" s="3"/>
      <c r="K62" s="4"/>
      <c r="L62" s="4"/>
      <c r="M62" s="4"/>
      <c r="N62" s="4"/>
      <c r="O62" s="4"/>
      <c r="P62" s="4"/>
      <c r="Q62" s="4"/>
      <c r="R62" s="4"/>
      <c r="S62" s="133" t="s">
        <v>95</v>
      </c>
      <c r="U62" s="1" t="s">
        <v>8</v>
      </c>
      <c r="V62" s="3"/>
      <c r="W62" s="4"/>
      <c r="X62" s="4"/>
      <c r="Y62" s="4"/>
      <c r="Z62" s="4"/>
      <c r="AA62" s="4"/>
      <c r="AB62" s="4"/>
      <c r="AC62" s="4"/>
      <c r="AD62" s="4"/>
      <c r="AE62" s="133" t="s">
        <v>132</v>
      </c>
      <c r="AG62" s="1" t="s">
        <v>8</v>
      </c>
      <c r="AH62" s="3"/>
      <c r="AI62" s="4"/>
      <c r="AJ62" s="4"/>
      <c r="AK62" s="4"/>
      <c r="AL62" s="4"/>
      <c r="AM62" s="4"/>
      <c r="AN62" s="4"/>
      <c r="AO62" s="4"/>
      <c r="AP62" s="4"/>
      <c r="AQ62" s="133" t="s">
        <v>132</v>
      </c>
    </row>
    <row r="63" spans="1:43" outlineLevel="1" x14ac:dyDescent="0.2">
      <c r="A63" s="29" t="s">
        <v>9</v>
      </c>
      <c r="B63" s="42">
        <f>SUMIF(SUPPORTO_punti!M:M,A63,SUPPORTO_punti!N:N)+SUPPORTO_pareggi!K59</f>
        <v>23</v>
      </c>
      <c r="C63" s="43">
        <f t="shared" si="20"/>
        <v>0</v>
      </c>
      <c r="D63" s="43">
        <v>10</v>
      </c>
      <c r="E63" s="42">
        <f t="shared" si="23"/>
        <v>0</v>
      </c>
      <c r="F63" s="42">
        <f t="shared" si="21"/>
        <v>0.37704918032786883</v>
      </c>
      <c r="G63" s="44">
        <f t="shared" si="22"/>
        <v>1.5081967213114753</v>
      </c>
      <c r="H63" s="35" t="str">
        <f>'MAIN REPORT'!$A$10</f>
        <v>1. Quality aspect 5</v>
      </c>
      <c r="I63" s="1" t="s">
        <v>9</v>
      </c>
      <c r="J63" s="3"/>
      <c r="K63" s="4"/>
      <c r="L63" s="4"/>
      <c r="M63" s="4"/>
      <c r="N63" s="4"/>
      <c r="O63" s="4"/>
      <c r="P63" s="4"/>
      <c r="Q63" s="4"/>
      <c r="R63" s="4"/>
      <c r="S63" s="4"/>
      <c r="U63" s="1" t="s">
        <v>9</v>
      </c>
      <c r="V63" s="3"/>
      <c r="W63" s="4"/>
      <c r="X63" s="4"/>
      <c r="Y63" s="4"/>
      <c r="Z63" s="4"/>
      <c r="AA63" s="4"/>
      <c r="AB63" s="4"/>
      <c r="AC63" s="4"/>
      <c r="AD63" s="4"/>
      <c r="AE63" s="4"/>
      <c r="AG63" s="1" t="s">
        <v>9</v>
      </c>
      <c r="AH63" s="3"/>
      <c r="AI63" s="4"/>
      <c r="AJ63" s="4"/>
      <c r="AK63" s="4"/>
      <c r="AL63" s="4"/>
      <c r="AM63" s="4"/>
      <c r="AN63" s="4"/>
      <c r="AO63" s="4"/>
      <c r="AP63" s="4"/>
      <c r="AQ63" s="4"/>
    </row>
    <row r="64" spans="1:43" x14ac:dyDescent="0.2">
      <c r="A64" s="24" t="str">
        <f>'MAIN REPORT'!A11</f>
        <v>1. Quality aspect 6</v>
      </c>
      <c r="B64" s="5"/>
      <c r="C64" s="5"/>
      <c r="D64" s="5"/>
      <c r="E64" s="5"/>
      <c r="F64" s="22"/>
      <c r="G64" s="23">
        <f>'MAIN REPORT'!B11</f>
        <v>4</v>
      </c>
      <c r="I64" s="24" t="str">
        <f>A64</f>
        <v>1. Quality aspect 6</v>
      </c>
      <c r="J64" s="5"/>
      <c r="K64" s="5"/>
      <c r="L64" s="5"/>
      <c r="M64" s="5"/>
      <c r="N64" s="5"/>
      <c r="O64" s="5"/>
      <c r="P64" s="5"/>
      <c r="Q64" s="5"/>
      <c r="R64" s="5"/>
      <c r="S64" s="5"/>
      <c r="U64" s="24" t="str">
        <f>A64</f>
        <v>1. Quality aspect 6</v>
      </c>
      <c r="V64" s="5"/>
      <c r="W64" s="5"/>
      <c r="X64" s="5"/>
      <c r="Y64" s="5"/>
      <c r="Z64" s="5"/>
      <c r="AA64" s="5"/>
      <c r="AB64" s="5"/>
      <c r="AC64" s="5"/>
      <c r="AD64" s="5"/>
      <c r="AE64" s="5"/>
      <c r="AG64" s="24" t="str">
        <f>A64</f>
        <v>1. Quality aspect 6</v>
      </c>
      <c r="AH64" s="5"/>
      <c r="AI64" s="5"/>
      <c r="AJ64" s="5"/>
      <c r="AK64" s="5"/>
      <c r="AL64" s="5"/>
      <c r="AM64" s="5"/>
      <c r="AN64" s="5"/>
      <c r="AO64" s="5"/>
      <c r="AP64" s="5"/>
      <c r="AQ64" s="5"/>
    </row>
    <row r="65" spans="1:43" ht="16" outlineLevel="1" thickBot="1" x14ac:dyDescent="0.25">
      <c r="A65" s="39" t="s">
        <v>139</v>
      </c>
      <c r="B65" s="40" t="s">
        <v>138</v>
      </c>
      <c r="C65" s="40"/>
      <c r="D65" s="40"/>
      <c r="E65" s="40"/>
      <c r="F65" s="40" t="s">
        <v>218</v>
      </c>
      <c r="G65" s="41" t="s">
        <v>217</v>
      </c>
      <c r="I65" s="38"/>
      <c r="J65" s="1" t="s">
        <v>1</v>
      </c>
      <c r="K65" s="1" t="s">
        <v>2</v>
      </c>
      <c r="L65" s="1" t="s">
        <v>3</v>
      </c>
      <c r="M65" s="1" t="s">
        <v>0</v>
      </c>
      <c r="N65" s="1" t="s">
        <v>4</v>
      </c>
      <c r="O65" s="1" t="s">
        <v>5</v>
      </c>
      <c r="P65" s="1" t="s">
        <v>6</v>
      </c>
      <c r="Q65" s="1" t="s">
        <v>7</v>
      </c>
      <c r="R65" s="1" t="s">
        <v>8</v>
      </c>
      <c r="S65" s="1" t="s">
        <v>9</v>
      </c>
      <c r="U65" s="38"/>
      <c r="V65" s="1" t="s">
        <v>1</v>
      </c>
      <c r="W65" s="1" t="s">
        <v>2</v>
      </c>
      <c r="X65" s="1" t="s">
        <v>3</v>
      </c>
      <c r="Y65" s="1" t="s">
        <v>0</v>
      </c>
      <c r="Z65" s="1" t="s">
        <v>4</v>
      </c>
      <c r="AA65" s="1" t="s">
        <v>5</v>
      </c>
      <c r="AB65" s="1" t="s">
        <v>6</v>
      </c>
      <c r="AC65" s="1" t="s">
        <v>7</v>
      </c>
      <c r="AD65" s="1" t="s">
        <v>8</v>
      </c>
      <c r="AE65" s="1" t="s">
        <v>9</v>
      </c>
      <c r="AG65" s="38"/>
      <c r="AH65" s="1" t="s">
        <v>1</v>
      </c>
      <c r="AI65" s="1" t="s">
        <v>2</v>
      </c>
      <c r="AJ65" s="1" t="s">
        <v>3</v>
      </c>
      <c r="AK65" s="1" t="s">
        <v>0</v>
      </c>
      <c r="AL65" s="1" t="s">
        <v>4</v>
      </c>
      <c r="AM65" s="1" t="s">
        <v>5</v>
      </c>
      <c r="AN65" s="1" t="s">
        <v>6</v>
      </c>
      <c r="AO65" s="1" t="s">
        <v>7</v>
      </c>
      <c r="AP65" s="1" t="s">
        <v>8</v>
      </c>
      <c r="AQ65" s="1" t="s">
        <v>9</v>
      </c>
    </row>
    <row r="66" spans="1:43" outlineLevel="1" x14ac:dyDescent="0.2">
      <c r="A66" s="28" t="s">
        <v>1</v>
      </c>
      <c r="B66" s="42">
        <f>SUMIF(SUPPORTO_punti!O:O,A66,SUPPORTO_punti!P:P)+SUPPORTO_pareggi!M5</f>
        <v>61</v>
      </c>
      <c r="C66" s="43">
        <f t="shared" ref="C66:C75" si="24">LARGE($B$66:$B$75,D66)</f>
        <v>61</v>
      </c>
      <c r="D66" s="43">
        <v>1</v>
      </c>
      <c r="E66" s="42">
        <f>IF(SUM(B66:B75)=0,0,D66)</f>
        <v>1</v>
      </c>
      <c r="F66" s="42">
        <f t="shared" ref="F66:F75" si="25">VLOOKUP(B66,$C$66:$E$75,3,FALSE)</f>
        <v>1</v>
      </c>
      <c r="G66" s="44">
        <f>G$64*F66</f>
        <v>4</v>
      </c>
      <c r="H66" s="35" t="str">
        <f>'MAIN REPORT'!$A$11</f>
        <v>1. Quality aspect 6</v>
      </c>
      <c r="I66" s="1" t="s">
        <v>1</v>
      </c>
      <c r="J66" s="2"/>
      <c r="K66" s="106">
        <v>1</v>
      </c>
      <c r="L66" s="106" t="s">
        <v>96</v>
      </c>
      <c r="M66" s="106">
        <v>1</v>
      </c>
      <c r="N66" s="106" t="s">
        <v>87</v>
      </c>
      <c r="O66" s="106" t="s">
        <v>87</v>
      </c>
      <c r="P66" s="106" t="s">
        <v>96</v>
      </c>
      <c r="Q66" s="106" t="s">
        <v>94</v>
      </c>
      <c r="R66" s="106" t="s">
        <v>87</v>
      </c>
      <c r="S66" s="132">
        <v>1</v>
      </c>
      <c r="U66" s="1" t="s">
        <v>1</v>
      </c>
      <c r="V66" s="2"/>
      <c r="W66" s="106">
        <v>1</v>
      </c>
      <c r="X66" s="106" t="s">
        <v>105</v>
      </c>
      <c r="Y66" s="106" t="s">
        <v>87</v>
      </c>
      <c r="Z66" s="106">
        <v>1</v>
      </c>
      <c r="AA66" s="106">
        <v>1</v>
      </c>
      <c r="AB66" s="106" t="s">
        <v>96</v>
      </c>
      <c r="AC66" s="106" t="s">
        <v>87</v>
      </c>
      <c r="AD66" s="106" t="s">
        <v>87</v>
      </c>
      <c r="AE66" s="132" t="s">
        <v>96</v>
      </c>
      <c r="AG66" s="1" t="s">
        <v>1</v>
      </c>
      <c r="AH66" s="2"/>
      <c r="AI66" s="106" t="s">
        <v>96</v>
      </c>
      <c r="AJ66" s="106" t="s">
        <v>123</v>
      </c>
      <c r="AK66" s="106" t="s">
        <v>87</v>
      </c>
      <c r="AL66" s="106">
        <v>1</v>
      </c>
      <c r="AM66" s="106">
        <v>1</v>
      </c>
      <c r="AN66" s="106" t="s">
        <v>114</v>
      </c>
      <c r="AO66" s="106" t="s">
        <v>96</v>
      </c>
      <c r="AP66" s="106" t="s">
        <v>96</v>
      </c>
      <c r="AQ66" s="132" t="s">
        <v>96</v>
      </c>
    </row>
    <row r="67" spans="1:43" outlineLevel="1" x14ac:dyDescent="0.2">
      <c r="A67" s="28" t="s">
        <v>2</v>
      </c>
      <c r="B67" s="42">
        <f>SUMIF(SUPPORTO_punti!O:O,A67,SUPPORTO_punti!P:P)+SUPPORTO_pareggi!M11</f>
        <v>35</v>
      </c>
      <c r="C67" s="43">
        <f t="shared" si="24"/>
        <v>52</v>
      </c>
      <c r="D67" s="43">
        <v>2</v>
      </c>
      <c r="E67" s="42">
        <f>(C67/$C$66)*$E$66</f>
        <v>0.85245901639344257</v>
      </c>
      <c r="F67" s="42">
        <f t="shared" si="25"/>
        <v>0.57377049180327866</v>
      </c>
      <c r="G67" s="44">
        <f t="shared" ref="G67:G75" si="26">G$64*F67</f>
        <v>2.2950819672131146</v>
      </c>
      <c r="H67" s="35" t="str">
        <f>'MAIN REPORT'!$A$11</f>
        <v>1. Quality aspect 6</v>
      </c>
      <c r="I67" s="1" t="s">
        <v>2</v>
      </c>
      <c r="J67" s="3"/>
      <c r="K67" s="4"/>
      <c r="L67" s="107" t="s">
        <v>97</v>
      </c>
      <c r="M67" s="107">
        <v>1</v>
      </c>
      <c r="N67" s="107" t="s">
        <v>88</v>
      </c>
      <c r="O67" s="107" t="s">
        <v>88</v>
      </c>
      <c r="P67" s="107" t="s">
        <v>88</v>
      </c>
      <c r="Q67" s="107">
        <v>1</v>
      </c>
      <c r="R67" s="107">
        <v>1</v>
      </c>
      <c r="S67" s="133" t="s">
        <v>88</v>
      </c>
      <c r="U67" s="1" t="s">
        <v>2</v>
      </c>
      <c r="V67" s="3"/>
      <c r="W67" s="4"/>
      <c r="X67" s="107" t="s">
        <v>97</v>
      </c>
      <c r="Y67" s="107">
        <v>1</v>
      </c>
      <c r="Z67" s="107" t="s">
        <v>100</v>
      </c>
      <c r="AA67" s="107" t="s">
        <v>101</v>
      </c>
      <c r="AB67" s="107">
        <v>1</v>
      </c>
      <c r="AC67" s="107" t="s">
        <v>94</v>
      </c>
      <c r="AD67" s="107">
        <v>1</v>
      </c>
      <c r="AE67" s="133">
        <v>1</v>
      </c>
      <c r="AG67" s="1" t="s">
        <v>2</v>
      </c>
      <c r="AH67" s="3"/>
      <c r="AI67" s="4"/>
      <c r="AJ67" s="107" t="s">
        <v>124</v>
      </c>
      <c r="AK67" s="107" t="s">
        <v>90</v>
      </c>
      <c r="AL67" s="107" t="s">
        <v>109</v>
      </c>
      <c r="AM67" s="107" t="s">
        <v>110</v>
      </c>
      <c r="AN67" s="107" t="s">
        <v>97</v>
      </c>
      <c r="AO67" s="107">
        <v>1</v>
      </c>
      <c r="AP67" s="107">
        <v>1</v>
      </c>
      <c r="AQ67" s="133">
        <v>1</v>
      </c>
    </row>
    <row r="68" spans="1:43" outlineLevel="1" x14ac:dyDescent="0.2">
      <c r="A68" s="28" t="s">
        <v>3</v>
      </c>
      <c r="B68" s="42">
        <f>SUMIF(SUPPORTO_punti!O:O,A68,SUPPORTO_punti!P:P)+SUPPORTO_pareggi!M17</f>
        <v>1</v>
      </c>
      <c r="C68" s="43">
        <f t="shared" si="24"/>
        <v>52</v>
      </c>
      <c r="D68" s="43">
        <v>3</v>
      </c>
      <c r="E68" s="42">
        <f t="shared" ref="E68:E75" si="27">(C68/$C$66)*$E$66</f>
        <v>0.85245901639344257</v>
      </c>
      <c r="F68" s="42">
        <f t="shared" si="25"/>
        <v>1.6393442622950821E-2</v>
      </c>
      <c r="G68" s="44">
        <f t="shared" si="26"/>
        <v>6.5573770491803282E-2</v>
      </c>
      <c r="H68" s="35" t="str">
        <f>'MAIN REPORT'!$A$11</f>
        <v>1. Quality aspect 6</v>
      </c>
      <c r="I68" s="1" t="s">
        <v>3</v>
      </c>
      <c r="J68" s="3"/>
      <c r="K68" s="4"/>
      <c r="L68" s="4"/>
      <c r="M68" s="107" t="s">
        <v>99</v>
      </c>
      <c r="N68" s="107" t="s">
        <v>100</v>
      </c>
      <c r="O68" s="107" t="s">
        <v>101</v>
      </c>
      <c r="P68" s="107" t="s">
        <v>93</v>
      </c>
      <c r="Q68" s="107" t="s">
        <v>112</v>
      </c>
      <c r="R68" s="107" t="s">
        <v>104</v>
      </c>
      <c r="S68" s="133" t="s">
        <v>133</v>
      </c>
      <c r="U68" s="1" t="s">
        <v>3</v>
      </c>
      <c r="V68" s="3"/>
      <c r="W68" s="4"/>
      <c r="X68" s="4"/>
      <c r="Y68" s="107" t="s">
        <v>99</v>
      </c>
      <c r="Z68" s="107" t="s">
        <v>109</v>
      </c>
      <c r="AA68" s="107" t="s">
        <v>110</v>
      </c>
      <c r="AB68" s="107">
        <v>1</v>
      </c>
      <c r="AC68" s="107" t="s">
        <v>103</v>
      </c>
      <c r="AD68" s="107" t="s">
        <v>104</v>
      </c>
      <c r="AE68" s="133" t="s">
        <v>133</v>
      </c>
      <c r="AG68" s="1" t="s">
        <v>3</v>
      </c>
      <c r="AH68" s="3"/>
      <c r="AI68" s="4"/>
      <c r="AJ68" s="4"/>
      <c r="AK68" s="107" t="s">
        <v>117</v>
      </c>
      <c r="AL68" s="107" t="s">
        <v>118</v>
      </c>
      <c r="AM68" s="107" t="s">
        <v>119</v>
      </c>
      <c r="AN68" s="107" t="s">
        <v>102</v>
      </c>
      <c r="AO68" s="107" t="s">
        <v>121</v>
      </c>
      <c r="AP68" s="107" t="s">
        <v>122</v>
      </c>
      <c r="AQ68" s="133" t="s">
        <v>135</v>
      </c>
    </row>
    <row r="69" spans="1:43" outlineLevel="1" x14ac:dyDescent="0.2">
      <c r="A69" s="28" t="s">
        <v>0</v>
      </c>
      <c r="B69" s="42">
        <f>SUMIF(SUPPORTO_punti!O:O,A69,SUPPORTO_punti!P:P)+SUPPORTO_pareggi!M23</f>
        <v>46</v>
      </c>
      <c r="C69" s="43">
        <f t="shared" si="24"/>
        <v>46</v>
      </c>
      <c r="D69" s="43">
        <v>4</v>
      </c>
      <c r="E69" s="42">
        <f t="shared" si="27"/>
        <v>0.75409836065573765</v>
      </c>
      <c r="F69" s="42">
        <f t="shared" si="25"/>
        <v>0.75409836065573765</v>
      </c>
      <c r="G69" s="44">
        <f t="shared" si="26"/>
        <v>3.0163934426229506</v>
      </c>
      <c r="H69" s="35" t="str">
        <f>'MAIN REPORT'!$A$11</f>
        <v>1. Quality aspect 6</v>
      </c>
      <c r="I69" s="1" t="s">
        <v>0</v>
      </c>
      <c r="J69" s="3"/>
      <c r="K69" s="4"/>
      <c r="L69" s="4"/>
      <c r="M69" s="4"/>
      <c r="N69" s="107" t="s">
        <v>90</v>
      </c>
      <c r="O69" s="107" t="s">
        <v>90</v>
      </c>
      <c r="P69" s="107" t="s">
        <v>99</v>
      </c>
      <c r="Q69" s="107" t="s">
        <v>94</v>
      </c>
      <c r="R69" s="107" t="s">
        <v>90</v>
      </c>
      <c r="S69" s="133">
        <v>1</v>
      </c>
      <c r="U69" s="1" t="s">
        <v>0</v>
      </c>
      <c r="V69" s="3"/>
      <c r="W69" s="4"/>
      <c r="X69" s="4"/>
      <c r="Y69" s="4"/>
      <c r="Z69" s="107" t="s">
        <v>91</v>
      </c>
      <c r="AA69" s="107" t="s">
        <v>92</v>
      </c>
      <c r="AB69" s="107" t="s">
        <v>99</v>
      </c>
      <c r="AC69" s="107" t="s">
        <v>90</v>
      </c>
      <c r="AD69" s="107" t="s">
        <v>99</v>
      </c>
      <c r="AE69" s="133" t="s">
        <v>90</v>
      </c>
      <c r="AG69" s="1" t="s">
        <v>0</v>
      </c>
      <c r="AH69" s="3"/>
      <c r="AI69" s="4"/>
      <c r="AJ69" s="4"/>
      <c r="AK69" s="4"/>
      <c r="AL69" s="107" t="s">
        <v>91</v>
      </c>
      <c r="AM69" s="107" t="s">
        <v>92</v>
      </c>
      <c r="AN69" s="107" t="s">
        <v>108</v>
      </c>
      <c r="AO69" s="107" t="s">
        <v>90</v>
      </c>
      <c r="AP69" s="107" t="s">
        <v>90</v>
      </c>
      <c r="AQ69" s="133" t="s">
        <v>90</v>
      </c>
    </row>
    <row r="70" spans="1:43" outlineLevel="1" x14ac:dyDescent="0.2">
      <c r="A70" s="28" t="s">
        <v>4</v>
      </c>
      <c r="B70" s="42">
        <f>SUMIF(SUPPORTO_punti!O:O,A70,SUPPORTO_punti!P:P)+SUPPORTO_pareggi!M29</f>
        <v>52</v>
      </c>
      <c r="C70" s="43">
        <f t="shared" si="24"/>
        <v>41</v>
      </c>
      <c r="D70" s="43">
        <v>5</v>
      </c>
      <c r="E70" s="42">
        <f t="shared" si="27"/>
        <v>0.67213114754098358</v>
      </c>
      <c r="F70" s="42">
        <f t="shared" si="25"/>
        <v>0.85245901639344257</v>
      </c>
      <c r="G70" s="44">
        <f t="shared" si="26"/>
        <v>3.4098360655737703</v>
      </c>
      <c r="H70" s="35" t="str">
        <f>'MAIN REPORT'!$A$11</f>
        <v>1. Quality aspect 6</v>
      </c>
      <c r="I70" s="1" t="s">
        <v>4</v>
      </c>
      <c r="J70" s="3"/>
      <c r="K70" s="4"/>
      <c r="L70" s="4"/>
      <c r="M70" s="4"/>
      <c r="N70" s="4"/>
      <c r="O70" s="107">
        <v>1</v>
      </c>
      <c r="P70" s="107" t="s">
        <v>91</v>
      </c>
      <c r="Q70" s="107" t="s">
        <v>94</v>
      </c>
      <c r="R70" s="107">
        <v>1</v>
      </c>
      <c r="S70" s="133" t="s">
        <v>132</v>
      </c>
      <c r="U70" s="1" t="s">
        <v>4</v>
      </c>
      <c r="V70" s="3"/>
      <c r="W70" s="4"/>
      <c r="X70" s="4"/>
      <c r="Y70" s="4"/>
      <c r="Z70" s="4"/>
      <c r="AA70" s="107">
        <v>1</v>
      </c>
      <c r="AB70" s="107" t="s">
        <v>100</v>
      </c>
      <c r="AC70" s="107" t="s">
        <v>91</v>
      </c>
      <c r="AD70" s="107" t="s">
        <v>100</v>
      </c>
      <c r="AE70" s="133" t="s">
        <v>91</v>
      </c>
      <c r="AG70" s="1" t="s">
        <v>4</v>
      </c>
      <c r="AH70" s="3"/>
      <c r="AI70" s="4"/>
      <c r="AJ70" s="4"/>
      <c r="AK70" s="4"/>
      <c r="AL70" s="4"/>
      <c r="AM70" s="107" t="s">
        <v>91</v>
      </c>
      <c r="AN70" s="107" t="s">
        <v>100</v>
      </c>
      <c r="AO70" s="107" t="s">
        <v>100</v>
      </c>
      <c r="AP70" s="107" t="s">
        <v>109</v>
      </c>
      <c r="AQ70" s="133" t="s">
        <v>134</v>
      </c>
    </row>
    <row r="71" spans="1:43" outlineLevel="1" x14ac:dyDescent="0.2">
      <c r="A71" s="28" t="s">
        <v>5</v>
      </c>
      <c r="B71" s="42">
        <f>SUMIF(SUPPORTO_punti!O:O,A71,SUPPORTO_punti!P:P)+SUPPORTO_pareggi!M35</f>
        <v>52</v>
      </c>
      <c r="C71" s="43">
        <f t="shared" si="24"/>
        <v>39</v>
      </c>
      <c r="D71" s="43">
        <v>6</v>
      </c>
      <c r="E71" s="42">
        <f t="shared" si="27"/>
        <v>0.63934426229508201</v>
      </c>
      <c r="F71" s="42">
        <f t="shared" si="25"/>
        <v>0.85245901639344257</v>
      </c>
      <c r="G71" s="44">
        <f t="shared" si="26"/>
        <v>3.4098360655737703</v>
      </c>
      <c r="H71" s="35" t="str">
        <f>'MAIN REPORT'!$A$11</f>
        <v>1. Quality aspect 6</v>
      </c>
      <c r="I71" s="1" t="s">
        <v>5</v>
      </c>
      <c r="J71" s="3"/>
      <c r="K71" s="4"/>
      <c r="L71" s="4"/>
      <c r="M71" s="4"/>
      <c r="N71" s="4"/>
      <c r="O71" s="4"/>
      <c r="P71" s="107" t="s">
        <v>92</v>
      </c>
      <c r="Q71" s="107" t="s">
        <v>94</v>
      </c>
      <c r="R71" s="107">
        <v>1</v>
      </c>
      <c r="S71" s="133" t="s">
        <v>132</v>
      </c>
      <c r="U71" s="1" t="s">
        <v>5</v>
      </c>
      <c r="V71" s="3"/>
      <c r="W71" s="4"/>
      <c r="X71" s="4"/>
      <c r="Y71" s="4"/>
      <c r="Z71" s="4"/>
      <c r="AA71" s="4"/>
      <c r="AB71" s="107" t="s">
        <v>92</v>
      </c>
      <c r="AC71" s="107" t="s">
        <v>92</v>
      </c>
      <c r="AD71" s="107" t="s">
        <v>101</v>
      </c>
      <c r="AE71" s="133" t="s">
        <v>92</v>
      </c>
      <c r="AG71" s="1" t="s">
        <v>5</v>
      </c>
      <c r="AH71" s="3"/>
      <c r="AI71" s="4"/>
      <c r="AJ71" s="4"/>
      <c r="AK71" s="4"/>
      <c r="AL71" s="4"/>
      <c r="AM71" s="4"/>
      <c r="AN71" s="107" t="s">
        <v>110</v>
      </c>
      <c r="AO71" s="107" t="s">
        <v>101</v>
      </c>
      <c r="AP71" s="107" t="s">
        <v>101</v>
      </c>
      <c r="AQ71" s="133" t="s">
        <v>101</v>
      </c>
    </row>
    <row r="72" spans="1:43" outlineLevel="1" x14ac:dyDescent="0.2">
      <c r="A72" s="28" t="s">
        <v>6</v>
      </c>
      <c r="B72" s="42">
        <f>SUMIF(SUPPORTO_punti!O:O,A72,SUPPORTO_punti!P:P)+SUPPORTO_pareggi!M41</f>
        <v>7</v>
      </c>
      <c r="C72" s="43">
        <f t="shared" si="24"/>
        <v>35</v>
      </c>
      <c r="D72" s="43">
        <v>7</v>
      </c>
      <c r="E72" s="42">
        <f t="shared" si="27"/>
        <v>0.57377049180327866</v>
      </c>
      <c r="F72" s="42">
        <f t="shared" si="25"/>
        <v>0.11475409836065574</v>
      </c>
      <c r="G72" s="44">
        <f t="shared" si="26"/>
        <v>0.45901639344262296</v>
      </c>
      <c r="H72" s="35" t="str">
        <f>'MAIN REPORT'!$A$11</f>
        <v>1. Quality aspect 6</v>
      </c>
      <c r="I72" s="1" t="s">
        <v>6</v>
      </c>
      <c r="J72" s="3"/>
      <c r="K72" s="4"/>
      <c r="L72" s="4"/>
      <c r="M72" s="4"/>
      <c r="N72" s="4"/>
      <c r="O72" s="4"/>
      <c r="P72" s="4"/>
      <c r="Q72" s="107" t="s">
        <v>103</v>
      </c>
      <c r="R72" s="107" t="s">
        <v>95</v>
      </c>
      <c r="S72" s="133" t="s">
        <v>133</v>
      </c>
      <c r="U72" s="1" t="s">
        <v>6</v>
      </c>
      <c r="V72" s="3"/>
      <c r="W72" s="4"/>
      <c r="X72" s="4"/>
      <c r="Y72" s="4"/>
      <c r="Z72" s="4"/>
      <c r="AA72" s="4"/>
      <c r="AB72" s="4"/>
      <c r="AC72" s="107" t="s">
        <v>103</v>
      </c>
      <c r="AD72" s="107" t="s">
        <v>95</v>
      </c>
      <c r="AE72" s="133" t="s">
        <v>133</v>
      </c>
      <c r="AG72" s="1" t="s">
        <v>6</v>
      </c>
      <c r="AH72" s="3"/>
      <c r="AI72" s="4"/>
      <c r="AJ72" s="4"/>
      <c r="AK72" s="4"/>
      <c r="AL72" s="4"/>
      <c r="AM72" s="4"/>
      <c r="AN72" s="4"/>
      <c r="AO72" s="107" t="s">
        <v>103</v>
      </c>
      <c r="AP72" s="107" t="s">
        <v>95</v>
      </c>
      <c r="AQ72" s="133" t="s">
        <v>132</v>
      </c>
    </row>
    <row r="73" spans="1:43" outlineLevel="1" x14ac:dyDescent="0.2">
      <c r="A73" s="28" t="s">
        <v>7</v>
      </c>
      <c r="B73" s="42">
        <f>SUMIF(SUPPORTO_punti!O:O,A73,SUPPORTO_punti!P:P)+SUPPORTO_pareggi!M47</f>
        <v>41</v>
      </c>
      <c r="C73" s="43">
        <f t="shared" si="24"/>
        <v>24</v>
      </c>
      <c r="D73" s="43">
        <v>8</v>
      </c>
      <c r="E73" s="42">
        <f t="shared" si="27"/>
        <v>0.39344262295081966</v>
      </c>
      <c r="F73" s="42">
        <f t="shared" si="25"/>
        <v>0.67213114754098358</v>
      </c>
      <c r="G73" s="44">
        <f t="shared" si="26"/>
        <v>2.6885245901639343</v>
      </c>
      <c r="H73" s="35" t="str">
        <f>'MAIN REPORT'!$A$11</f>
        <v>1. Quality aspect 6</v>
      </c>
      <c r="I73" s="1" t="s">
        <v>7</v>
      </c>
      <c r="J73" s="3"/>
      <c r="K73" s="4"/>
      <c r="L73" s="4"/>
      <c r="M73" s="4"/>
      <c r="N73" s="4"/>
      <c r="O73" s="4"/>
      <c r="P73" s="4"/>
      <c r="Q73" s="4"/>
      <c r="R73" s="107" t="s">
        <v>94</v>
      </c>
      <c r="S73" s="133" t="s">
        <v>94</v>
      </c>
      <c r="U73" s="1" t="s">
        <v>7</v>
      </c>
      <c r="V73" s="3"/>
      <c r="W73" s="4"/>
      <c r="X73" s="4"/>
      <c r="Y73" s="4"/>
      <c r="Z73" s="4"/>
      <c r="AA73" s="4"/>
      <c r="AB73" s="4"/>
      <c r="AC73" s="4"/>
      <c r="AD73" s="107" t="s">
        <v>94</v>
      </c>
      <c r="AE73" s="133" t="s">
        <v>132</v>
      </c>
      <c r="AG73" s="1" t="s">
        <v>7</v>
      </c>
      <c r="AH73" s="3"/>
      <c r="AI73" s="4"/>
      <c r="AJ73" s="4"/>
      <c r="AK73" s="4"/>
      <c r="AL73" s="4"/>
      <c r="AM73" s="4"/>
      <c r="AN73" s="4"/>
      <c r="AO73" s="4"/>
      <c r="AP73" s="107">
        <v>1</v>
      </c>
      <c r="AQ73" s="133">
        <v>1</v>
      </c>
    </row>
    <row r="74" spans="1:43" outlineLevel="1" x14ac:dyDescent="0.2">
      <c r="A74" s="28" t="s">
        <v>8</v>
      </c>
      <c r="B74" s="42">
        <f>SUMIF(SUPPORTO_punti!O:O,A74,SUPPORTO_punti!P:P)+SUPPORTO_pareggi!M53</f>
        <v>24</v>
      </c>
      <c r="C74" s="43">
        <f t="shared" si="24"/>
        <v>7</v>
      </c>
      <c r="D74" s="43">
        <v>9</v>
      </c>
      <c r="E74" s="42">
        <f t="shared" si="27"/>
        <v>0.11475409836065574</v>
      </c>
      <c r="F74" s="42">
        <f t="shared" si="25"/>
        <v>0.39344262295081966</v>
      </c>
      <c r="G74" s="44">
        <f t="shared" si="26"/>
        <v>1.5737704918032787</v>
      </c>
      <c r="H74" s="35" t="str">
        <f>'MAIN REPORT'!$A$11</f>
        <v>1. Quality aspect 6</v>
      </c>
      <c r="I74" s="1" t="s">
        <v>8</v>
      </c>
      <c r="J74" s="3"/>
      <c r="K74" s="4"/>
      <c r="L74" s="4"/>
      <c r="M74" s="4"/>
      <c r="N74" s="4"/>
      <c r="O74" s="4"/>
      <c r="P74" s="4"/>
      <c r="Q74" s="4"/>
      <c r="R74" s="4"/>
      <c r="S74" s="133" t="s">
        <v>132</v>
      </c>
      <c r="U74" s="1" t="s">
        <v>8</v>
      </c>
      <c r="V74" s="3"/>
      <c r="W74" s="4"/>
      <c r="X74" s="4"/>
      <c r="Y74" s="4"/>
      <c r="Z74" s="4"/>
      <c r="AA74" s="4"/>
      <c r="AB74" s="4"/>
      <c r="AC74" s="4"/>
      <c r="AD74" s="4"/>
      <c r="AE74" s="133" t="s">
        <v>132</v>
      </c>
      <c r="AG74" s="1" t="s">
        <v>8</v>
      </c>
      <c r="AH74" s="3"/>
      <c r="AI74" s="4"/>
      <c r="AJ74" s="4"/>
      <c r="AK74" s="4"/>
      <c r="AL74" s="4"/>
      <c r="AM74" s="4"/>
      <c r="AN74" s="4"/>
      <c r="AO74" s="4"/>
      <c r="AP74" s="4"/>
      <c r="AQ74" s="133">
        <v>1</v>
      </c>
    </row>
    <row r="75" spans="1:43" outlineLevel="1" x14ac:dyDescent="0.2">
      <c r="A75" s="29" t="s">
        <v>9</v>
      </c>
      <c r="B75" s="42">
        <f>SUMIF(SUPPORTO_punti!O:O,A75,SUPPORTO_punti!P:P)+SUPPORTO_pareggi!M59</f>
        <v>39</v>
      </c>
      <c r="C75" s="43">
        <f t="shared" si="24"/>
        <v>1</v>
      </c>
      <c r="D75" s="43">
        <v>10</v>
      </c>
      <c r="E75" s="42">
        <f t="shared" si="27"/>
        <v>1.6393442622950821E-2</v>
      </c>
      <c r="F75" s="42">
        <f t="shared" si="25"/>
        <v>0.63934426229508201</v>
      </c>
      <c r="G75" s="44">
        <f t="shared" si="26"/>
        <v>2.557377049180328</v>
      </c>
      <c r="H75" s="35" t="str">
        <f>'MAIN REPORT'!$A$11</f>
        <v>1. Quality aspect 6</v>
      </c>
      <c r="I75" s="1" t="s">
        <v>9</v>
      </c>
      <c r="J75" s="3"/>
      <c r="K75" s="4"/>
      <c r="L75" s="4"/>
      <c r="M75" s="4"/>
      <c r="N75" s="4"/>
      <c r="O75" s="4"/>
      <c r="P75" s="4"/>
      <c r="Q75" s="4"/>
      <c r="R75" s="4"/>
      <c r="S75" s="4"/>
      <c r="U75" s="1" t="s">
        <v>9</v>
      </c>
      <c r="V75" s="3"/>
      <c r="W75" s="4"/>
      <c r="X75" s="4"/>
      <c r="Y75" s="4"/>
      <c r="Z75" s="4"/>
      <c r="AA75" s="4"/>
      <c r="AB75" s="4"/>
      <c r="AC75" s="4"/>
      <c r="AD75" s="4"/>
      <c r="AE75" s="4"/>
      <c r="AG75" s="1" t="s">
        <v>9</v>
      </c>
      <c r="AH75" s="3"/>
      <c r="AI75" s="4"/>
      <c r="AJ75" s="4"/>
      <c r="AK75" s="4"/>
      <c r="AL75" s="4"/>
      <c r="AM75" s="4"/>
      <c r="AN75" s="4"/>
      <c r="AO75" s="4"/>
      <c r="AP75" s="4"/>
      <c r="AQ75" s="4"/>
    </row>
    <row r="76" spans="1:43" x14ac:dyDescent="0.2">
      <c r="A76" s="24" t="str">
        <f>'MAIN REPORT'!A12</f>
        <v>1. Quality aspect 7</v>
      </c>
      <c r="B76" s="5"/>
      <c r="C76" s="5"/>
      <c r="D76" s="5"/>
      <c r="E76" s="5"/>
      <c r="F76" s="22"/>
      <c r="G76" s="23">
        <f>'MAIN REPORT'!B12</f>
        <v>4</v>
      </c>
      <c r="I76" s="24" t="str">
        <f>A76</f>
        <v>1. Quality aspect 7</v>
      </c>
      <c r="J76" s="5"/>
      <c r="K76" s="5"/>
      <c r="L76" s="5"/>
      <c r="M76" s="5"/>
      <c r="N76" s="5"/>
      <c r="O76" s="5"/>
      <c r="P76" s="5"/>
      <c r="Q76" s="5"/>
      <c r="R76" s="5"/>
      <c r="S76" s="5"/>
      <c r="U76" s="24" t="str">
        <f>A76</f>
        <v>1. Quality aspect 7</v>
      </c>
      <c r="V76" s="5"/>
      <c r="W76" s="5"/>
      <c r="X76" s="5"/>
      <c r="Y76" s="5"/>
      <c r="Z76" s="5"/>
      <c r="AA76" s="5"/>
      <c r="AB76" s="5"/>
      <c r="AC76" s="5"/>
      <c r="AD76" s="5"/>
      <c r="AE76" s="5"/>
      <c r="AG76" s="24" t="str">
        <f>A76</f>
        <v>1. Quality aspect 7</v>
      </c>
      <c r="AH76" s="5"/>
      <c r="AI76" s="5"/>
      <c r="AJ76" s="5"/>
      <c r="AK76" s="5"/>
      <c r="AL76" s="5"/>
      <c r="AM76" s="5"/>
      <c r="AN76" s="5"/>
      <c r="AO76" s="5"/>
      <c r="AP76" s="5"/>
      <c r="AQ76" s="5"/>
    </row>
    <row r="77" spans="1:43" ht="16" outlineLevel="1" thickBot="1" x14ac:dyDescent="0.25">
      <c r="A77" s="39" t="s">
        <v>139</v>
      </c>
      <c r="B77" s="40" t="s">
        <v>138</v>
      </c>
      <c r="C77" s="40"/>
      <c r="D77" s="40"/>
      <c r="E77" s="40"/>
      <c r="F77" s="40" t="s">
        <v>218</v>
      </c>
      <c r="G77" s="41" t="s">
        <v>217</v>
      </c>
      <c r="I77" s="38"/>
      <c r="J77" s="1" t="s">
        <v>1</v>
      </c>
      <c r="K77" s="1" t="s">
        <v>2</v>
      </c>
      <c r="L77" s="1" t="s">
        <v>3</v>
      </c>
      <c r="M77" s="1" t="s">
        <v>0</v>
      </c>
      <c r="N77" s="1" t="s">
        <v>4</v>
      </c>
      <c r="O77" s="1" t="s">
        <v>5</v>
      </c>
      <c r="P77" s="1" t="s">
        <v>6</v>
      </c>
      <c r="Q77" s="1" t="s">
        <v>7</v>
      </c>
      <c r="R77" s="1" t="s">
        <v>8</v>
      </c>
      <c r="S77" s="1" t="s">
        <v>9</v>
      </c>
      <c r="U77" s="38"/>
      <c r="V77" s="1" t="s">
        <v>1</v>
      </c>
      <c r="W77" s="1" t="s">
        <v>2</v>
      </c>
      <c r="X77" s="1" t="s">
        <v>3</v>
      </c>
      <c r="Y77" s="1" t="s">
        <v>0</v>
      </c>
      <c r="Z77" s="1" t="s">
        <v>4</v>
      </c>
      <c r="AA77" s="1" t="s">
        <v>5</v>
      </c>
      <c r="AB77" s="1" t="s">
        <v>6</v>
      </c>
      <c r="AC77" s="1" t="s">
        <v>7</v>
      </c>
      <c r="AD77" s="1" t="s">
        <v>8</v>
      </c>
      <c r="AE77" s="1" t="s">
        <v>9</v>
      </c>
      <c r="AG77" s="38"/>
      <c r="AH77" s="1" t="s">
        <v>1</v>
      </c>
      <c r="AI77" s="1" t="s">
        <v>2</v>
      </c>
      <c r="AJ77" s="1" t="s">
        <v>3</v>
      </c>
      <c r="AK77" s="1" t="s">
        <v>0</v>
      </c>
      <c r="AL77" s="1" t="s">
        <v>4</v>
      </c>
      <c r="AM77" s="1" t="s">
        <v>5</v>
      </c>
      <c r="AN77" s="1" t="s">
        <v>6</v>
      </c>
      <c r="AO77" s="1" t="s">
        <v>7</v>
      </c>
      <c r="AP77" s="1" t="s">
        <v>8</v>
      </c>
      <c r="AQ77" s="1" t="s">
        <v>9</v>
      </c>
    </row>
    <row r="78" spans="1:43" outlineLevel="1" x14ac:dyDescent="0.2">
      <c r="A78" s="28" t="s">
        <v>1</v>
      </c>
      <c r="B78" s="42">
        <f>SUMIF(SUPPORTO_punti!Q:Q,A78,SUPPORTO_punti!R:R)+SUPPORTO_pareggi!O5</f>
        <v>78</v>
      </c>
      <c r="C78" s="43">
        <f t="shared" ref="C78:C87" si="28">LARGE($B$78:$B$87,D78)</f>
        <v>84</v>
      </c>
      <c r="D78" s="43">
        <v>1</v>
      </c>
      <c r="E78" s="42">
        <f>IF(SUM(B78:B87)=0,0,D78)</f>
        <v>1</v>
      </c>
      <c r="F78" s="42">
        <f t="shared" ref="F78:F87" si="29">VLOOKUP(B78,$C$78:$E$87,3,FALSE)</f>
        <v>0.9285714285714286</v>
      </c>
      <c r="G78" s="44">
        <f>G$76*F78</f>
        <v>3.7142857142857144</v>
      </c>
      <c r="H78" s="35" t="str">
        <f>'MAIN REPORT'!$A$12</f>
        <v>1. Quality aspect 7</v>
      </c>
      <c r="I78" s="1" t="s">
        <v>1</v>
      </c>
      <c r="J78" s="2"/>
      <c r="K78" s="106">
        <v>1</v>
      </c>
      <c r="L78" s="106" t="s">
        <v>96</v>
      </c>
      <c r="M78" s="106" t="s">
        <v>90</v>
      </c>
      <c r="N78" s="106" t="s">
        <v>91</v>
      </c>
      <c r="O78" s="106" t="s">
        <v>87</v>
      </c>
      <c r="P78" s="106" t="s">
        <v>87</v>
      </c>
      <c r="Q78" s="106" t="s">
        <v>96</v>
      </c>
      <c r="R78" s="106" t="s">
        <v>96</v>
      </c>
      <c r="S78" s="132" t="s">
        <v>96</v>
      </c>
      <c r="U78" s="1" t="s">
        <v>1</v>
      </c>
      <c r="V78" s="2"/>
      <c r="W78" s="106" t="s">
        <v>87</v>
      </c>
      <c r="X78" s="106" t="s">
        <v>105</v>
      </c>
      <c r="Y78" s="106" t="s">
        <v>87</v>
      </c>
      <c r="Z78" s="106" t="s">
        <v>87</v>
      </c>
      <c r="AA78" s="106" t="s">
        <v>87</v>
      </c>
      <c r="AB78" s="106" t="s">
        <v>96</v>
      </c>
      <c r="AC78" s="106" t="s">
        <v>87</v>
      </c>
      <c r="AD78" s="106" t="s">
        <v>87</v>
      </c>
      <c r="AE78" s="132" t="s">
        <v>96</v>
      </c>
      <c r="AG78" s="1" t="s">
        <v>1</v>
      </c>
      <c r="AH78" s="2"/>
      <c r="AI78" s="106" t="s">
        <v>123</v>
      </c>
      <c r="AJ78" s="106" t="s">
        <v>123</v>
      </c>
      <c r="AK78" s="106" t="s">
        <v>96</v>
      </c>
      <c r="AL78" s="106" t="s">
        <v>87</v>
      </c>
      <c r="AM78" s="106" t="s">
        <v>87</v>
      </c>
      <c r="AN78" s="106" t="s">
        <v>123</v>
      </c>
      <c r="AO78" s="106" t="s">
        <v>105</v>
      </c>
      <c r="AP78" s="106" t="s">
        <v>114</v>
      </c>
      <c r="AQ78" s="132" t="s">
        <v>114</v>
      </c>
    </row>
    <row r="79" spans="1:43" outlineLevel="1" x14ac:dyDescent="0.2">
      <c r="A79" s="28" t="s">
        <v>2</v>
      </c>
      <c r="B79" s="42">
        <f>SUMIF(SUPPORTO_punti!Q:Q,A79,SUPPORTO_punti!R:R)+SUPPORTO_pareggi!O11</f>
        <v>24</v>
      </c>
      <c r="C79" s="43">
        <f t="shared" si="28"/>
        <v>78</v>
      </c>
      <c r="D79" s="43">
        <v>2</v>
      </c>
      <c r="E79" s="42">
        <f>(C79/$C$78)*$E$78</f>
        <v>0.9285714285714286</v>
      </c>
      <c r="F79" s="42">
        <f t="shared" si="29"/>
        <v>0.2857142857142857</v>
      </c>
      <c r="G79" s="44">
        <f t="shared" ref="G79:G87" si="30">G$76*F79</f>
        <v>1.1428571428571428</v>
      </c>
      <c r="H79" s="35" t="str">
        <f>'MAIN REPORT'!$A$12</f>
        <v>1. Quality aspect 7</v>
      </c>
      <c r="I79" s="1" t="s">
        <v>2</v>
      </c>
      <c r="J79" s="3"/>
      <c r="K79" s="4"/>
      <c r="L79" s="107" t="s">
        <v>97</v>
      </c>
      <c r="M79" s="107" t="s">
        <v>90</v>
      </c>
      <c r="N79" s="107" t="s">
        <v>100</v>
      </c>
      <c r="O79" s="107">
        <v>1</v>
      </c>
      <c r="P79" s="107">
        <v>1</v>
      </c>
      <c r="Q79" s="107" t="s">
        <v>97</v>
      </c>
      <c r="R79" s="107" t="s">
        <v>88</v>
      </c>
      <c r="S79" s="133" t="s">
        <v>88</v>
      </c>
      <c r="U79" s="1" t="s">
        <v>2</v>
      </c>
      <c r="V79" s="3"/>
      <c r="W79" s="4"/>
      <c r="X79" s="107" t="s">
        <v>97</v>
      </c>
      <c r="Y79" s="107">
        <v>1</v>
      </c>
      <c r="Z79" s="107" t="s">
        <v>91</v>
      </c>
      <c r="AA79" s="107" t="s">
        <v>92</v>
      </c>
      <c r="AB79" s="107" t="s">
        <v>88</v>
      </c>
      <c r="AC79" s="107" t="s">
        <v>94</v>
      </c>
      <c r="AD79" s="107">
        <v>1</v>
      </c>
      <c r="AE79" s="133">
        <v>1</v>
      </c>
      <c r="AG79" s="1" t="s">
        <v>2</v>
      </c>
      <c r="AH79" s="3"/>
      <c r="AI79" s="4"/>
      <c r="AJ79" s="107" t="s">
        <v>88</v>
      </c>
      <c r="AK79" s="107" t="s">
        <v>99</v>
      </c>
      <c r="AL79" s="107" t="s">
        <v>118</v>
      </c>
      <c r="AM79" s="107" t="s">
        <v>119</v>
      </c>
      <c r="AN79" s="107" t="s">
        <v>93</v>
      </c>
      <c r="AO79" s="107" t="s">
        <v>103</v>
      </c>
      <c r="AP79" s="107">
        <v>1</v>
      </c>
      <c r="AQ79" s="133" t="s">
        <v>135</v>
      </c>
    </row>
    <row r="80" spans="1:43" outlineLevel="1" x14ac:dyDescent="0.2">
      <c r="A80" s="28" t="s">
        <v>3</v>
      </c>
      <c r="B80" s="42">
        <f>SUMIF(SUPPORTO_punti!Q:Q,A80,SUPPORTO_punti!R:R)+SUPPORTO_pareggi!O17</f>
        <v>4</v>
      </c>
      <c r="C80" s="43">
        <f t="shared" si="28"/>
        <v>59</v>
      </c>
      <c r="D80" s="43">
        <v>3</v>
      </c>
      <c r="E80" s="42">
        <f t="shared" ref="E80:E87" si="31">(C80/$C$78)*$E$78</f>
        <v>0.70238095238095233</v>
      </c>
      <c r="F80" s="42">
        <f t="shared" si="29"/>
        <v>4.7619047619047616E-2</v>
      </c>
      <c r="G80" s="44">
        <f t="shared" si="30"/>
        <v>0.19047619047619047</v>
      </c>
      <c r="H80" s="35" t="str">
        <f>'MAIN REPORT'!$A$12</f>
        <v>1. Quality aspect 7</v>
      </c>
      <c r="I80" s="1" t="s">
        <v>3</v>
      </c>
      <c r="J80" s="3"/>
      <c r="K80" s="4"/>
      <c r="L80" s="4"/>
      <c r="M80" s="107" t="s">
        <v>99</v>
      </c>
      <c r="N80" s="107" t="s">
        <v>109</v>
      </c>
      <c r="O80" s="107" t="s">
        <v>92</v>
      </c>
      <c r="P80" s="107" t="s">
        <v>93</v>
      </c>
      <c r="Q80" s="107">
        <v>1</v>
      </c>
      <c r="R80" s="107">
        <v>1</v>
      </c>
      <c r="S80" s="133">
        <v>1</v>
      </c>
      <c r="U80" s="1" t="s">
        <v>3</v>
      </c>
      <c r="V80" s="3"/>
      <c r="W80" s="4"/>
      <c r="X80" s="4"/>
      <c r="Y80" s="107" t="s">
        <v>108</v>
      </c>
      <c r="Z80" s="107" t="s">
        <v>118</v>
      </c>
      <c r="AA80" s="107" t="s">
        <v>110</v>
      </c>
      <c r="AB80" s="107">
        <v>1</v>
      </c>
      <c r="AC80" s="107" t="s">
        <v>103</v>
      </c>
      <c r="AD80" s="107" t="s">
        <v>104</v>
      </c>
      <c r="AE80" s="133" t="s">
        <v>133</v>
      </c>
      <c r="AG80" s="1" t="s">
        <v>3</v>
      </c>
      <c r="AH80" s="3"/>
      <c r="AI80" s="4"/>
      <c r="AJ80" s="4"/>
      <c r="AK80" s="107" t="s">
        <v>117</v>
      </c>
      <c r="AL80" s="107" t="s">
        <v>118</v>
      </c>
      <c r="AM80" s="107" t="s">
        <v>119</v>
      </c>
      <c r="AN80" s="107" t="s">
        <v>120</v>
      </c>
      <c r="AO80" s="107" t="s">
        <v>121</v>
      </c>
      <c r="AP80" s="107" t="s">
        <v>122</v>
      </c>
      <c r="AQ80" s="133" t="s">
        <v>134</v>
      </c>
    </row>
    <row r="81" spans="1:43" outlineLevel="1" x14ac:dyDescent="0.2">
      <c r="A81" s="28" t="s">
        <v>0</v>
      </c>
      <c r="B81" s="42">
        <f>SUMIF(SUPPORTO_punti!Q:Q,A81,SUPPORTO_punti!R:R)+SUPPORTO_pareggi!O23</f>
        <v>51</v>
      </c>
      <c r="C81" s="43">
        <f t="shared" si="28"/>
        <v>51</v>
      </c>
      <c r="D81" s="43">
        <v>4</v>
      </c>
      <c r="E81" s="42">
        <f t="shared" si="31"/>
        <v>0.6071428571428571</v>
      </c>
      <c r="F81" s="42">
        <f t="shared" si="29"/>
        <v>0.6071428571428571</v>
      </c>
      <c r="G81" s="44">
        <f t="shared" si="30"/>
        <v>2.4285714285714284</v>
      </c>
      <c r="H81" s="35" t="str">
        <f>'MAIN REPORT'!$A$12</f>
        <v>1. Quality aspect 7</v>
      </c>
      <c r="I81" s="1" t="s">
        <v>0</v>
      </c>
      <c r="J81" s="3"/>
      <c r="K81" s="4"/>
      <c r="L81" s="4"/>
      <c r="M81" s="4"/>
      <c r="N81" s="107" t="s">
        <v>91</v>
      </c>
      <c r="O81" s="107" t="s">
        <v>90</v>
      </c>
      <c r="P81" s="107" t="s">
        <v>99</v>
      </c>
      <c r="Q81" s="107" t="s">
        <v>99</v>
      </c>
      <c r="R81" s="107" t="s">
        <v>99</v>
      </c>
      <c r="S81" s="133" t="s">
        <v>99</v>
      </c>
      <c r="U81" s="1" t="s">
        <v>0</v>
      </c>
      <c r="V81" s="3"/>
      <c r="W81" s="4"/>
      <c r="X81" s="4"/>
      <c r="Y81" s="4"/>
      <c r="Z81" s="107" t="s">
        <v>91</v>
      </c>
      <c r="AA81" s="107" t="s">
        <v>92</v>
      </c>
      <c r="AB81" s="107" t="s">
        <v>90</v>
      </c>
      <c r="AC81" s="107" t="s">
        <v>90</v>
      </c>
      <c r="AD81" s="107" t="s">
        <v>99</v>
      </c>
      <c r="AE81" s="133">
        <v>1</v>
      </c>
      <c r="AG81" s="1" t="s">
        <v>0</v>
      </c>
      <c r="AH81" s="3"/>
      <c r="AI81" s="4"/>
      <c r="AJ81" s="4"/>
      <c r="AK81" s="4"/>
      <c r="AL81" s="107" t="s">
        <v>100</v>
      </c>
      <c r="AM81" s="107" t="s">
        <v>101</v>
      </c>
      <c r="AN81" s="107" t="s">
        <v>108</v>
      </c>
      <c r="AO81" s="107" t="s">
        <v>90</v>
      </c>
      <c r="AP81" s="107" t="s">
        <v>90</v>
      </c>
      <c r="AQ81" s="133">
        <v>1</v>
      </c>
    </row>
    <row r="82" spans="1:43" outlineLevel="1" x14ac:dyDescent="0.2">
      <c r="A82" s="28" t="s">
        <v>4</v>
      </c>
      <c r="B82" s="42">
        <f>SUMIF(SUPPORTO_punti!Q:Q,A82,SUPPORTO_punti!R:R)+SUPPORTO_pareggi!O29</f>
        <v>84</v>
      </c>
      <c r="C82" s="43">
        <f t="shared" si="28"/>
        <v>29</v>
      </c>
      <c r="D82" s="43">
        <v>5</v>
      </c>
      <c r="E82" s="42">
        <f t="shared" si="31"/>
        <v>0.34523809523809523</v>
      </c>
      <c r="F82" s="42">
        <f t="shared" si="29"/>
        <v>1</v>
      </c>
      <c r="G82" s="44">
        <f t="shared" si="30"/>
        <v>4</v>
      </c>
      <c r="H82" s="35" t="str">
        <f>'MAIN REPORT'!$A$12</f>
        <v>1. Quality aspect 7</v>
      </c>
      <c r="I82" s="1" t="s">
        <v>4</v>
      </c>
      <c r="J82" s="3"/>
      <c r="K82" s="4"/>
      <c r="L82" s="4"/>
      <c r="M82" s="4"/>
      <c r="N82" s="4"/>
      <c r="O82" s="107" t="s">
        <v>100</v>
      </c>
      <c r="P82" s="107" t="s">
        <v>109</v>
      </c>
      <c r="Q82" s="107" t="s">
        <v>109</v>
      </c>
      <c r="R82" s="107" t="s">
        <v>118</v>
      </c>
      <c r="S82" s="133" t="s">
        <v>109</v>
      </c>
      <c r="U82" s="1" t="s">
        <v>4</v>
      </c>
      <c r="V82" s="3"/>
      <c r="W82" s="4"/>
      <c r="X82" s="4"/>
      <c r="Y82" s="4"/>
      <c r="Z82" s="4"/>
      <c r="AA82" s="107" t="s">
        <v>91</v>
      </c>
      <c r="AB82" s="107" t="s">
        <v>109</v>
      </c>
      <c r="AC82" s="107" t="s">
        <v>100</v>
      </c>
      <c r="AD82" s="107" t="s">
        <v>100</v>
      </c>
      <c r="AE82" s="133" t="s">
        <v>91</v>
      </c>
      <c r="AG82" s="1" t="s">
        <v>4</v>
      </c>
      <c r="AH82" s="3"/>
      <c r="AI82" s="4"/>
      <c r="AJ82" s="4"/>
      <c r="AK82" s="4"/>
      <c r="AL82" s="4"/>
      <c r="AM82" s="107">
        <v>1</v>
      </c>
      <c r="AN82" s="107" t="s">
        <v>109</v>
      </c>
      <c r="AO82" s="107" t="s">
        <v>100</v>
      </c>
      <c r="AP82" s="107" t="s">
        <v>118</v>
      </c>
      <c r="AQ82" s="133" t="s">
        <v>109</v>
      </c>
    </row>
    <row r="83" spans="1:43" outlineLevel="1" x14ac:dyDescent="0.2">
      <c r="A83" s="28" t="s">
        <v>5</v>
      </c>
      <c r="B83" s="42">
        <f>SUMIF(SUPPORTO_punti!Q:Q,A83,SUPPORTO_punti!R:R)+SUPPORTO_pareggi!O35</f>
        <v>59</v>
      </c>
      <c r="C83" s="43">
        <f t="shared" si="28"/>
        <v>26</v>
      </c>
      <c r="D83" s="43">
        <v>6</v>
      </c>
      <c r="E83" s="42">
        <f t="shared" si="31"/>
        <v>0.30952380952380953</v>
      </c>
      <c r="F83" s="42">
        <f t="shared" si="29"/>
        <v>0.70238095238095233</v>
      </c>
      <c r="G83" s="44">
        <f t="shared" si="30"/>
        <v>2.8095238095238093</v>
      </c>
      <c r="H83" s="35" t="str">
        <f>'MAIN REPORT'!$A$12</f>
        <v>1. Quality aspect 7</v>
      </c>
      <c r="I83" s="1" t="s">
        <v>5</v>
      </c>
      <c r="J83" s="3"/>
      <c r="K83" s="4"/>
      <c r="L83" s="4"/>
      <c r="M83" s="4"/>
      <c r="N83" s="4"/>
      <c r="O83" s="4"/>
      <c r="P83" s="107" t="s">
        <v>92</v>
      </c>
      <c r="Q83" s="107" t="s">
        <v>92</v>
      </c>
      <c r="R83" s="107" t="s">
        <v>92</v>
      </c>
      <c r="S83" s="133" t="s">
        <v>92</v>
      </c>
      <c r="U83" s="1" t="s">
        <v>5</v>
      </c>
      <c r="V83" s="3"/>
      <c r="W83" s="4"/>
      <c r="X83" s="4"/>
      <c r="Y83" s="4"/>
      <c r="Z83" s="4"/>
      <c r="AA83" s="4"/>
      <c r="AB83" s="107" t="s">
        <v>101</v>
      </c>
      <c r="AC83" s="107" t="s">
        <v>92</v>
      </c>
      <c r="AD83" s="107" t="s">
        <v>101</v>
      </c>
      <c r="AE83" s="133" t="s">
        <v>92</v>
      </c>
      <c r="AG83" s="1" t="s">
        <v>5</v>
      </c>
      <c r="AH83" s="3"/>
      <c r="AI83" s="4"/>
      <c r="AJ83" s="4"/>
      <c r="AK83" s="4"/>
      <c r="AL83" s="4"/>
      <c r="AM83" s="4"/>
      <c r="AN83" s="107" t="s">
        <v>119</v>
      </c>
      <c r="AO83" s="107" t="s">
        <v>101</v>
      </c>
      <c r="AP83" s="107" t="s">
        <v>110</v>
      </c>
      <c r="AQ83" s="133" t="s">
        <v>110</v>
      </c>
    </row>
    <row r="84" spans="1:43" outlineLevel="1" x14ac:dyDescent="0.2">
      <c r="A84" s="28" t="s">
        <v>6</v>
      </c>
      <c r="B84" s="42">
        <f>SUMIF(SUPPORTO_punti!Q:Q,A84,SUPPORTO_punti!R:R)+SUPPORTO_pareggi!O41</f>
        <v>19</v>
      </c>
      <c r="C84" s="43">
        <f t="shared" si="28"/>
        <v>24</v>
      </c>
      <c r="D84" s="43">
        <v>7</v>
      </c>
      <c r="E84" s="42">
        <f t="shared" si="31"/>
        <v>0.2857142857142857</v>
      </c>
      <c r="F84" s="42">
        <f t="shared" si="29"/>
        <v>0.22619047619047619</v>
      </c>
      <c r="G84" s="44">
        <f t="shared" si="30"/>
        <v>0.90476190476190477</v>
      </c>
      <c r="H84" s="35" t="str">
        <f>'MAIN REPORT'!$A$12</f>
        <v>1. Quality aspect 7</v>
      </c>
      <c r="I84" s="1" t="s">
        <v>6</v>
      </c>
      <c r="J84" s="3"/>
      <c r="K84" s="4"/>
      <c r="L84" s="4"/>
      <c r="M84" s="4"/>
      <c r="N84" s="4"/>
      <c r="O84" s="4"/>
      <c r="P84" s="4"/>
      <c r="Q84" s="107" t="s">
        <v>93</v>
      </c>
      <c r="R84" s="107" t="s">
        <v>93</v>
      </c>
      <c r="S84" s="133" t="s">
        <v>93</v>
      </c>
      <c r="U84" s="1" t="s">
        <v>6</v>
      </c>
      <c r="V84" s="3"/>
      <c r="W84" s="4"/>
      <c r="X84" s="4"/>
      <c r="Y84" s="4"/>
      <c r="Z84" s="4"/>
      <c r="AA84" s="4"/>
      <c r="AB84" s="4"/>
      <c r="AC84" s="107" t="s">
        <v>103</v>
      </c>
      <c r="AD84" s="107" t="s">
        <v>104</v>
      </c>
      <c r="AE84" s="133" t="s">
        <v>133</v>
      </c>
      <c r="AG84" s="1" t="s">
        <v>6</v>
      </c>
      <c r="AH84" s="3"/>
      <c r="AI84" s="4"/>
      <c r="AJ84" s="4"/>
      <c r="AK84" s="4"/>
      <c r="AL84" s="4"/>
      <c r="AM84" s="4"/>
      <c r="AN84" s="4"/>
      <c r="AO84" s="107" t="s">
        <v>103</v>
      </c>
      <c r="AP84" s="107">
        <v>1</v>
      </c>
      <c r="AQ84" s="133">
        <v>1</v>
      </c>
    </row>
    <row r="85" spans="1:43" outlineLevel="1" x14ac:dyDescent="0.2">
      <c r="A85" s="28" t="s">
        <v>7</v>
      </c>
      <c r="B85" s="42">
        <f>SUMIF(SUPPORTO_punti!Q:Q,A85,SUPPORTO_punti!R:R)+SUPPORTO_pareggi!O47</f>
        <v>29</v>
      </c>
      <c r="C85" s="43">
        <f t="shared" si="28"/>
        <v>19</v>
      </c>
      <c r="D85" s="43">
        <v>8</v>
      </c>
      <c r="E85" s="42">
        <f t="shared" si="31"/>
        <v>0.22619047619047619</v>
      </c>
      <c r="F85" s="42">
        <f t="shared" si="29"/>
        <v>0.34523809523809523</v>
      </c>
      <c r="G85" s="44">
        <f t="shared" si="30"/>
        <v>1.3809523809523809</v>
      </c>
      <c r="H85" s="35" t="str">
        <f>'MAIN REPORT'!$A$12</f>
        <v>1. Quality aspect 7</v>
      </c>
      <c r="I85" s="1" t="s">
        <v>7</v>
      </c>
      <c r="J85" s="3"/>
      <c r="K85" s="4"/>
      <c r="L85" s="4"/>
      <c r="M85" s="4"/>
      <c r="N85" s="4"/>
      <c r="O85" s="4"/>
      <c r="P85" s="4"/>
      <c r="Q85" s="4"/>
      <c r="R85" s="107">
        <v>1</v>
      </c>
      <c r="S85" s="133">
        <v>1</v>
      </c>
      <c r="U85" s="1" t="s">
        <v>7</v>
      </c>
      <c r="V85" s="3"/>
      <c r="W85" s="4"/>
      <c r="X85" s="4"/>
      <c r="Y85" s="4"/>
      <c r="Z85" s="4"/>
      <c r="AA85" s="4"/>
      <c r="AB85" s="4"/>
      <c r="AC85" s="4"/>
      <c r="AD85" s="107" t="s">
        <v>94</v>
      </c>
      <c r="AE85" s="133" t="s">
        <v>132</v>
      </c>
      <c r="AG85" s="1" t="s">
        <v>7</v>
      </c>
      <c r="AH85" s="3"/>
      <c r="AI85" s="4"/>
      <c r="AJ85" s="4"/>
      <c r="AK85" s="4"/>
      <c r="AL85" s="4"/>
      <c r="AM85" s="4"/>
      <c r="AN85" s="4"/>
      <c r="AO85" s="4"/>
      <c r="AP85" s="107" t="s">
        <v>94</v>
      </c>
      <c r="AQ85" s="133" t="s">
        <v>103</v>
      </c>
    </row>
    <row r="86" spans="1:43" outlineLevel="1" x14ac:dyDescent="0.2">
      <c r="A86" s="28" t="s">
        <v>8</v>
      </c>
      <c r="B86" s="42">
        <f>SUMIF(SUPPORTO_punti!Q:Q,A86,SUPPORTO_punti!R:R)+SUPPORTO_pareggi!O53</f>
        <v>19</v>
      </c>
      <c r="C86" s="43">
        <f t="shared" si="28"/>
        <v>19</v>
      </c>
      <c r="D86" s="43">
        <v>9</v>
      </c>
      <c r="E86" s="42">
        <f t="shared" si="31"/>
        <v>0.22619047619047619</v>
      </c>
      <c r="F86" s="42">
        <f t="shared" si="29"/>
        <v>0.22619047619047619</v>
      </c>
      <c r="G86" s="44">
        <f t="shared" si="30"/>
        <v>0.90476190476190477</v>
      </c>
      <c r="H86" s="35" t="str">
        <f>'MAIN REPORT'!$A$12</f>
        <v>1. Quality aspect 7</v>
      </c>
      <c r="I86" s="1" t="s">
        <v>8</v>
      </c>
      <c r="J86" s="3"/>
      <c r="K86" s="4"/>
      <c r="L86" s="4"/>
      <c r="M86" s="4"/>
      <c r="N86" s="4"/>
      <c r="O86" s="4"/>
      <c r="P86" s="4"/>
      <c r="Q86" s="4"/>
      <c r="R86" s="4"/>
      <c r="S86" s="133">
        <v>1</v>
      </c>
      <c r="U86" s="1" t="s">
        <v>8</v>
      </c>
      <c r="V86" s="3"/>
      <c r="W86" s="4"/>
      <c r="X86" s="4"/>
      <c r="Y86" s="4"/>
      <c r="Z86" s="4"/>
      <c r="AA86" s="4"/>
      <c r="AB86" s="4"/>
      <c r="AC86" s="4"/>
      <c r="AD86" s="4"/>
      <c r="AE86" s="133">
        <v>1</v>
      </c>
      <c r="AG86" s="1" t="s">
        <v>8</v>
      </c>
      <c r="AH86" s="3"/>
      <c r="AI86" s="4"/>
      <c r="AJ86" s="4"/>
      <c r="AK86" s="4"/>
      <c r="AL86" s="4"/>
      <c r="AM86" s="4"/>
      <c r="AN86" s="4"/>
      <c r="AO86" s="4"/>
      <c r="AP86" s="4"/>
      <c r="AQ86" s="133">
        <v>1</v>
      </c>
    </row>
    <row r="87" spans="1:43" outlineLevel="1" x14ac:dyDescent="0.2">
      <c r="A87" s="29" t="s">
        <v>9</v>
      </c>
      <c r="B87" s="42">
        <f>SUMIF(SUPPORTO_punti!Q:Q,A87,SUPPORTO_punti!R:R)+SUPPORTO_pareggi!O59</f>
        <v>26</v>
      </c>
      <c r="C87" s="43">
        <f t="shared" si="28"/>
        <v>4</v>
      </c>
      <c r="D87" s="43">
        <v>10</v>
      </c>
      <c r="E87" s="42">
        <f t="shared" si="31"/>
        <v>4.7619047619047616E-2</v>
      </c>
      <c r="F87" s="42">
        <f t="shared" si="29"/>
        <v>0.30952380952380953</v>
      </c>
      <c r="G87" s="44">
        <f t="shared" si="30"/>
        <v>1.2380952380952381</v>
      </c>
      <c r="H87" s="35" t="str">
        <f>'MAIN REPORT'!$A$12</f>
        <v>1. Quality aspect 7</v>
      </c>
      <c r="I87" s="1" t="s">
        <v>9</v>
      </c>
      <c r="J87" s="3"/>
      <c r="K87" s="4"/>
      <c r="L87" s="4"/>
      <c r="M87" s="4"/>
      <c r="N87" s="4"/>
      <c r="O87" s="4"/>
      <c r="P87" s="4"/>
      <c r="Q87" s="4"/>
      <c r="R87" s="4"/>
      <c r="S87" s="4"/>
      <c r="U87" s="1" t="s">
        <v>9</v>
      </c>
      <c r="V87" s="3"/>
      <c r="W87" s="4"/>
      <c r="X87" s="4"/>
      <c r="Y87" s="4"/>
      <c r="Z87" s="4"/>
      <c r="AA87" s="4"/>
      <c r="AB87" s="4"/>
      <c r="AC87" s="4"/>
      <c r="AD87" s="4"/>
      <c r="AE87" s="4"/>
      <c r="AG87" s="1" t="s">
        <v>9</v>
      </c>
      <c r="AH87" s="3"/>
      <c r="AI87" s="4"/>
      <c r="AJ87" s="4"/>
      <c r="AK87" s="4"/>
      <c r="AL87" s="4"/>
      <c r="AM87" s="4"/>
      <c r="AN87" s="4"/>
      <c r="AO87" s="4"/>
      <c r="AP87" s="4"/>
      <c r="AQ87" s="4"/>
    </row>
    <row r="88" spans="1:43" x14ac:dyDescent="0.2">
      <c r="A88" s="24" t="str">
        <f>'MAIN REPORT'!A13</f>
        <v>1. Quality aspect 8</v>
      </c>
      <c r="B88" s="5"/>
      <c r="C88" s="5"/>
      <c r="D88" s="5"/>
      <c r="E88" s="5"/>
      <c r="F88" s="22"/>
      <c r="G88" s="23">
        <f>'MAIN REPORT'!B13</f>
        <v>4</v>
      </c>
      <c r="I88" s="24" t="str">
        <f>A88</f>
        <v>1. Quality aspect 8</v>
      </c>
      <c r="J88" s="5"/>
      <c r="K88" s="5"/>
      <c r="L88" s="5"/>
      <c r="M88" s="5"/>
      <c r="N88" s="5"/>
      <c r="O88" s="5"/>
      <c r="P88" s="5"/>
      <c r="Q88" s="5"/>
      <c r="R88" s="5"/>
      <c r="S88" s="5"/>
      <c r="U88" s="24" t="str">
        <f>A88</f>
        <v>1. Quality aspect 8</v>
      </c>
      <c r="V88" s="5"/>
      <c r="W88" s="5"/>
      <c r="X88" s="5"/>
      <c r="Y88" s="5"/>
      <c r="Z88" s="5"/>
      <c r="AA88" s="5"/>
      <c r="AB88" s="5"/>
      <c r="AC88" s="5"/>
      <c r="AD88" s="5"/>
      <c r="AE88" s="5"/>
      <c r="AG88" s="24" t="str">
        <f>A88</f>
        <v>1. Quality aspect 8</v>
      </c>
      <c r="AH88" s="5"/>
      <c r="AI88" s="5"/>
      <c r="AJ88" s="5"/>
      <c r="AK88" s="5"/>
      <c r="AL88" s="5"/>
      <c r="AM88" s="5"/>
      <c r="AN88" s="5"/>
      <c r="AO88" s="5"/>
      <c r="AP88" s="5"/>
      <c r="AQ88" s="5"/>
    </row>
    <row r="89" spans="1:43" ht="16" outlineLevel="1" thickBot="1" x14ac:dyDescent="0.25">
      <c r="A89" s="39" t="s">
        <v>139</v>
      </c>
      <c r="B89" s="40" t="s">
        <v>138</v>
      </c>
      <c r="C89" s="40"/>
      <c r="D89" s="40"/>
      <c r="E89" s="40"/>
      <c r="F89" s="40" t="s">
        <v>218</v>
      </c>
      <c r="G89" s="41" t="s">
        <v>217</v>
      </c>
      <c r="I89" s="38"/>
      <c r="J89" s="1" t="s">
        <v>1</v>
      </c>
      <c r="K89" s="1" t="s">
        <v>2</v>
      </c>
      <c r="L89" s="1" t="s">
        <v>3</v>
      </c>
      <c r="M89" s="1" t="s">
        <v>0</v>
      </c>
      <c r="N89" s="1" t="s">
        <v>4</v>
      </c>
      <c r="O89" s="1" t="s">
        <v>5</v>
      </c>
      <c r="P89" s="1" t="s">
        <v>6</v>
      </c>
      <c r="Q89" s="1" t="s">
        <v>7</v>
      </c>
      <c r="R89" s="1" t="s">
        <v>8</v>
      </c>
      <c r="S89" s="1" t="s">
        <v>9</v>
      </c>
      <c r="U89" s="38"/>
      <c r="V89" s="1" t="s">
        <v>1</v>
      </c>
      <c r="W89" s="1" t="s">
        <v>2</v>
      </c>
      <c r="X89" s="1" t="s">
        <v>3</v>
      </c>
      <c r="Y89" s="1" t="s">
        <v>0</v>
      </c>
      <c r="Z89" s="1" t="s">
        <v>4</v>
      </c>
      <c r="AA89" s="1" t="s">
        <v>5</v>
      </c>
      <c r="AB89" s="1" t="s">
        <v>6</v>
      </c>
      <c r="AC89" s="1" t="s">
        <v>7</v>
      </c>
      <c r="AD89" s="1" t="s">
        <v>8</v>
      </c>
      <c r="AE89" s="1" t="s">
        <v>9</v>
      </c>
      <c r="AG89" s="38"/>
      <c r="AH89" s="1" t="s">
        <v>1</v>
      </c>
      <c r="AI89" s="1" t="s">
        <v>2</v>
      </c>
      <c r="AJ89" s="1" t="s">
        <v>3</v>
      </c>
      <c r="AK89" s="1" t="s">
        <v>0</v>
      </c>
      <c r="AL89" s="1" t="s">
        <v>4</v>
      </c>
      <c r="AM89" s="1" t="s">
        <v>5</v>
      </c>
      <c r="AN89" s="1" t="s">
        <v>6</v>
      </c>
      <c r="AO89" s="1" t="s">
        <v>7</v>
      </c>
      <c r="AP89" s="1" t="s">
        <v>8</v>
      </c>
      <c r="AQ89" s="1" t="s">
        <v>9</v>
      </c>
    </row>
    <row r="90" spans="1:43" outlineLevel="1" x14ac:dyDescent="0.2">
      <c r="A90" s="28" t="s">
        <v>1</v>
      </c>
      <c r="B90" s="42">
        <f>SUMIF(SUPPORTO_punti!S:S,A90,SUPPORTO_punti!T:T)+SUPPORTO_pareggi!Q5</f>
        <v>62</v>
      </c>
      <c r="C90" s="43">
        <f t="shared" ref="C90:C99" si="32">LARGE($B$90:$B$99,D90)</f>
        <v>74</v>
      </c>
      <c r="D90" s="43">
        <v>1</v>
      </c>
      <c r="E90" s="42">
        <f>IF(SUM(B90:B99)=0,0,D90)</f>
        <v>1</v>
      </c>
      <c r="F90" s="42">
        <f t="shared" ref="F90:F99" si="33">VLOOKUP(B90,$C$90:$E$99,3,FALSE)</f>
        <v>0.83783783783783783</v>
      </c>
      <c r="G90" s="44">
        <f>G$88*F90</f>
        <v>3.3513513513513513</v>
      </c>
      <c r="H90" s="35" t="str">
        <f>'MAIN REPORT'!$A$13</f>
        <v>1. Quality aspect 8</v>
      </c>
      <c r="I90" s="1" t="s">
        <v>1</v>
      </c>
      <c r="J90" s="2"/>
      <c r="K90" s="106" t="s">
        <v>88</v>
      </c>
      <c r="L90" s="106" t="s">
        <v>87</v>
      </c>
      <c r="M90" s="106" t="s">
        <v>99</v>
      </c>
      <c r="N90" s="106">
        <v>1</v>
      </c>
      <c r="O90" s="106" t="s">
        <v>87</v>
      </c>
      <c r="P90" s="106" t="s">
        <v>123</v>
      </c>
      <c r="Q90" s="106" t="s">
        <v>87</v>
      </c>
      <c r="R90" s="106" t="s">
        <v>87</v>
      </c>
      <c r="S90" s="132" t="s">
        <v>96</v>
      </c>
      <c r="U90" s="1" t="s">
        <v>1</v>
      </c>
      <c r="V90" s="2"/>
      <c r="W90" s="106" t="s">
        <v>87</v>
      </c>
      <c r="X90" s="106" t="s">
        <v>96</v>
      </c>
      <c r="Y90" s="106" t="s">
        <v>87</v>
      </c>
      <c r="Z90" s="106">
        <v>1</v>
      </c>
      <c r="AA90" s="106" t="s">
        <v>87</v>
      </c>
      <c r="AB90" s="106" t="s">
        <v>123</v>
      </c>
      <c r="AC90" s="106">
        <v>1</v>
      </c>
      <c r="AD90" s="106" t="s">
        <v>96</v>
      </c>
      <c r="AE90" s="132">
        <v>1</v>
      </c>
      <c r="AG90" s="1" t="s">
        <v>1</v>
      </c>
      <c r="AH90" s="2"/>
      <c r="AI90" s="106" t="s">
        <v>96</v>
      </c>
      <c r="AJ90" s="106" t="s">
        <v>96</v>
      </c>
      <c r="AK90" s="106">
        <v>1</v>
      </c>
      <c r="AL90" s="106" t="s">
        <v>87</v>
      </c>
      <c r="AM90" s="106" t="s">
        <v>96</v>
      </c>
      <c r="AN90" s="106" t="s">
        <v>123</v>
      </c>
      <c r="AO90" s="106">
        <v>1</v>
      </c>
      <c r="AP90" s="106" t="s">
        <v>96</v>
      </c>
      <c r="AQ90" s="132">
        <v>1</v>
      </c>
    </row>
    <row r="91" spans="1:43" outlineLevel="1" x14ac:dyDescent="0.2">
      <c r="A91" s="28" t="s">
        <v>2</v>
      </c>
      <c r="B91" s="42">
        <f>SUMIF(SUPPORTO_punti!S:S,A91,SUPPORTO_punti!T:T)+SUPPORTO_pareggi!Q11</f>
        <v>37</v>
      </c>
      <c r="C91" s="43">
        <f t="shared" si="32"/>
        <v>62</v>
      </c>
      <c r="D91" s="43">
        <v>2</v>
      </c>
      <c r="E91" s="42">
        <f>(C91/$C$90)*$E$90</f>
        <v>0.83783783783783783</v>
      </c>
      <c r="F91" s="42">
        <f t="shared" si="33"/>
        <v>0.5</v>
      </c>
      <c r="G91" s="44">
        <f t="shared" ref="G91:G99" si="34">G$88*F91</f>
        <v>2</v>
      </c>
      <c r="H91" s="35" t="str">
        <f>'MAIN REPORT'!$A$13</f>
        <v>1. Quality aspect 8</v>
      </c>
      <c r="I91" s="1" t="s">
        <v>2</v>
      </c>
      <c r="J91" s="3"/>
      <c r="K91" s="4"/>
      <c r="L91" s="107" t="s">
        <v>88</v>
      </c>
      <c r="M91" s="107" t="s">
        <v>99</v>
      </c>
      <c r="N91" s="107">
        <v>1</v>
      </c>
      <c r="O91" s="107" t="s">
        <v>88</v>
      </c>
      <c r="P91" s="107" t="s">
        <v>124</v>
      </c>
      <c r="Q91" s="107" t="s">
        <v>88</v>
      </c>
      <c r="R91" s="107">
        <v>1</v>
      </c>
      <c r="S91" s="133" t="s">
        <v>88</v>
      </c>
      <c r="U91" s="1" t="s">
        <v>2</v>
      </c>
      <c r="V91" s="3"/>
      <c r="W91" s="4"/>
      <c r="X91" s="107">
        <v>1</v>
      </c>
      <c r="Y91" s="107" t="s">
        <v>99</v>
      </c>
      <c r="Z91" s="107" t="s">
        <v>91</v>
      </c>
      <c r="AA91" s="107">
        <v>1</v>
      </c>
      <c r="AB91" s="107" t="s">
        <v>124</v>
      </c>
      <c r="AC91" s="107" t="s">
        <v>94</v>
      </c>
      <c r="AD91" s="107" t="s">
        <v>88</v>
      </c>
      <c r="AE91" s="133" t="s">
        <v>133</v>
      </c>
      <c r="AG91" s="1" t="s">
        <v>2</v>
      </c>
      <c r="AH91" s="3"/>
      <c r="AI91" s="4"/>
      <c r="AJ91" s="107">
        <v>1</v>
      </c>
      <c r="AK91" s="107" t="s">
        <v>99</v>
      </c>
      <c r="AL91" s="107" t="s">
        <v>91</v>
      </c>
      <c r="AM91" s="107">
        <v>1</v>
      </c>
      <c r="AN91" s="107" t="s">
        <v>124</v>
      </c>
      <c r="AO91" s="107" t="s">
        <v>103</v>
      </c>
      <c r="AP91" s="107">
        <v>1</v>
      </c>
      <c r="AQ91" s="133" t="s">
        <v>133</v>
      </c>
    </row>
    <row r="92" spans="1:43" outlineLevel="1" x14ac:dyDescent="0.2">
      <c r="A92" s="28" t="s">
        <v>3</v>
      </c>
      <c r="B92" s="42">
        <f>SUMIF(SUPPORTO_punti!S:S,A92,SUPPORTO_punti!T:T)+SUPPORTO_pareggi!Q17</f>
        <v>31</v>
      </c>
      <c r="C92" s="43">
        <f t="shared" si="32"/>
        <v>60</v>
      </c>
      <c r="D92" s="43">
        <v>3</v>
      </c>
      <c r="E92" s="42">
        <f t="shared" ref="E92:E99" si="35">(C92/$C$90)*$E$90</f>
        <v>0.81081081081081086</v>
      </c>
      <c r="F92" s="42">
        <f t="shared" si="33"/>
        <v>0.41891891891891891</v>
      </c>
      <c r="G92" s="44">
        <f t="shared" si="34"/>
        <v>1.6756756756756757</v>
      </c>
      <c r="H92" s="35" t="str">
        <f>'MAIN REPORT'!$A$13</f>
        <v>1. Quality aspect 8</v>
      </c>
      <c r="I92" s="1" t="s">
        <v>3</v>
      </c>
      <c r="J92" s="3"/>
      <c r="K92" s="4"/>
      <c r="L92" s="4"/>
      <c r="M92" s="107" t="s">
        <v>99</v>
      </c>
      <c r="N92" s="107" t="s">
        <v>91</v>
      </c>
      <c r="O92" s="107">
        <v>1</v>
      </c>
      <c r="P92" s="107" t="s">
        <v>125</v>
      </c>
      <c r="Q92" s="107">
        <v>1</v>
      </c>
      <c r="R92" s="107" t="s">
        <v>89</v>
      </c>
      <c r="S92" s="133" t="s">
        <v>89</v>
      </c>
      <c r="U92" s="1" t="s">
        <v>3</v>
      </c>
      <c r="V92" s="3"/>
      <c r="W92" s="4"/>
      <c r="X92" s="4"/>
      <c r="Y92" s="107" t="s">
        <v>99</v>
      </c>
      <c r="Z92" s="107" t="s">
        <v>91</v>
      </c>
      <c r="AA92" s="107">
        <v>1</v>
      </c>
      <c r="AB92" s="107" t="s">
        <v>125</v>
      </c>
      <c r="AC92" s="107" t="s">
        <v>103</v>
      </c>
      <c r="AD92" s="107" t="s">
        <v>89</v>
      </c>
      <c r="AE92" s="133" t="s">
        <v>133</v>
      </c>
      <c r="AG92" s="1" t="s">
        <v>3</v>
      </c>
      <c r="AH92" s="3"/>
      <c r="AI92" s="4"/>
      <c r="AJ92" s="4"/>
      <c r="AK92" s="107" t="s">
        <v>99</v>
      </c>
      <c r="AL92" s="107" t="s">
        <v>91</v>
      </c>
      <c r="AM92" s="107">
        <v>1</v>
      </c>
      <c r="AN92" s="107" t="s">
        <v>125</v>
      </c>
      <c r="AO92" s="107" t="s">
        <v>103</v>
      </c>
      <c r="AP92" s="107">
        <v>1</v>
      </c>
      <c r="AQ92" s="133" t="s">
        <v>133</v>
      </c>
    </row>
    <row r="93" spans="1:43" outlineLevel="1" x14ac:dyDescent="0.2">
      <c r="A93" s="28" t="s">
        <v>0</v>
      </c>
      <c r="B93" s="42">
        <f>SUMIF(SUPPORTO_punti!S:S,A93,SUPPORTO_punti!T:T)+SUPPORTO_pareggi!Q23</f>
        <v>74</v>
      </c>
      <c r="C93" s="43">
        <f t="shared" si="32"/>
        <v>52</v>
      </c>
      <c r="D93" s="43">
        <v>4</v>
      </c>
      <c r="E93" s="42">
        <f t="shared" si="35"/>
        <v>0.70270270270270274</v>
      </c>
      <c r="F93" s="42">
        <f t="shared" si="33"/>
        <v>1</v>
      </c>
      <c r="G93" s="44">
        <f t="shared" si="34"/>
        <v>4</v>
      </c>
      <c r="H93" s="35" t="str">
        <f>'MAIN REPORT'!$A$13</f>
        <v>1. Quality aspect 8</v>
      </c>
      <c r="I93" s="1" t="s">
        <v>0</v>
      </c>
      <c r="J93" s="3"/>
      <c r="K93" s="4"/>
      <c r="L93" s="4"/>
      <c r="M93" s="4"/>
      <c r="N93" s="107" t="s">
        <v>99</v>
      </c>
      <c r="O93" s="107" t="s">
        <v>99</v>
      </c>
      <c r="P93" s="107" t="s">
        <v>126</v>
      </c>
      <c r="Q93" s="107" t="s">
        <v>99</v>
      </c>
      <c r="R93" s="107" t="s">
        <v>108</v>
      </c>
      <c r="S93" s="133" t="s">
        <v>108</v>
      </c>
      <c r="U93" s="1" t="s">
        <v>0</v>
      </c>
      <c r="V93" s="3"/>
      <c r="W93" s="4"/>
      <c r="X93" s="4"/>
      <c r="Y93" s="4"/>
      <c r="Z93" s="107">
        <v>1</v>
      </c>
      <c r="AA93" s="107" t="s">
        <v>99</v>
      </c>
      <c r="AB93" s="107" t="s">
        <v>126</v>
      </c>
      <c r="AC93" s="107" t="s">
        <v>94</v>
      </c>
      <c r="AD93" s="107" t="s">
        <v>99</v>
      </c>
      <c r="AE93" s="133" t="s">
        <v>132</v>
      </c>
      <c r="AG93" s="1" t="s">
        <v>0</v>
      </c>
      <c r="AH93" s="3"/>
      <c r="AI93" s="4"/>
      <c r="AJ93" s="4"/>
      <c r="AK93" s="4"/>
      <c r="AL93" s="107" t="s">
        <v>90</v>
      </c>
      <c r="AM93" s="107" t="s">
        <v>99</v>
      </c>
      <c r="AN93" s="107" t="s">
        <v>126</v>
      </c>
      <c r="AO93" s="107">
        <v>1</v>
      </c>
      <c r="AP93" s="107" t="s">
        <v>99</v>
      </c>
      <c r="AQ93" s="133">
        <v>1</v>
      </c>
    </row>
    <row r="94" spans="1:43" outlineLevel="1" x14ac:dyDescent="0.2">
      <c r="A94" s="28" t="s">
        <v>4</v>
      </c>
      <c r="B94" s="42">
        <f>SUMIF(SUPPORTO_punti!S:S,A94,SUPPORTO_punti!T:T)+SUPPORTO_pareggi!Q29</f>
        <v>51</v>
      </c>
      <c r="C94" s="43">
        <f t="shared" si="32"/>
        <v>51</v>
      </c>
      <c r="D94" s="43">
        <v>5</v>
      </c>
      <c r="E94" s="42">
        <f t="shared" si="35"/>
        <v>0.68918918918918914</v>
      </c>
      <c r="F94" s="42">
        <f t="shared" si="33"/>
        <v>0.68918918918918914</v>
      </c>
      <c r="G94" s="44">
        <f t="shared" si="34"/>
        <v>2.7567567567567566</v>
      </c>
      <c r="H94" s="35" t="str">
        <f>'MAIN REPORT'!$A$13</f>
        <v>1. Quality aspect 8</v>
      </c>
      <c r="I94" s="1" t="s">
        <v>4</v>
      </c>
      <c r="J94" s="3"/>
      <c r="K94" s="4"/>
      <c r="L94" s="4"/>
      <c r="M94" s="4"/>
      <c r="N94" s="4"/>
      <c r="O94" s="107" t="s">
        <v>91</v>
      </c>
      <c r="P94" s="107" t="s">
        <v>127</v>
      </c>
      <c r="Q94" s="107" t="s">
        <v>91</v>
      </c>
      <c r="R94" s="107" t="s">
        <v>91</v>
      </c>
      <c r="S94" s="133" t="s">
        <v>91</v>
      </c>
      <c r="U94" s="1" t="s">
        <v>4</v>
      </c>
      <c r="V94" s="3"/>
      <c r="W94" s="4"/>
      <c r="X94" s="4"/>
      <c r="Y94" s="4"/>
      <c r="Z94" s="4"/>
      <c r="AA94" s="107" t="s">
        <v>91</v>
      </c>
      <c r="AB94" s="107" t="s">
        <v>127</v>
      </c>
      <c r="AC94" s="107">
        <v>1</v>
      </c>
      <c r="AD94" s="107" t="s">
        <v>100</v>
      </c>
      <c r="AE94" s="133">
        <v>1</v>
      </c>
      <c r="AG94" s="1" t="s">
        <v>4</v>
      </c>
      <c r="AH94" s="3"/>
      <c r="AI94" s="4"/>
      <c r="AJ94" s="4"/>
      <c r="AK94" s="4"/>
      <c r="AL94" s="4"/>
      <c r="AM94" s="107" t="s">
        <v>91</v>
      </c>
      <c r="AN94" s="107" t="s">
        <v>127</v>
      </c>
      <c r="AO94" s="107" t="s">
        <v>94</v>
      </c>
      <c r="AP94" s="107" t="s">
        <v>91</v>
      </c>
      <c r="AQ94" s="133" t="s">
        <v>132</v>
      </c>
    </row>
    <row r="95" spans="1:43" outlineLevel="1" x14ac:dyDescent="0.2">
      <c r="A95" s="28" t="s">
        <v>5</v>
      </c>
      <c r="B95" s="42">
        <f>SUMIF(SUPPORTO_punti!S:S,A95,SUPPORTO_punti!T:T)+SUPPORTO_pareggi!Q35</f>
        <v>33</v>
      </c>
      <c r="C95" s="43">
        <f t="shared" si="32"/>
        <v>37</v>
      </c>
      <c r="D95" s="43">
        <v>6</v>
      </c>
      <c r="E95" s="42">
        <f t="shared" si="35"/>
        <v>0.5</v>
      </c>
      <c r="F95" s="42">
        <f t="shared" si="33"/>
        <v>0.44594594594594594</v>
      </c>
      <c r="G95" s="44">
        <f t="shared" si="34"/>
        <v>1.7837837837837838</v>
      </c>
      <c r="H95" s="35" t="str">
        <f>'MAIN REPORT'!$A$13</f>
        <v>1. Quality aspect 8</v>
      </c>
      <c r="I95" s="1" t="s">
        <v>5</v>
      </c>
      <c r="J95" s="3"/>
      <c r="K95" s="4"/>
      <c r="L95" s="4"/>
      <c r="M95" s="4"/>
      <c r="N95" s="4"/>
      <c r="O95" s="4"/>
      <c r="P95" s="107" t="s">
        <v>128</v>
      </c>
      <c r="Q95" s="107">
        <v>1</v>
      </c>
      <c r="R95" s="107" t="s">
        <v>92</v>
      </c>
      <c r="S95" s="133" t="s">
        <v>101</v>
      </c>
      <c r="U95" s="1" t="s">
        <v>5</v>
      </c>
      <c r="V95" s="3"/>
      <c r="W95" s="4"/>
      <c r="X95" s="4"/>
      <c r="Y95" s="4"/>
      <c r="Z95" s="4"/>
      <c r="AA95" s="4"/>
      <c r="AB95" s="107" t="s">
        <v>128</v>
      </c>
      <c r="AC95" s="107" t="s">
        <v>103</v>
      </c>
      <c r="AD95" s="107" t="s">
        <v>92</v>
      </c>
      <c r="AE95" s="133" t="s">
        <v>132</v>
      </c>
      <c r="AG95" s="1" t="s">
        <v>5</v>
      </c>
      <c r="AH95" s="3"/>
      <c r="AI95" s="4"/>
      <c r="AJ95" s="4"/>
      <c r="AK95" s="4"/>
      <c r="AL95" s="4"/>
      <c r="AM95" s="4"/>
      <c r="AN95" s="107" t="s">
        <v>128</v>
      </c>
      <c r="AO95" s="107" t="s">
        <v>103</v>
      </c>
      <c r="AP95" s="107" t="s">
        <v>92</v>
      </c>
      <c r="AQ95" s="133" t="s">
        <v>133</v>
      </c>
    </row>
    <row r="96" spans="1:43" outlineLevel="1" x14ac:dyDescent="0.2">
      <c r="A96" s="28" t="s">
        <v>6</v>
      </c>
      <c r="B96" s="42">
        <f>SUMIF(SUPPORTO_punti!S:S,A96,SUPPORTO_punti!T:T)+SUPPORTO_pareggi!Q41</f>
        <v>0</v>
      </c>
      <c r="C96" s="43">
        <f t="shared" si="32"/>
        <v>33</v>
      </c>
      <c r="D96" s="43">
        <v>7</v>
      </c>
      <c r="E96" s="42">
        <f t="shared" si="35"/>
        <v>0.44594594594594594</v>
      </c>
      <c r="F96" s="42">
        <f t="shared" si="33"/>
        <v>0</v>
      </c>
      <c r="G96" s="44">
        <f t="shared" si="34"/>
        <v>0</v>
      </c>
      <c r="H96" s="35" t="str">
        <f>'MAIN REPORT'!$A$13</f>
        <v>1. Quality aspect 8</v>
      </c>
      <c r="I96" s="1" t="s">
        <v>6</v>
      </c>
      <c r="J96" s="3"/>
      <c r="K96" s="4"/>
      <c r="L96" s="4"/>
      <c r="M96" s="4"/>
      <c r="N96" s="4"/>
      <c r="O96" s="4"/>
      <c r="P96" s="4"/>
      <c r="Q96" s="107" t="s">
        <v>130</v>
      </c>
      <c r="R96" s="107" t="s">
        <v>131</v>
      </c>
      <c r="S96" s="133" t="s">
        <v>136</v>
      </c>
      <c r="U96" s="1" t="s">
        <v>6</v>
      </c>
      <c r="V96" s="3"/>
      <c r="W96" s="4"/>
      <c r="X96" s="4"/>
      <c r="Y96" s="4"/>
      <c r="Z96" s="4"/>
      <c r="AA96" s="4"/>
      <c r="AB96" s="4"/>
      <c r="AC96" s="107" t="s">
        <v>130</v>
      </c>
      <c r="AD96" s="107" t="s">
        <v>131</v>
      </c>
      <c r="AE96" s="133" t="s">
        <v>136</v>
      </c>
      <c r="AG96" s="1" t="s">
        <v>6</v>
      </c>
      <c r="AH96" s="3"/>
      <c r="AI96" s="4"/>
      <c r="AJ96" s="4"/>
      <c r="AK96" s="4"/>
      <c r="AL96" s="4"/>
      <c r="AM96" s="4"/>
      <c r="AN96" s="4"/>
      <c r="AO96" s="107" t="s">
        <v>130</v>
      </c>
      <c r="AP96" s="107" t="s">
        <v>131</v>
      </c>
      <c r="AQ96" s="133" t="s">
        <v>136</v>
      </c>
    </row>
    <row r="97" spans="1:43" outlineLevel="1" x14ac:dyDescent="0.2">
      <c r="A97" s="28" t="s">
        <v>7</v>
      </c>
      <c r="B97" s="42">
        <f>SUMIF(SUPPORTO_punti!S:S,A97,SUPPORTO_punti!T:T)+SUPPORTO_pareggi!Q47</f>
        <v>60</v>
      </c>
      <c r="C97" s="43">
        <f t="shared" si="32"/>
        <v>31</v>
      </c>
      <c r="D97" s="43">
        <v>8</v>
      </c>
      <c r="E97" s="42">
        <f t="shared" si="35"/>
        <v>0.41891891891891891</v>
      </c>
      <c r="F97" s="42">
        <f t="shared" si="33"/>
        <v>0.81081081081081086</v>
      </c>
      <c r="G97" s="44">
        <f t="shared" si="34"/>
        <v>3.2432432432432434</v>
      </c>
      <c r="H97" s="35" t="str">
        <f>'MAIN REPORT'!$A$13</f>
        <v>1. Quality aspect 8</v>
      </c>
      <c r="I97" s="1" t="s">
        <v>7</v>
      </c>
      <c r="J97" s="3"/>
      <c r="K97" s="4"/>
      <c r="L97" s="4"/>
      <c r="M97" s="4"/>
      <c r="N97" s="4"/>
      <c r="O97" s="4"/>
      <c r="P97" s="4"/>
      <c r="Q97" s="4"/>
      <c r="R97" s="107" t="s">
        <v>94</v>
      </c>
      <c r="S97" s="133" t="s">
        <v>103</v>
      </c>
      <c r="U97" s="1" t="s">
        <v>7</v>
      </c>
      <c r="V97" s="3"/>
      <c r="W97" s="4"/>
      <c r="X97" s="4"/>
      <c r="Y97" s="4"/>
      <c r="Z97" s="4"/>
      <c r="AA97" s="4"/>
      <c r="AB97" s="4"/>
      <c r="AC97" s="4"/>
      <c r="AD97" s="107" t="s">
        <v>112</v>
      </c>
      <c r="AE97" s="133">
        <v>1</v>
      </c>
      <c r="AG97" s="1" t="s">
        <v>7</v>
      </c>
      <c r="AH97" s="3"/>
      <c r="AI97" s="4"/>
      <c r="AJ97" s="4"/>
      <c r="AK97" s="4"/>
      <c r="AL97" s="4"/>
      <c r="AM97" s="4"/>
      <c r="AN97" s="4"/>
      <c r="AO97" s="4"/>
      <c r="AP97" s="107" t="s">
        <v>112</v>
      </c>
      <c r="AQ97" s="133">
        <v>1</v>
      </c>
    </row>
    <row r="98" spans="1:43" outlineLevel="1" x14ac:dyDescent="0.2">
      <c r="A98" s="28" t="s">
        <v>8</v>
      </c>
      <c r="B98" s="42">
        <f>SUMIF(SUPPORTO_punti!S:S,A98,SUPPORTO_punti!T:T)+SUPPORTO_pareggi!Q53</f>
        <v>23</v>
      </c>
      <c r="C98" s="43">
        <f t="shared" si="32"/>
        <v>23</v>
      </c>
      <c r="D98" s="43">
        <v>9</v>
      </c>
      <c r="E98" s="42">
        <f t="shared" si="35"/>
        <v>0.3108108108108108</v>
      </c>
      <c r="F98" s="42">
        <f t="shared" si="33"/>
        <v>0.3108108108108108</v>
      </c>
      <c r="G98" s="44">
        <f t="shared" si="34"/>
        <v>1.2432432432432432</v>
      </c>
      <c r="H98" s="35" t="str">
        <f>'MAIN REPORT'!$A$13</f>
        <v>1. Quality aspect 8</v>
      </c>
      <c r="I98" s="1" t="s">
        <v>8</v>
      </c>
      <c r="J98" s="3"/>
      <c r="K98" s="4"/>
      <c r="L98" s="4"/>
      <c r="M98" s="4"/>
      <c r="N98" s="4"/>
      <c r="O98" s="4"/>
      <c r="P98" s="4"/>
      <c r="Q98" s="4"/>
      <c r="R98" s="4"/>
      <c r="S98" s="133" t="s">
        <v>95</v>
      </c>
      <c r="U98" s="1" t="s">
        <v>8</v>
      </c>
      <c r="V98" s="3"/>
      <c r="W98" s="4"/>
      <c r="X98" s="4"/>
      <c r="Y98" s="4"/>
      <c r="Z98" s="4"/>
      <c r="AA98" s="4"/>
      <c r="AB98" s="4"/>
      <c r="AC98" s="4"/>
      <c r="AD98" s="4"/>
      <c r="AE98" s="133" t="s">
        <v>133</v>
      </c>
      <c r="AG98" s="1" t="s">
        <v>8</v>
      </c>
      <c r="AH98" s="3"/>
      <c r="AI98" s="4"/>
      <c r="AJ98" s="4"/>
      <c r="AK98" s="4"/>
      <c r="AL98" s="4"/>
      <c r="AM98" s="4"/>
      <c r="AN98" s="4"/>
      <c r="AO98" s="4"/>
      <c r="AP98" s="4"/>
      <c r="AQ98" s="133" t="s">
        <v>134</v>
      </c>
    </row>
    <row r="99" spans="1:43" outlineLevel="1" x14ac:dyDescent="0.2">
      <c r="A99" s="29" t="s">
        <v>9</v>
      </c>
      <c r="B99" s="42">
        <f>SUMIF(SUPPORTO_punti!S:S,A99,SUPPORTO_punti!T:T)+SUPPORTO_pareggi!Q59</f>
        <v>52</v>
      </c>
      <c r="C99" s="43">
        <f t="shared" si="32"/>
        <v>0</v>
      </c>
      <c r="D99" s="43">
        <v>10</v>
      </c>
      <c r="E99" s="42">
        <f t="shared" si="35"/>
        <v>0</v>
      </c>
      <c r="F99" s="42">
        <f t="shared" si="33"/>
        <v>0.70270270270270274</v>
      </c>
      <c r="G99" s="44">
        <f t="shared" si="34"/>
        <v>2.810810810810811</v>
      </c>
      <c r="H99" s="35" t="str">
        <f>'MAIN REPORT'!$A$13</f>
        <v>1. Quality aspect 8</v>
      </c>
      <c r="I99" s="1" t="s">
        <v>9</v>
      </c>
      <c r="J99" s="3"/>
      <c r="K99" s="4"/>
      <c r="L99" s="4"/>
      <c r="M99" s="4"/>
      <c r="N99" s="4"/>
      <c r="O99" s="4"/>
      <c r="P99" s="4"/>
      <c r="Q99" s="4"/>
      <c r="R99" s="4"/>
      <c r="S99" s="4"/>
      <c r="U99" s="1" t="s">
        <v>9</v>
      </c>
      <c r="V99" s="3"/>
      <c r="W99" s="4"/>
      <c r="X99" s="4"/>
      <c r="Y99" s="4"/>
      <c r="Z99" s="4"/>
      <c r="AA99" s="4"/>
      <c r="AB99" s="4" t="s">
        <v>168</v>
      </c>
      <c r="AC99" s="4"/>
      <c r="AD99" s="4"/>
      <c r="AE99" s="4"/>
      <c r="AG99" s="1" t="s">
        <v>9</v>
      </c>
      <c r="AH99" s="3"/>
      <c r="AI99" s="4"/>
      <c r="AJ99" s="4"/>
      <c r="AK99" s="4"/>
      <c r="AL99" s="4"/>
      <c r="AM99" s="4"/>
      <c r="AN99" s="4"/>
      <c r="AO99" s="4"/>
      <c r="AP99" s="4"/>
      <c r="AQ99" s="4"/>
    </row>
    <row r="100" spans="1:43" x14ac:dyDescent="0.2">
      <c r="A100" s="24" t="str">
        <f>'MAIN REPORT'!A14</f>
        <v>1. Quality aspect 9</v>
      </c>
      <c r="B100" s="5"/>
      <c r="C100" s="5"/>
      <c r="D100" s="5"/>
      <c r="E100" s="5"/>
      <c r="F100" s="22"/>
      <c r="G100" s="23">
        <f>'MAIN REPORT'!B14</f>
        <v>4</v>
      </c>
      <c r="I100" s="24" t="str">
        <f>A100</f>
        <v>1. Quality aspect 9</v>
      </c>
      <c r="J100" s="5"/>
      <c r="K100" s="5"/>
      <c r="L100" s="5"/>
      <c r="M100" s="5"/>
      <c r="N100" s="5"/>
      <c r="O100" s="5"/>
      <c r="P100" s="5"/>
      <c r="Q100" s="5"/>
      <c r="R100" s="5"/>
      <c r="S100" s="5"/>
      <c r="U100" s="24" t="str">
        <f>A100</f>
        <v>1. Quality aspect 9</v>
      </c>
      <c r="V100" s="5"/>
      <c r="W100" s="5"/>
      <c r="X100" s="5"/>
      <c r="Y100" s="5"/>
      <c r="Z100" s="5"/>
      <c r="AA100" s="5"/>
      <c r="AB100" s="5"/>
      <c r="AC100" s="5"/>
      <c r="AD100" s="5"/>
      <c r="AE100" s="5"/>
      <c r="AG100" s="24" t="str">
        <f>A100</f>
        <v>1. Quality aspect 9</v>
      </c>
      <c r="AH100" s="5"/>
      <c r="AI100" s="5"/>
      <c r="AJ100" s="5"/>
      <c r="AK100" s="5"/>
      <c r="AL100" s="5"/>
      <c r="AM100" s="5"/>
      <c r="AN100" s="5"/>
      <c r="AO100" s="5"/>
      <c r="AP100" s="5"/>
      <c r="AQ100" s="5"/>
    </row>
    <row r="101" spans="1:43" ht="16" outlineLevel="1" thickBot="1" x14ac:dyDescent="0.25">
      <c r="A101" s="39" t="s">
        <v>139</v>
      </c>
      <c r="B101" s="40" t="s">
        <v>138</v>
      </c>
      <c r="C101" s="40"/>
      <c r="D101" s="40"/>
      <c r="E101" s="40"/>
      <c r="F101" s="40" t="s">
        <v>218</v>
      </c>
      <c r="G101" s="41" t="s">
        <v>217</v>
      </c>
      <c r="I101" s="38"/>
      <c r="J101" s="1" t="s">
        <v>1</v>
      </c>
      <c r="K101" s="1" t="s">
        <v>2</v>
      </c>
      <c r="L101" s="1" t="s">
        <v>3</v>
      </c>
      <c r="M101" s="1" t="s">
        <v>0</v>
      </c>
      <c r="N101" s="1" t="s">
        <v>4</v>
      </c>
      <c r="O101" s="1" t="s">
        <v>5</v>
      </c>
      <c r="P101" s="1" t="s">
        <v>6</v>
      </c>
      <c r="Q101" s="1" t="s">
        <v>7</v>
      </c>
      <c r="R101" s="1" t="s">
        <v>8</v>
      </c>
      <c r="S101" s="1" t="s">
        <v>9</v>
      </c>
      <c r="U101" s="38"/>
      <c r="V101" s="1" t="s">
        <v>1</v>
      </c>
      <c r="W101" s="1" t="s">
        <v>2</v>
      </c>
      <c r="X101" s="1" t="s">
        <v>3</v>
      </c>
      <c r="Y101" s="1" t="s">
        <v>0</v>
      </c>
      <c r="Z101" s="1" t="s">
        <v>4</v>
      </c>
      <c r="AA101" s="1" t="s">
        <v>5</v>
      </c>
      <c r="AB101" s="1" t="s">
        <v>6</v>
      </c>
      <c r="AC101" s="1" t="s">
        <v>7</v>
      </c>
      <c r="AD101" s="1" t="s">
        <v>8</v>
      </c>
      <c r="AE101" s="1" t="s">
        <v>9</v>
      </c>
      <c r="AG101" s="38"/>
      <c r="AH101" s="1" t="s">
        <v>1</v>
      </c>
      <c r="AI101" s="1" t="s">
        <v>2</v>
      </c>
      <c r="AJ101" s="1" t="s">
        <v>3</v>
      </c>
      <c r="AK101" s="1" t="s">
        <v>0</v>
      </c>
      <c r="AL101" s="1" t="s">
        <v>4</v>
      </c>
      <c r="AM101" s="1" t="s">
        <v>5</v>
      </c>
      <c r="AN101" s="1" t="s">
        <v>6</v>
      </c>
      <c r="AO101" s="1" t="s">
        <v>7</v>
      </c>
      <c r="AP101" s="1" t="s">
        <v>8</v>
      </c>
      <c r="AQ101" s="1" t="s">
        <v>9</v>
      </c>
    </row>
    <row r="102" spans="1:43" outlineLevel="1" x14ac:dyDescent="0.2">
      <c r="A102" s="28" t="s">
        <v>1</v>
      </c>
      <c r="B102" s="42">
        <f>SUMIF(SUPPORTO_punti!U:U,A102,SUPPORTO_punti!V:V)+SUPPORTO_pareggi!S5</f>
        <v>39</v>
      </c>
      <c r="C102" s="43">
        <f t="shared" ref="C102:C111" si="36">LARGE($B$102:$B$111,D102)</f>
        <v>61</v>
      </c>
      <c r="D102" s="43">
        <v>1</v>
      </c>
      <c r="E102" s="42">
        <f>IF(SUM(B102:B111)=0,0,D102)</f>
        <v>1</v>
      </c>
      <c r="F102" s="42">
        <f t="shared" ref="F102:F111" si="37">VLOOKUP(B102,$C$102:$E$111,3,FALSE)</f>
        <v>0.63934426229508201</v>
      </c>
      <c r="G102" s="44">
        <f>G$100*F102</f>
        <v>2.557377049180328</v>
      </c>
      <c r="H102" s="35" t="str">
        <f>'MAIN REPORT'!$A$14</f>
        <v>1. Quality aspect 9</v>
      </c>
      <c r="I102" s="1" t="s">
        <v>1</v>
      </c>
      <c r="J102" s="2"/>
      <c r="K102" s="106" t="s">
        <v>88</v>
      </c>
      <c r="L102" s="106" t="s">
        <v>89</v>
      </c>
      <c r="M102" s="106" t="s">
        <v>90</v>
      </c>
      <c r="N102" s="106" t="s">
        <v>91</v>
      </c>
      <c r="O102" s="106" t="s">
        <v>92</v>
      </c>
      <c r="P102" s="106" t="s">
        <v>87</v>
      </c>
      <c r="Q102" s="106" t="s">
        <v>103</v>
      </c>
      <c r="R102" s="106" t="s">
        <v>96</v>
      </c>
      <c r="S102" s="132" t="s">
        <v>96</v>
      </c>
      <c r="U102" s="1" t="s">
        <v>1</v>
      </c>
      <c r="V102" s="2"/>
      <c r="W102" s="106">
        <v>1</v>
      </c>
      <c r="X102" s="106" t="s">
        <v>87</v>
      </c>
      <c r="Y102" s="106">
        <v>1</v>
      </c>
      <c r="Z102" s="106" t="s">
        <v>87</v>
      </c>
      <c r="AA102" s="106" t="s">
        <v>87</v>
      </c>
      <c r="AB102" s="106" t="s">
        <v>96</v>
      </c>
      <c r="AC102" s="106">
        <v>1</v>
      </c>
      <c r="AD102" s="106" t="s">
        <v>87</v>
      </c>
      <c r="AE102" s="132" t="s">
        <v>87</v>
      </c>
      <c r="AG102" s="1" t="s">
        <v>1</v>
      </c>
      <c r="AH102" s="2"/>
      <c r="AI102" s="106" t="s">
        <v>87</v>
      </c>
      <c r="AJ102" s="106">
        <v>1</v>
      </c>
      <c r="AK102" s="106" t="s">
        <v>90</v>
      </c>
      <c r="AL102" s="106">
        <v>1</v>
      </c>
      <c r="AM102" s="106" t="s">
        <v>87</v>
      </c>
      <c r="AN102" s="106" t="s">
        <v>105</v>
      </c>
      <c r="AO102" s="106">
        <v>1</v>
      </c>
      <c r="AP102" s="106" t="s">
        <v>96</v>
      </c>
      <c r="AQ102" s="132">
        <v>1</v>
      </c>
    </row>
    <row r="103" spans="1:43" outlineLevel="1" x14ac:dyDescent="0.2">
      <c r="A103" s="28" t="s">
        <v>2</v>
      </c>
      <c r="B103" s="42">
        <f>SUMIF(SUPPORTO_punti!U:U,A103,SUPPORTO_punti!V:V)+SUPPORTO_pareggi!S11</f>
        <v>35</v>
      </c>
      <c r="C103" s="43">
        <f t="shared" si="36"/>
        <v>56</v>
      </c>
      <c r="D103" s="43">
        <v>2</v>
      </c>
      <c r="E103" s="42">
        <f>(C103/$C$102)*$E$102</f>
        <v>0.91803278688524592</v>
      </c>
      <c r="F103" s="42">
        <f t="shared" si="37"/>
        <v>0.57377049180327866</v>
      </c>
      <c r="G103" s="44">
        <f t="shared" ref="G103:G111" si="38">G$100*F103</f>
        <v>2.2950819672131146</v>
      </c>
      <c r="H103" s="35" t="str">
        <f>'MAIN REPORT'!$A$14</f>
        <v>1. Quality aspect 9</v>
      </c>
      <c r="I103" s="1" t="s">
        <v>2</v>
      </c>
      <c r="J103" s="3"/>
      <c r="K103" s="4"/>
      <c r="L103" s="107" t="s">
        <v>88</v>
      </c>
      <c r="M103" s="107" t="s">
        <v>90</v>
      </c>
      <c r="N103" s="107" t="s">
        <v>88</v>
      </c>
      <c r="O103" s="107">
        <v>1</v>
      </c>
      <c r="P103" s="107" t="s">
        <v>97</v>
      </c>
      <c r="Q103" s="107" t="s">
        <v>94</v>
      </c>
      <c r="R103" s="107" t="s">
        <v>88</v>
      </c>
      <c r="S103" s="133" t="s">
        <v>88</v>
      </c>
      <c r="U103" s="1" t="s">
        <v>2</v>
      </c>
      <c r="V103" s="3"/>
      <c r="W103" s="4"/>
      <c r="X103" s="107" t="s">
        <v>88</v>
      </c>
      <c r="Y103" s="107" t="s">
        <v>90</v>
      </c>
      <c r="Z103" s="107" t="s">
        <v>88</v>
      </c>
      <c r="AA103" s="107" t="s">
        <v>88</v>
      </c>
      <c r="AB103" s="107" t="s">
        <v>106</v>
      </c>
      <c r="AC103" s="107" t="s">
        <v>94</v>
      </c>
      <c r="AD103" s="107" t="s">
        <v>88</v>
      </c>
      <c r="AE103" s="133" t="s">
        <v>88</v>
      </c>
      <c r="AG103" s="1" t="s">
        <v>2</v>
      </c>
      <c r="AH103" s="3"/>
      <c r="AI103" s="4"/>
      <c r="AJ103" s="107" t="s">
        <v>89</v>
      </c>
      <c r="AK103" s="107" t="s">
        <v>99</v>
      </c>
      <c r="AL103" s="107" t="s">
        <v>91</v>
      </c>
      <c r="AM103" s="107">
        <v>1</v>
      </c>
      <c r="AN103" s="107" t="s">
        <v>97</v>
      </c>
      <c r="AO103" s="107" t="s">
        <v>94</v>
      </c>
      <c r="AP103" s="107" t="s">
        <v>88</v>
      </c>
      <c r="AQ103" s="133" t="s">
        <v>132</v>
      </c>
    </row>
    <row r="104" spans="1:43" outlineLevel="1" x14ac:dyDescent="0.2">
      <c r="A104" s="28" t="s">
        <v>3</v>
      </c>
      <c r="B104" s="42">
        <f>SUMIF(SUPPORTO_punti!U:U,A104,SUPPORTO_punti!V:V)+SUPPORTO_pareggi!S17</f>
        <v>43</v>
      </c>
      <c r="C104" s="43">
        <f t="shared" si="36"/>
        <v>43</v>
      </c>
      <c r="D104" s="43">
        <v>3</v>
      </c>
      <c r="E104" s="42">
        <f t="shared" ref="E104:E111" si="39">(C104/$C$102)*$E$102</f>
        <v>0.70491803278688525</v>
      </c>
      <c r="F104" s="42">
        <f t="shared" si="37"/>
        <v>0.70491803278688525</v>
      </c>
      <c r="G104" s="44">
        <f t="shared" si="38"/>
        <v>2.819672131147541</v>
      </c>
      <c r="H104" s="35" t="str">
        <f>'MAIN REPORT'!$A$14</f>
        <v>1. Quality aspect 9</v>
      </c>
      <c r="I104" s="1" t="s">
        <v>3</v>
      </c>
      <c r="J104" s="3"/>
      <c r="K104" s="4"/>
      <c r="L104" s="4"/>
      <c r="M104" s="107" t="s">
        <v>90</v>
      </c>
      <c r="N104" s="107">
        <v>1</v>
      </c>
      <c r="O104" s="107" t="s">
        <v>92</v>
      </c>
      <c r="P104" s="107" t="s">
        <v>98</v>
      </c>
      <c r="Q104" s="107" t="s">
        <v>94</v>
      </c>
      <c r="R104" s="107" t="s">
        <v>107</v>
      </c>
      <c r="S104" s="133" t="s">
        <v>98</v>
      </c>
      <c r="U104" s="1" t="s">
        <v>3</v>
      </c>
      <c r="V104" s="3"/>
      <c r="W104" s="4"/>
      <c r="X104" s="4"/>
      <c r="Y104" s="107">
        <v>1</v>
      </c>
      <c r="Z104" s="107">
        <v>1</v>
      </c>
      <c r="AA104" s="107" t="s">
        <v>89</v>
      </c>
      <c r="AB104" s="107" t="s">
        <v>107</v>
      </c>
      <c r="AC104" s="107" t="s">
        <v>94</v>
      </c>
      <c r="AD104" s="107" t="s">
        <v>89</v>
      </c>
      <c r="AE104" s="133" t="s">
        <v>98</v>
      </c>
      <c r="AG104" s="1" t="s">
        <v>3</v>
      </c>
      <c r="AH104" s="3"/>
      <c r="AI104" s="4"/>
      <c r="AJ104" s="4"/>
      <c r="AK104" s="107" t="s">
        <v>89</v>
      </c>
      <c r="AL104" s="107">
        <v>1</v>
      </c>
      <c r="AM104" s="107" t="s">
        <v>89</v>
      </c>
      <c r="AN104" s="107" t="s">
        <v>107</v>
      </c>
      <c r="AO104" s="107">
        <v>1</v>
      </c>
      <c r="AP104" s="107" t="s">
        <v>98</v>
      </c>
      <c r="AQ104" s="133">
        <v>1</v>
      </c>
    </row>
    <row r="105" spans="1:43" outlineLevel="1" x14ac:dyDescent="0.2">
      <c r="A105" s="28" t="s">
        <v>0</v>
      </c>
      <c r="B105" s="42">
        <f>SUMIF(SUPPORTO_punti!U:U,A105,SUPPORTO_punti!V:V)+SUPPORTO_pareggi!S23</f>
        <v>61</v>
      </c>
      <c r="C105" s="43">
        <f t="shared" si="36"/>
        <v>42</v>
      </c>
      <c r="D105" s="43">
        <v>4</v>
      </c>
      <c r="E105" s="42">
        <f t="shared" si="39"/>
        <v>0.68852459016393441</v>
      </c>
      <c r="F105" s="42">
        <f t="shared" si="37"/>
        <v>1</v>
      </c>
      <c r="G105" s="44">
        <f t="shared" si="38"/>
        <v>4</v>
      </c>
      <c r="H105" s="35" t="str">
        <f>'MAIN REPORT'!$A$14</f>
        <v>1. Quality aspect 9</v>
      </c>
      <c r="I105" s="1" t="s">
        <v>0</v>
      </c>
      <c r="J105" s="3"/>
      <c r="K105" s="4"/>
      <c r="L105" s="4"/>
      <c r="M105" s="4"/>
      <c r="N105" s="107" t="s">
        <v>90</v>
      </c>
      <c r="O105" s="107">
        <v>1</v>
      </c>
      <c r="P105" s="107" t="s">
        <v>99</v>
      </c>
      <c r="Q105" s="107" t="s">
        <v>94</v>
      </c>
      <c r="R105" s="107" t="s">
        <v>108</v>
      </c>
      <c r="S105" s="133" t="s">
        <v>99</v>
      </c>
      <c r="U105" s="1" t="s">
        <v>0</v>
      </c>
      <c r="V105" s="3"/>
      <c r="W105" s="4"/>
      <c r="X105" s="4"/>
      <c r="Y105" s="4"/>
      <c r="Z105" s="107" t="s">
        <v>90</v>
      </c>
      <c r="AA105" s="107" t="s">
        <v>90</v>
      </c>
      <c r="AB105" s="107" t="s">
        <v>117</v>
      </c>
      <c r="AC105" s="107" t="s">
        <v>90</v>
      </c>
      <c r="AD105" s="107" t="s">
        <v>90</v>
      </c>
      <c r="AE105" s="133" t="s">
        <v>90</v>
      </c>
      <c r="AG105" s="1" t="s">
        <v>0</v>
      </c>
      <c r="AH105" s="3"/>
      <c r="AI105" s="4"/>
      <c r="AJ105" s="4"/>
      <c r="AK105" s="4"/>
      <c r="AL105" s="107" t="s">
        <v>90</v>
      </c>
      <c r="AM105" s="107" t="s">
        <v>99</v>
      </c>
      <c r="AN105" s="107" t="s">
        <v>117</v>
      </c>
      <c r="AO105" s="107" t="s">
        <v>90</v>
      </c>
      <c r="AP105" s="107" t="s">
        <v>108</v>
      </c>
      <c r="AQ105" s="133" t="s">
        <v>90</v>
      </c>
    </row>
    <row r="106" spans="1:43" outlineLevel="1" x14ac:dyDescent="0.2">
      <c r="A106" s="28" t="s">
        <v>4</v>
      </c>
      <c r="B106" s="42">
        <f>SUMIF(SUPPORTO_punti!U:U,A106,SUPPORTO_punti!V:V)+SUPPORTO_pareggi!S29</f>
        <v>42</v>
      </c>
      <c r="C106" s="43">
        <f t="shared" si="36"/>
        <v>39</v>
      </c>
      <c r="D106" s="43">
        <v>5</v>
      </c>
      <c r="E106" s="42">
        <f t="shared" si="39"/>
        <v>0.63934426229508201</v>
      </c>
      <c r="F106" s="42">
        <f t="shared" si="37"/>
        <v>0.68852459016393441</v>
      </c>
      <c r="G106" s="44">
        <f t="shared" si="38"/>
        <v>2.7540983606557377</v>
      </c>
      <c r="H106" s="35" t="str">
        <f>'MAIN REPORT'!$A$14</f>
        <v>1. Quality aspect 9</v>
      </c>
      <c r="I106" s="1" t="s">
        <v>4</v>
      </c>
      <c r="J106" s="3"/>
      <c r="K106" s="4"/>
      <c r="L106" s="4"/>
      <c r="M106" s="4"/>
      <c r="N106" s="4"/>
      <c r="O106" s="107" t="s">
        <v>92</v>
      </c>
      <c r="P106" s="107" t="s">
        <v>100</v>
      </c>
      <c r="Q106" s="107" t="s">
        <v>94</v>
      </c>
      <c r="R106" s="107" t="s">
        <v>100</v>
      </c>
      <c r="S106" s="133" t="s">
        <v>100</v>
      </c>
      <c r="U106" s="1" t="s">
        <v>4</v>
      </c>
      <c r="V106" s="3"/>
      <c r="W106" s="4"/>
      <c r="X106" s="4"/>
      <c r="Y106" s="4"/>
      <c r="Z106" s="4"/>
      <c r="AA106" s="107" t="s">
        <v>100</v>
      </c>
      <c r="AB106" s="107" t="s">
        <v>109</v>
      </c>
      <c r="AC106" s="107">
        <v>1</v>
      </c>
      <c r="AD106" s="107" t="s">
        <v>100</v>
      </c>
      <c r="AE106" s="133" t="s">
        <v>100</v>
      </c>
      <c r="AG106" s="1" t="s">
        <v>4</v>
      </c>
      <c r="AH106" s="3"/>
      <c r="AI106" s="4"/>
      <c r="AJ106" s="4"/>
      <c r="AK106" s="4"/>
      <c r="AL106" s="4"/>
      <c r="AM106" s="107" t="s">
        <v>91</v>
      </c>
      <c r="AN106" s="107" t="s">
        <v>109</v>
      </c>
      <c r="AO106" s="107">
        <v>1</v>
      </c>
      <c r="AP106" s="107" t="s">
        <v>100</v>
      </c>
      <c r="AQ106" s="133">
        <v>1</v>
      </c>
    </row>
    <row r="107" spans="1:43" outlineLevel="1" x14ac:dyDescent="0.2">
      <c r="A107" s="28" t="s">
        <v>5</v>
      </c>
      <c r="B107" s="42">
        <f>SUMIF(SUPPORTO_punti!U:U,A107,SUPPORTO_punti!V:V)+SUPPORTO_pareggi!S35</f>
        <v>31</v>
      </c>
      <c r="C107" s="43">
        <f t="shared" si="36"/>
        <v>35</v>
      </c>
      <c r="D107" s="43">
        <v>6</v>
      </c>
      <c r="E107" s="42">
        <f t="shared" si="39"/>
        <v>0.57377049180327866</v>
      </c>
      <c r="F107" s="42">
        <f t="shared" si="37"/>
        <v>0.50819672131147542</v>
      </c>
      <c r="G107" s="44">
        <f t="shared" si="38"/>
        <v>2.0327868852459017</v>
      </c>
      <c r="H107" s="35" t="str">
        <f>'MAIN REPORT'!$A$14</f>
        <v>1. Quality aspect 9</v>
      </c>
      <c r="I107" s="1" t="s">
        <v>5</v>
      </c>
      <c r="J107" s="3"/>
      <c r="K107" s="4"/>
      <c r="L107" s="4"/>
      <c r="M107" s="4"/>
      <c r="N107" s="4"/>
      <c r="O107" s="4"/>
      <c r="P107" s="107" t="s">
        <v>101</v>
      </c>
      <c r="Q107" s="107" t="s">
        <v>94</v>
      </c>
      <c r="R107" s="107" t="s">
        <v>110</v>
      </c>
      <c r="S107" s="133" t="s">
        <v>101</v>
      </c>
      <c r="U107" s="1" t="s">
        <v>5</v>
      </c>
      <c r="V107" s="3"/>
      <c r="W107" s="4"/>
      <c r="X107" s="4"/>
      <c r="Y107" s="4"/>
      <c r="Z107" s="4"/>
      <c r="AA107" s="4"/>
      <c r="AB107" s="107" t="s">
        <v>101</v>
      </c>
      <c r="AC107" s="107" t="s">
        <v>103</v>
      </c>
      <c r="AD107" s="107" t="s">
        <v>92</v>
      </c>
      <c r="AE107" s="133" t="s">
        <v>92</v>
      </c>
      <c r="AG107" s="1" t="s">
        <v>5</v>
      </c>
      <c r="AH107" s="3"/>
      <c r="AI107" s="4"/>
      <c r="AJ107" s="4"/>
      <c r="AK107" s="4"/>
      <c r="AL107" s="4"/>
      <c r="AM107" s="4"/>
      <c r="AN107" s="107" t="s">
        <v>101</v>
      </c>
      <c r="AO107" s="107" t="s">
        <v>94</v>
      </c>
      <c r="AP107" s="107" t="s">
        <v>92</v>
      </c>
      <c r="AQ107" s="133" t="s">
        <v>132</v>
      </c>
    </row>
    <row r="108" spans="1:43" outlineLevel="1" x14ac:dyDescent="0.2">
      <c r="A108" s="28" t="s">
        <v>6</v>
      </c>
      <c r="B108" s="42">
        <f>SUMIF(SUPPORTO_punti!U:U,A108,SUPPORTO_punti!V:V)+SUPPORTO_pareggi!S41</f>
        <v>3</v>
      </c>
      <c r="C108" s="43">
        <f t="shared" si="36"/>
        <v>31</v>
      </c>
      <c r="D108" s="43">
        <v>7</v>
      </c>
      <c r="E108" s="42">
        <f t="shared" si="39"/>
        <v>0.50819672131147542</v>
      </c>
      <c r="F108" s="42">
        <f t="shared" si="37"/>
        <v>4.9180327868852458E-2</v>
      </c>
      <c r="G108" s="44">
        <f t="shared" si="38"/>
        <v>0.19672131147540983</v>
      </c>
      <c r="H108" s="35" t="str">
        <f>'MAIN REPORT'!$A$14</f>
        <v>1. Quality aspect 9</v>
      </c>
      <c r="I108" s="1" t="s">
        <v>6</v>
      </c>
      <c r="J108" s="3"/>
      <c r="K108" s="4"/>
      <c r="L108" s="4"/>
      <c r="M108" s="4"/>
      <c r="N108" s="4"/>
      <c r="O108" s="4"/>
      <c r="P108" s="4"/>
      <c r="Q108" s="107" t="s">
        <v>112</v>
      </c>
      <c r="R108" s="107" t="s">
        <v>93</v>
      </c>
      <c r="S108" s="133">
        <v>1</v>
      </c>
      <c r="U108" s="1" t="s">
        <v>6</v>
      </c>
      <c r="V108" s="3"/>
      <c r="W108" s="4"/>
      <c r="X108" s="4"/>
      <c r="Y108" s="4"/>
      <c r="Z108" s="4"/>
      <c r="AA108" s="4"/>
      <c r="AB108" s="4"/>
      <c r="AC108" s="107" t="s">
        <v>112</v>
      </c>
      <c r="AD108" s="107" t="s">
        <v>113</v>
      </c>
      <c r="AE108" s="133" t="s">
        <v>134</v>
      </c>
      <c r="AG108" s="1" t="s">
        <v>6</v>
      </c>
      <c r="AH108" s="3"/>
      <c r="AI108" s="4"/>
      <c r="AJ108" s="4"/>
      <c r="AK108" s="4"/>
      <c r="AL108" s="4"/>
      <c r="AM108" s="4"/>
      <c r="AN108" s="4"/>
      <c r="AO108" s="107" t="s">
        <v>112</v>
      </c>
      <c r="AP108" s="107" t="s">
        <v>95</v>
      </c>
      <c r="AQ108" s="133" t="s">
        <v>134</v>
      </c>
    </row>
    <row r="109" spans="1:43" outlineLevel="1" x14ac:dyDescent="0.2">
      <c r="A109" s="28" t="s">
        <v>7</v>
      </c>
      <c r="B109" s="42">
        <f>SUMIF(SUPPORTO_punti!U:U,A109,SUPPORTO_punti!V:V)+SUPPORTO_pareggi!S47</f>
        <v>56</v>
      </c>
      <c r="C109" s="43">
        <f t="shared" si="36"/>
        <v>23</v>
      </c>
      <c r="D109" s="43">
        <v>8</v>
      </c>
      <c r="E109" s="42">
        <f t="shared" si="39"/>
        <v>0.37704918032786883</v>
      </c>
      <c r="F109" s="42">
        <f t="shared" si="37"/>
        <v>0.91803278688524592</v>
      </c>
      <c r="G109" s="44">
        <f t="shared" si="38"/>
        <v>3.6721311475409837</v>
      </c>
      <c r="H109" s="35" t="str">
        <f>'MAIN REPORT'!$A$14</f>
        <v>1. Quality aspect 9</v>
      </c>
      <c r="I109" s="1" t="s">
        <v>7</v>
      </c>
      <c r="J109" s="3"/>
      <c r="K109" s="4"/>
      <c r="L109" s="4"/>
      <c r="M109" s="4"/>
      <c r="N109" s="4"/>
      <c r="O109" s="4"/>
      <c r="P109" s="4"/>
      <c r="Q109" s="4"/>
      <c r="R109" s="107" t="s">
        <v>112</v>
      </c>
      <c r="S109" s="133" t="s">
        <v>103</v>
      </c>
      <c r="U109" s="1" t="s">
        <v>7</v>
      </c>
      <c r="V109" s="3"/>
      <c r="W109" s="4"/>
      <c r="X109" s="4"/>
      <c r="Y109" s="4"/>
      <c r="Z109" s="4"/>
      <c r="AA109" s="4"/>
      <c r="AB109" s="4"/>
      <c r="AC109" s="4"/>
      <c r="AD109" s="107" t="s">
        <v>94</v>
      </c>
      <c r="AE109" s="133" t="s">
        <v>94</v>
      </c>
      <c r="AG109" s="1" t="s">
        <v>7</v>
      </c>
      <c r="AH109" s="3"/>
      <c r="AI109" s="4"/>
      <c r="AJ109" s="4"/>
      <c r="AK109" s="4"/>
      <c r="AL109" s="4"/>
      <c r="AM109" s="4"/>
      <c r="AN109" s="4"/>
      <c r="AO109" s="4"/>
      <c r="AP109" s="107" t="s">
        <v>103</v>
      </c>
      <c r="AQ109" s="133">
        <v>1</v>
      </c>
    </row>
    <row r="110" spans="1:43" outlineLevel="1" x14ac:dyDescent="0.2">
      <c r="A110" s="28" t="s">
        <v>8</v>
      </c>
      <c r="B110" s="42">
        <f>SUMIF(SUPPORTO_punti!U:U,A110,SUPPORTO_punti!V:V)+SUPPORTO_pareggi!S53</f>
        <v>7</v>
      </c>
      <c r="C110" s="43">
        <f t="shared" si="36"/>
        <v>7</v>
      </c>
      <c r="D110" s="43">
        <v>9</v>
      </c>
      <c r="E110" s="42">
        <f t="shared" si="39"/>
        <v>0.11475409836065574</v>
      </c>
      <c r="F110" s="42">
        <f t="shared" si="37"/>
        <v>0.11475409836065574</v>
      </c>
      <c r="G110" s="44">
        <f t="shared" si="38"/>
        <v>0.45901639344262296</v>
      </c>
      <c r="H110" s="35" t="str">
        <f>'MAIN REPORT'!$A$14</f>
        <v>1. Quality aspect 9</v>
      </c>
      <c r="I110" s="1" t="s">
        <v>8</v>
      </c>
      <c r="J110" s="3"/>
      <c r="K110" s="4"/>
      <c r="L110" s="4"/>
      <c r="M110" s="4"/>
      <c r="N110" s="4"/>
      <c r="O110" s="4"/>
      <c r="P110" s="4"/>
      <c r="Q110" s="4"/>
      <c r="R110" s="4"/>
      <c r="S110" s="133" t="s">
        <v>132</v>
      </c>
      <c r="U110" s="1" t="s">
        <v>8</v>
      </c>
      <c r="V110" s="3"/>
      <c r="W110" s="4"/>
      <c r="X110" s="4"/>
      <c r="Y110" s="4"/>
      <c r="Z110" s="4"/>
      <c r="AA110" s="4"/>
      <c r="AB110" s="4"/>
      <c r="AC110" s="4"/>
      <c r="AD110" s="4"/>
      <c r="AE110" s="133">
        <v>1</v>
      </c>
      <c r="AG110" s="1" t="s">
        <v>8</v>
      </c>
      <c r="AH110" s="3"/>
      <c r="AI110" s="4"/>
      <c r="AJ110" s="4"/>
      <c r="AK110" s="4"/>
      <c r="AL110" s="4"/>
      <c r="AM110" s="4"/>
      <c r="AN110" s="4"/>
      <c r="AO110" s="4"/>
      <c r="AP110" s="4"/>
      <c r="AQ110" s="133" t="s">
        <v>133</v>
      </c>
    </row>
    <row r="111" spans="1:43" outlineLevel="1" x14ac:dyDescent="0.2">
      <c r="A111" s="29" t="s">
        <v>9</v>
      </c>
      <c r="B111" s="42">
        <f>SUMIF(SUPPORTO_punti!U:U,A111,SUPPORTO_punti!V:V)+SUPPORTO_pareggi!S59</f>
        <v>23</v>
      </c>
      <c r="C111" s="43">
        <f t="shared" si="36"/>
        <v>3</v>
      </c>
      <c r="D111" s="43">
        <v>10</v>
      </c>
      <c r="E111" s="42">
        <f t="shared" si="39"/>
        <v>4.9180327868852458E-2</v>
      </c>
      <c r="F111" s="42">
        <f t="shared" si="37"/>
        <v>0.37704918032786883</v>
      </c>
      <c r="G111" s="44">
        <f t="shared" si="38"/>
        <v>1.5081967213114753</v>
      </c>
      <c r="H111" s="35" t="str">
        <f>'MAIN REPORT'!$A$14</f>
        <v>1. Quality aspect 9</v>
      </c>
      <c r="I111" s="1" t="s">
        <v>9</v>
      </c>
      <c r="J111" s="3"/>
      <c r="K111" s="4"/>
      <c r="L111" s="4"/>
      <c r="M111" s="4"/>
      <c r="N111" s="4"/>
      <c r="O111" s="4"/>
      <c r="P111" s="4"/>
      <c r="Q111" s="4"/>
      <c r="R111" s="4"/>
      <c r="S111" s="4"/>
      <c r="U111" s="1" t="s">
        <v>9</v>
      </c>
      <c r="V111" s="3"/>
      <c r="W111" s="4"/>
      <c r="X111" s="4"/>
      <c r="Y111" s="4"/>
      <c r="Z111" s="4"/>
      <c r="AA111" s="4"/>
      <c r="AB111" s="4"/>
      <c r="AC111" s="4"/>
      <c r="AD111" s="4"/>
      <c r="AE111" s="4"/>
      <c r="AG111" s="1" t="s">
        <v>9</v>
      </c>
      <c r="AH111" s="3"/>
      <c r="AI111" s="4"/>
      <c r="AJ111" s="4"/>
      <c r="AK111" s="4"/>
      <c r="AL111" s="4"/>
      <c r="AM111" s="4"/>
      <c r="AN111" s="4"/>
      <c r="AO111" s="4"/>
      <c r="AP111" s="4"/>
      <c r="AQ111" s="4"/>
    </row>
    <row r="112" spans="1:43" x14ac:dyDescent="0.2">
      <c r="A112" s="24" t="str">
        <f>'MAIN REPORT'!A15</f>
        <v>1. Quality aspect 10</v>
      </c>
      <c r="B112" s="5"/>
      <c r="C112" s="5"/>
      <c r="D112" s="5"/>
      <c r="E112" s="5"/>
      <c r="F112" s="22"/>
      <c r="G112" s="23">
        <f>'MAIN REPORT'!B15</f>
        <v>4</v>
      </c>
      <c r="I112" s="24" t="str">
        <f>A112</f>
        <v>1. Quality aspect 10</v>
      </c>
      <c r="J112" s="5"/>
      <c r="K112" s="5"/>
      <c r="L112" s="5"/>
      <c r="M112" s="5"/>
      <c r="N112" s="5"/>
      <c r="O112" s="5"/>
      <c r="P112" s="5"/>
      <c r="Q112" s="5"/>
      <c r="R112" s="5"/>
      <c r="S112" s="5"/>
      <c r="U112" s="24" t="str">
        <f>A112</f>
        <v>1. Quality aspect 10</v>
      </c>
      <c r="V112" s="5"/>
      <c r="W112" s="5"/>
      <c r="X112" s="5"/>
      <c r="Y112" s="5"/>
      <c r="Z112" s="5"/>
      <c r="AA112" s="5"/>
      <c r="AB112" s="5"/>
      <c r="AC112" s="5"/>
      <c r="AD112" s="5"/>
      <c r="AE112" s="5"/>
      <c r="AG112" s="24" t="str">
        <f>A112</f>
        <v>1. Quality aspect 10</v>
      </c>
      <c r="AH112" s="5"/>
      <c r="AI112" s="5"/>
      <c r="AJ112" s="5"/>
      <c r="AK112" s="5"/>
      <c r="AL112" s="5"/>
      <c r="AM112" s="5"/>
      <c r="AN112" s="5"/>
      <c r="AO112" s="5"/>
      <c r="AP112" s="5"/>
      <c r="AQ112" s="5"/>
    </row>
    <row r="113" spans="1:43" ht="16" outlineLevel="1" thickBot="1" x14ac:dyDescent="0.25">
      <c r="A113" s="39" t="s">
        <v>139</v>
      </c>
      <c r="B113" s="40" t="s">
        <v>138</v>
      </c>
      <c r="C113" s="40"/>
      <c r="D113" s="40"/>
      <c r="E113" s="40"/>
      <c r="F113" s="40" t="s">
        <v>218</v>
      </c>
      <c r="G113" s="41" t="s">
        <v>217</v>
      </c>
      <c r="I113" s="38"/>
      <c r="J113" s="1" t="s">
        <v>1</v>
      </c>
      <c r="K113" s="1" t="s">
        <v>2</v>
      </c>
      <c r="L113" s="1" t="s">
        <v>3</v>
      </c>
      <c r="M113" s="1" t="s">
        <v>0</v>
      </c>
      <c r="N113" s="1" t="s">
        <v>4</v>
      </c>
      <c r="O113" s="1" t="s">
        <v>5</v>
      </c>
      <c r="P113" s="1" t="s">
        <v>6</v>
      </c>
      <c r="Q113" s="1" t="s">
        <v>7</v>
      </c>
      <c r="R113" s="1" t="s">
        <v>8</v>
      </c>
      <c r="S113" s="1" t="s">
        <v>9</v>
      </c>
      <c r="U113" s="38"/>
      <c r="V113" s="1" t="s">
        <v>1</v>
      </c>
      <c r="W113" s="1" t="s">
        <v>2</v>
      </c>
      <c r="X113" s="1" t="s">
        <v>3</v>
      </c>
      <c r="Y113" s="1" t="s">
        <v>0</v>
      </c>
      <c r="Z113" s="1" t="s">
        <v>4</v>
      </c>
      <c r="AA113" s="1" t="s">
        <v>5</v>
      </c>
      <c r="AB113" s="1" t="s">
        <v>6</v>
      </c>
      <c r="AC113" s="1" t="s">
        <v>7</v>
      </c>
      <c r="AD113" s="1" t="s">
        <v>8</v>
      </c>
      <c r="AE113" s="1" t="s">
        <v>9</v>
      </c>
      <c r="AG113" s="38"/>
      <c r="AH113" s="1" t="s">
        <v>1</v>
      </c>
      <c r="AI113" s="1" t="s">
        <v>2</v>
      </c>
      <c r="AJ113" s="1" t="s">
        <v>3</v>
      </c>
      <c r="AK113" s="1" t="s">
        <v>0</v>
      </c>
      <c r="AL113" s="1" t="s">
        <v>4</v>
      </c>
      <c r="AM113" s="1" t="s">
        <v>5</v>
      </c>
      <c r="AN113" s="1" t="s">
        <v>6</v>
      </c>
      <c r="AO113" s="1" t="s">
        <v>7</v>
      </c>
      <c r="AP113" s="1" t="s">
        <v>8</v>
      </c>
      <c r="AQ113" s="1" t="s">
        <v>9</v>
      </c>
    </row>
    <row r="114" spans="1:43" outlineLevel="1" x14ac:dyDescent="0.2">
      <c r="A114" s="28" t="s">
        <v>1</v>
      </c>
      <c r="B114" s="42">
        <f>SUMIF(SUPPORTO_punti!W:W,A114,SUPPORTO_punti!X:X)+SUPPORTO_pareggi!U5</f>
        <v>40</v>
      </c>
      <c r="C114" s="43">
        <f t="shared" ref="C114:C123" si="40">LARGE($B$114:$B$123,D114)</f>
        <v>57</v>
      </c>
      <c r="D114" s="43">
        <v>1</v>
      </c>
      <c r="E114" s="42">
        <f>IF(SUM(B114:B123)=0,0,D114)</f>
        <v>1</v>
      </c>
      <c r="F114" s="42">
        <f t="shared" ref="F114:F123" si="41">VLOOKUP(B114,$C$114:$E$123,3,FALSE)</f>
        <v>0.70175438596491224</v>
      </c>
      <c r="G114" s="44">
        <f>G$112*F114</f>
        <v>2.807017543859649</v>
      </c>
      <c r="H114" s="35" t="str">
        <f>'MAIN REPORT'!$A$15</f>
        <v>1. Quality aspect 10</v>
      </c>
      <c r="I114" s="1" t="s">
        <v>1</v>
      </c>
      <c r="J114" s="2"/>
      <c r="K114" s="106">
        <v>1</v>
      </c>
      <c r="L114" s="106" t="s">
        <v>96</v>
      </c>
      <c r="M114" s="106">
        <v>1</v>
      </c>
      <c r="N114" s="106">
        <v>1</v>
      </c>
      <c r="O114" s="106" t="s">
        <v>87</v>
      </c>
      <c r="P114" s="106" t="s">
        <v>96</v>
      </c>
      <c r="Q114" s="106" t="s">
        <v>94</v>
      </c>
      <c r="R114" s="106">
        <v>1</v>
      </c>
      <c r="S114" s="132" t="s">
        <v>105</v>
      </c>
      <c r="U114" s="1" t="s">
        <v>1</v>
      </c>
      <c r="V114" s="2"/>
      <c r="W114" s="106" t="s">
        <v>87</v>
      </c>
      <c r="X114" s="106" t="s">
        <v>87</v>
      </c>
      <c r="Y114" s="106" t="s">
        <v>87</v>
      </c>
      <c r="Z114" s="106">
        <v>1</v>
      </c>
      <c r="AA114" s="106">
        <v>1</v>
      </c>
      <c r="AB114" s="106" t="s">
        <v>96</v>
      </c>
      <c r="AC114" s="106">
        <v>1</v>
      </c>
      <c r="AD114" s="106">
        <v>1</v>
      </c>
      <c r="AE114" s="132" t="s">
        <v>96</v>
      </c>
      <c r="AG114" s="1" t="s">
        <v>1</v>
      </c>
      <c r="AH114" s="2"/>
      <c r="AI114" s="106">
        <v>1</v>
      </c>
      <c r="AJ114" s="106" t="s">
        <v>87</v>
      </c>
      <c r="AK114" s="106" t="s">
        <v>90</v>
      </c>
      <c r="AL114" s="106" t="s">
        <v>87</v>
      </c>
      <c r="AM114" s="106">
        <v>1</v>
      </c>
      <c r="AN114" s="106">
        <v>1</v>
      </c>
      <c r="AO114" s="106" t="s">
        <v>94</v>
      </c>
      <c r="AP114" s="106" t="s">
        <v>95</v>
      </c>
      <c r="AQ114" s="132">
        <v>1</v>
      </c>
    </row>
    <row r="115" spans="1:43" outlineLevel="1" x14ac:dyDescent="0.2">
      <c r="A115" s="28" t="s">
        <v>2</v>
      </c>
      <c r="B115" s="42">
        <f>SUMIF(SUPPORTO_punti!W:W,A115,SUPPORTO_punti!X:X)+SUPPORTO_pareggi!U11</f>
        <v>32</v>
      </c>
      <c r="C115" s="43">
        <f t="shared" si="40"/>
        <v>48</v>
      </c>
      <c r="D115" s="43">
        <v>2</v>
      </c>
      <c r="E115" s="42">
        <f>(C115/$C$114)*$E$114</f>
        <v>0.84210526315789469</v>
      </c>
      <c r="F115" s="42">
        <f t="shared" si="41"/>
        <v>0.56140350877192979</v>
      </c>
      <c r="G115" s="44">
        <f t="shared" ref="G115:G123" si="42">G$112*F115</f>
        <v>2.2456140350877192</v>
      </c>
      <c r="H115" s="35" t="str">
        <f>'MAIN REPORT'!$A$15</f>
        <v>1. Quality aspect 10</v>
      </c>
      <c r="I115" s="1" t="s">
        <v>2</v>
      </c>
      <c r="J115" s="3"/>
      <c r="K115" s="4"/>
      <c r="L115" s="107" t="s">
        <v>97</v>
      </c>
      <c r="M115" s="107">
        <v>1</v>
      </c>
      <c r="N115" s="107">
        <v>1</v>
      </c>
      <c r="O115" s="107" t="s">
        <v>88</v>
      </c>
      <c r="P115" s="107" t="s">
        <v>97</v>
      </c>
      <c r="Q115" s="107" t="s">
        <v>94</v>
      </c>
      <c r="R115" s="107">
        <v>1</v>
      </c>
      <c r="S115" s="133" t="s">
        <v>97</v>
      </c>
      <c r="U115" s="1" t="s">
        <v>2</v>
      </c>
      <c r="V115" s="3"/>
      <c r="W115" s="4"/>
      <c r="X115" s="107" t="s">
        <v>88</v>
      </c>
      <c r="Y115" s="107" t="s">
        <v>90</v>
      </c>
      <c r="Z115" s="107" t="s">
        <v>91</v>
      </c>
      <c r="AA115" s="107" t="s">
        <v>88</v>
      </c>
      <c r="AB115" s="107" t="s">
        <v>106</v>
      </c>
      <c r="AC115" s="107" t="s">
        <v>94</v>
      </c>
      <c r="AD115" s="107" t="s">
        <v>95</v>
      </c>
      <c r="AE115" s="133">
        <v>1</v>
      </c>
      <c r="AG115" s="1" t="s">
        <v>2</v>
      </c>
      <c r="AH115" s="3"/>
      <c r="AI115" s="4"/>
      <c r="AJ115" s="107" t="s">
        <v>88</v>
      </c>
      <c r="AK115" s="107" t="s">
        <v>90</v>
      </c>
      <c r="AL115" s="107" t="s">
        <v>88</v>
      </c>
      <c r="AM115" s="107">
        <v>1</v>
      </c>
      <c r="AN115" s="107">
        <v>1</v>
      </c>
      <c r="AO115" s="107" t="s">
        <v>94</v>
      </c>
      <c r="AP115" s="107" t="s">
        <v>95</v>
      </c>
      <c r="AQ115" s="133">
        <v>1</v>
      </c>
    </row>
    <row r="116" spans="1:43" outlineLevel="1" x14ac:dyDescent="0.2">
      <c r="A116" s="28" t="s">
        <v>3</v>
      </c>
      <c r="B116" s="42">
        <f>SUMIF(SUPPORTO_punti!W:W,A116,SUPPORTO_punti!X:X)+SUPPORTO_pareggi!U17</f>
        <v>6</v>
      </c>
      <c r="C116" s="43">
        <f t="shared" si="40"/>
        <v>40</v>
      </c>
      <c r="D116" s="43">
        <v>3</v>
      </c>
      <c r="E116" s="42">
        <f t="shared" ref="E116:E123" si="43">(C116/$C$114)*$E$114</f>
        <v>0.70175438596491224</v>
      </c>
      <c r="F116" s="42">
        <f t="shared" si="41"/>
        <v>0.10526315789473684</v>
      </c>
      <c r="G116" s="44">
        <f t="shared" si="42"/>
        <v>0.42105263157894735</v>
      </c>
      <c r="H116" s="35" t="str">
        <f>'MAIN REPORT'!$A$15</f>
        <v>1. Quality aspect 10</v>
      </c>
      <c r="I116" s="1" t="s">
        <v>3</v>
      </c>
      <c r="J116" s="3"/>
      <c r="K116" s="4"/>
      <c r="L116" s="4"/>
      <c r="M116" s="107" t="s">
        <v>99</v>
      </c>
      <c r="N116" s="107" t="s">
        <v>91</v>
      </c>
      <c r="O116" s="107" t="s">
        <v>101</v>
      </c>
      <c r="P116" s="107" t="s">
        <v>93</v>
      </c>
      <c r="Q116" s="107" t="s">
        <v>103</v>
      </c>
      <c r="R116" s="107" t="s">
        <v>95</v>
      </c>
      <c r="S116" s="133" t="s">
        <v>89</v>
      </c>
      <c r="U116" s="1" t="s">
        <v>3</v>
      </c>
      <c r="V116" s="3"/>
      <c r="W116" s="4"/>
      <c r="X116" s="4"/>
      <c r="Y116" s="107">
        <v>1</v>
      </c>
      <c r="Z116" s="107" t="s">
        <v>91</v>
      </c>
      <c r="AA116" s="107">
        <v>1</v>
      </c>
      <c r="AB116" s="107">
        <v>1</v>
      </c>
      <c r="AC116" s="107" t="s">
        <v>94</v>
      </c>
      <c r="AD116" s="107" t="s">
        <v>95</v>
      </c>
      <c r="AE116" s="133" t="s">
        <v>132</v>
      </c>
      <c r="AG116" s="1" t="s">
        <v>3</v>
      </c>
      <c r="AH116" s="3"/>
      <c r="AI116" s="4"/>
      <c r="AJ116" s="4"/>
      <c r="AK116" s="107" t="s">
        <v>99</v>
      </c>
      <c r="AL116" s="107">
        <v>1</v>
      </c>
      <c r="AM116" s="107" t="s">
        <v>92</v>
      </c>
      <c r="AN116" s="107" t="s">
        <v>93</v>
      </c>
      <c r="AO116" s="107" t="s">
        <v>103</v>
      </c>
      <c r="AP116" s="107" t="s">
        <v>104</v>
      </c>
      <c r="AQ116" s="133" t="s">
        <v>132</v>
      </c>
    </row>
    <row r="117" spans="1:43" outlineLevel="1" x14ac:dyDescent="0.2">
      <c r="A117" s="28" t="s">
        <v>0</v>
      </c>
      <c r="B117" s="42">
        <f>SUMIF(SUPPORTO_punti!W:W,A117,SUPPORTO_punti!X:X)+SUPPORTO_pareggi!U23</f>
        <v>40</v>
      </c>
      <c r="C117" s="43">
        <f t="shared" si="40"/>
        <v>40</v>
      </c>
      <c r="D117" s="43">
        <v>4</v>
      </c>
      <c r="E117" s="42">
        <f t="shared" si="43"/>
        <v>0.70175438596491224</v>
      </c>
      <c r="F117" s="42">
        <f t="shared" si="41"/>
        <v>0.70175438596491224</v>
      </c>
      <c r="G117" s="44">
        <f t="shared" si="42"/>
        <v>2.807017543859649</v>
      </c>
      <c r="H117" s="35" t="str">
        <f>'MAIN REPORT'!$A$15</f>
        <v>1. Quality aspect 10</v>
      </c>
      <c r="I117" s="1" t="s">
        <v>0</v>
      </c>
      <c r="J117" s="3"/>
      <c r="K117" s="4"/>
      <c r="L117" s="4"/>
      <c r="M117" s="4"/>
      <c r="N117" s="107">
        <v>1</v>
      </c>
      <c r="O117" s="107" t="s">
        <v>90</v>
      </c>
      <c r="P117" s="107" t="s">
        <v>90</v>
      </c>
      <c r="Q117" s="107" t="s">
        <v>94</v>
      </c>
      <c r="R117" s="107">
        <v>1</v>
      </c>
      <c r="S117" s="133" t="s">
        <v>99</v>
      </c>
      <c r="U117" s="1" t="s">
        <v>0</v>
      </c>
      <c r="V117" s="3"/>
      <c r="W117" s="4"/>
      <c r="X117" s="4"/>
      <c r="Y117" s="4"/>
      <c r="Z117" s="107">
        <v>1</v>
      </c>
      <c r="AA117" s="107">
        <v>1</v>
      </c>
      <c r="AB117" s="107" t="s">
        <v>90</v>
      </c>
      <c r="AC117" s="107" t="s">
        <v>94</v>
      </c>
      <c r="AD117" s="107" t="s">
        <v>95</v>
      </c>
      <c r="AE117" s="133">
        <v>1</v>
      </c>
      <c r="AG117" s="1" t="s">
        <v>0</v>
      </c>
      <c r="AH117" s="3"/>
      <c r="AI117" s="4"/>
      <c r="AJ117" s="4"/>
      <c r="AK117" s="4"/>
      <c r="AL117" s="107" t="s">
        <v>99</v>
      </c>
      <c r="AM117" s="107" t="s">
        <v>90</v>
      </c>
      <c r="AN117" s="107" t="s">
        <v>90</v>
      </c>
      <c r="AO117" s="107">
        <v>1</v>
      </c>
      <c r="AP117" s="107">
        <v>1</v>
      </c>
      <c r="AQ117" s="133" t="s">
        <v>90</v>
      </c>
    </row>
    <row r="118" spans="1:43" outlineLevel="1" x14ac:dyDescent="0.2">
      <c r="A118" s="28" t="s">
        <v>4</v>
      </c>
      <c r="B118" s="42">
        <f>SUMIF(SUPPORTO_punti!W:W,A118,SUPPORTO_punti!X:X)+SUPPORTO_pareggi!U29</f>
        <v>23</v>
      </c>
      <c r="C118" s="43">
        <f t="shared" si="40"/>
        <v>32</v>
      </c>
      <c r="D118" s="43">
        <v>5</v>
      </c>
      <c r="E118" s="42">
        <f t="shared" si="43"/>
        <v>0.56140350877192979</v>
      </c>
      <c r="F118" s="42">
        <f t="shared" si="41"/>
        <v>0.40350877192982454</v>
      </c>
      <c r="G118" s="44">
        <f t="shared" si="42"/>
        <v>1.6140350877192982</v>
      </c>
      <c r="H118" s="35" t="str">
        <f>'MAIN REPORT'!$A$15</f>
        <v>1. Quality aspect 10</v>
      </c>
      <c r="I118" s="1" t="s">
        <v>4</v>
      </c>
      <c r="J118" s="3"/>
      <c r="K118" s="4"/>
      <c r="L118" s="4"/>
      <c r="M118" s="4"/>
      <c r="N118" s="4"/>
      <c r="O118" s="107" t="s">
        <v>91</v>
      </c>
      <c r="P118" s="107" t="s">
        <v>91</v>
      </c>
      <c r="Q118" s="107" t="s">
        <v>94</v>
      </c>
      <c r="R118" s="107">
        <v>1</v>
      </c>
      <c r="S118" s="133" t="s">
        <v>100</v>
      </c>
      <c r="U118" s="1" t="s">
        <v>4</v>
      </c>
      <c r="V118" s="3"/>
      <c r="W118" s="4"/>
      <c r="X118" s="4"/>
      <c r="Y118" s="4"/>
      <c r="Z118" s="4"/>
      <c r="AA118" s="107">
        <v>1</v>
      </c>
      <c r="AB118" s="107">
        <v>1</v>
      </c>
      <c r="AC118" s="107" t="s">
        <v>94</v>
      </c>
      <c r="AD118" s="107" t="s">
        <v>95</v>
      </c>
      <c r="AE118" s="133">
        <v>1</v>
      </c>
      <c r="AG118" s="1" t="s">
        <v>4</v>
      </c>
      <c r="AH118" s="3"/>
      <c r="AI118" s="4"/>
      <c r="AJ118" s="4"/>
      <c r="AK118" s="4"/>
      <c r="AL118" s="4"/>
      <c r="AM118" s="107" t="s">
        <v>92</v>
      </c>
      <c r="AN118" s="107" t="s">
        <v>93</v>
      </c>
      <c r="AO118" s="107" t="s">
        <v>103</v>
      </c>
      <c r="AP118" s="107" t="s">
        <v>104</v>
      </c>
      <c r="AQ118" s="133" t="s">
        <v>132</v>
      </c>
    </row>
    <row r="119" spans="1:43" outlineLevel="1" x14ac:dyDescent="0.2">
      <c r="A119" s="28" t="s">
        <v>5</v>
      </c>
      <c r="B119" s="42">
        <f>SUMIF(SUPPORTO_punti!W:W,A119,SUPPORTO_punti!X:X)+SUPPORTO_pareggi!U35</f>
        <v>23</v>
      </c>
      <c r="C119" s="43">
        <f t="shared" si="40"/>
        <v>23</v>
      </c>
      <c r="D119" s="43">
        <v>6</v>
      </c>
      <c r="E119" s="42">
        <f t="shared" si="43"/>
        <v>0.40350877192982454</v>
      </c>
      <c r="F119" s="42">
        <f t="shared" si="41"/>
        <v>0.40350877192982454</v>
      </c>
      <c r="G119" s="44">
        <f t="shared" si="42"/>
        <v>1.6140350877192982</v>
      </c>
      <c r="H119" s="35" t="str">
        <f>'MAIN REPORT'!$A$15</f>
        <v>1. Quality aspect 10</v>
      </c>
      <c r="I119" s="1" t="s">
        <v>5</v>
      </c>
      <c r="J119" s="3"/>
      <c r="K119" s="4"/>
      <c r="L119" s="4"/>
      <c r="M119" s="4"/>
      <c r="N119" s="4"/>
      <c r="O119" s="4"/>
      <c r="P119" s="107" t="s">
        <v>92</v>
      </c>
      <c r="Q119" s="107" t="s">
        <v>94</v>
      </c>
      <c r="R119" s="107" t="s">
        <v>95</v>
      </c>
      <c r="S119" s="133" t="s">
        <v>101</v>
      </c>
      <c r="U119" s="1" t="s">
        <v>5</v>
      </c>
      <c r="V119" s="3"/>
      <c r="W119" s="4"/>
      <c r="X119" s="4"/>
      <c r="Y119" s="4"/>
      <c r="Z119" s="4"/>
      <c r="AA119" s="4"/>
      <c r="AB119" s="107" t="s">
        <v>92</v>
      </c>
      <c r="AC119" s="107" t="s">
        <v>94</v>
      </c>
      <c r="AD119" s="107" t="s">
        <v>95</v>
      </c>
      <c r="AE119" s="133">
        <v>1</v>
      </c>
      <c r="AG119" s="1" t="s">
        <v>5</v>
      </c>
      <c r="AH119" s="3"/>
      <c r="AI119" s="4"/>
      <c r="AJ119" s="4"/>
      <c r="AK119" s="4"/>
      <c r="AL119" s="4"/>
      <c r="AM119" s="4"/>
      <c r="AN119" s="107">
        <v>1</v>
      </c>
      <c r="AO119" s="107" t="s">
        <v>94</v>
      </c>
      <c r="AP119" s="107" t="s">
        <v>95</v>
      </c>
      <c r="AQ119" s="133">
        <v>1</v>
      </c>
    </row>
    <row r="120" spans="1:43" outlineLevel="1" x14ac:dyDescent="0.2">
      <c r="A120" s="28" t="s">
        <v>6</v>
      </c>
      <c r="B120" s="42">
        <f>SUMIF(SUPPORTO_punti!W:W,A120,SUPPORTO_punti!X:X)+SUPPORTO_pareggi!U41</f>
        <v>14</v>
      </c>
      <c r="C120" s="43">
        <f t="shared" si="40"/>
        <v>23</v>
      </c>
      <c r="D120" s="43">
        <v>7</v>
      </c>
      <c r="E120" s="42">
        <f t="shared" si="43"/>
        <v>0.40350877192982454</v>
      </c>
      <c r="F120" s="42">
        <f t="shared" si="41"/>
        <v>0.24561403508771928</v>
      </c>
      <c r="G120" s="44">
        <f t="shared" si="42"/>
        <v>0.98245614035087714</v>
      </c>
      <c r="H120" s="35" t="str">
        <f>'MAIN REPORT'!$A$15</f>
        <v>1. Quality aspect 10</v>
      </c>
      <c r="I120" s="1" t="s">
        <v>6</v>
      </c>
      <c r="J120" s="3"/>
      <c r="K120" s="4"/>
      <c r="L120" s="4"/>
      <c r="M120" s="4"/>
      <c r="N120" s="4"/>
      <c r="O120" s="4"/>
      <c r="P120" s="4"/>
      <c r="Q120" s="107" t="s">
        <v>103</v>
      </c>
      <c r="R120" s="107" t="s">
        <v>95</v>
      </c>
      <c r="S120" s="133" t="s">
        <v>93</v>
      </c>
      <c r="U120" s="1" t="s">
        <v>6</v>
      </c>
      <c r="V120" s="3"/>
      <c r="W120" s="4"/>
      <c r="X120" s="4"/>
      <c r="Y120" s="4"/>
      <c r="Z120" s="4"/>
      <c r="AA120" s="4"/>
      <c r="AB120" s="4"/>
      <c r="AC120" s="107" t="s">
        <v>103</v>
      </c>
      <c r="AD120" s="107" t="s">
        <v>104</v>
      </c>
      <c r="AE120" s="133" t="s">
        <v>132</v>
      </c>
      <c r="AG120" s="1" t="s">
        <v>6</v>
      </c>
      <c r="AH120" s="3"/>
      <c r="AI120" s="4"/>
      <c r="AJ120" s="4"/>
      <c r="AK120" s="4"/>
      <c r="AL120" s="4"/>
      <c r="AM120" s="4"/>
      <c r="AN120" s="4"/>
      <c r="AO120" s="107" t="s">
        <v>94</v>
      </c>
      <c r="AP120" s="107" t="s">
        <v>95</v>
      </c>
      <c r="AQ120" s="133">
        <v>1</v>
      </c>
    </row>
    <row r="121" spans="1:43" outlineLevel="1" x14ac:dyDescent="0.2">
      <c r="A121" s="28" t="s">
        <v>7</v>
      </c>
      <c r="B121" s="42">
        <f>SUMIF(SUPPORTO_punti!W:W,A121,SUPPORTO_punti!X:X)+SUPPORTO_pareggi!U47</f>
        <v>57</v>
      </c>
      <c r="C121" s="43">
        <f t="shared" si="40"/>
        <v>16</v>
      </c>
      <c r="D121" s="43">
        <v>8</v>
      </c>
      <c r="E121" s="42">
        <f t="shared" si="43"/>
        <v>0.2807017543859649</v>
      </c>
      <c r="F121" s="42">
        <f t="shared" si="41"/>
        <v>1</v>
      </c>
      <c r="G121" s="44">
        <f t="shared" si="42"/>
        <v>4</v>
      </c>
      <c r="H121" s="35" t="str">
        <f>'MAIN REPORT'!$A$15</f>
        <v>1. Quality aspect 10</v>
      </c>
      <c r="I121" s="1" t="s">
        <v>7</v>
      </c>
      <c r="J121" s="3"/>
      <c r="K121" s="4"/>
      <c r="L121" s="4"/>
      <c r="M121" s="4"/>
      <c r="N121" s="4"/>
      <c r="O121" s="4"/>
      <c r="P121" s="4"/>
      <c r="Q121" s="4"/>
      <c r="R121" s="107" t="s">
        <v>94</v>
      </c>
      <c r="S121" s="133" t="s">
        <v>112</v>
      </c>
      <c r="U121" s="1" t="s">
        <v>7</v>
      </c>
      <c r="V121" s="3"/>
      <c r="W121" s="4"/>
      <c r="X121" s="4"/>
      <c r="Y121" s="4"/>
      <c r="Z121" s="4"/>
      <c r="AA121" s="4"/>
      <c r="AB121" s="4"/>
      <c r="AC121" s="4"/>
      <c r="AD121" s="107">
        <v>1</v>
      </c>
      <c r="AE121" s="133" t="s">
        <v>94</v>
      </c>
      <c r="AG121" s="1" t="s">
        <v>7</v>
      </c>
      <c r="AH121" s="3"/>
      <c r="AI121" s="4"/>
      <c r="AJ121" s="4"/>
      <c r="AK121" s="4"/>
      <c r="AL121" s="4"/>
      <c r="AM121" s="4"/>
      <c r="AN121" s="4"/>
      <c r="AO121" s="4"/>
      <c r="AP121" s="107">
        <v>1</v>
      </c>
      <c r="AQ121" s="133" t="s">
        <v>94</v>
      </c>
    </row>
    <row r="122" spans="1:43" outlineLevel="1" x14ac:dyDescent="0.2">
      <c r="A122" s="28" t="s">
        <v>8</v>
      </c>
      <c r="B122" s="42">
        <f>SUMIF(SUPPORTO_punti!W:W,A122,SUPPORTO_punti!X:X)+SUPPORTO_pareggi!U53</f>
        <v>48</v>
      </c>
      <c r="C122" s="43">
        <f t="shared" si="40"/>
        <v>14</v>
      </c>
      <c r="D122" s="43">
        <v>9</v>
      </c>
      <c r="E122" s="42">
        <f t="shared" si="43"/>
        <v>0.24561403508771928</v>
      </c>
      <c r="F122" s="42">
        <f t="shared" si="41"/>
        <v>0.84210526315789469</v>
      </c>
      <c r="G122" s="44">
        <f t="shared" si="42"/>
        <v>3.3684210526315788</v>
      </c>
      <c r="H122" s="35" t="str">
        <f>'MAIN REPORT'!$A$15</f>
        <v>1. Quality aspect 10</v>
      </c>
      <c r="I122" s="1" t="s">
        <v>8</v>
      </c>
      <c r="J122" s="3"/>
      <c r="K122" s="4"/>
      <c r="L122" s="4"/>
      <c r="M122" s="4"/>
      <c r="N122" s="4"/>
      <c r="O122" s="4"/>
      <c r="P122" s="4"/>
      <c r="Q122" s="4"/>
      <c r="R122" s="4"/>
      <c r="S122" s="133" t="s">
        <v>104</v>
      </c>
      <c r="U122" s="1" t="s">
        <v>8</v>
      </c>
      <c r="V122" s="3"/>
      <c r="W122" s="4"/>
      <c r="X122" s="4"/>
      <c r="Y122" s="4"/>
      <c r="Z122" s="4"/>
      <c r="AA122" s="4"/>
      <c r="AB122" s="4"/>
      <c r="AC122" s="4"/>
      <c r="AD122" s="4"/>
      <c r="AE122" s="133" t="s">
        <v>95</v>
      </c>
      <c r="AG122" s="1" t="s">
        <v>8</v>
      </c>
      <c r="AH122" s="3"/>
      <c r="AI122" s="4"/>
      <c r="AJ122" s="4"/>
      <c r="AK122" s="4"/>
      <c r="AL122" s="4"/>
      <c r="AM122" s="4"/>
      <c r="AN122" s="4"/>
      <c r="AO122" s="4"/>
      <c r="AP122" s="4"/>
      <c r="AQ122" s="133" t="s">
        <v>95</v>
      </c>
    </row>
    <row r="123" spans="1:43" outlineLevel="1" x14ac:dyDescent="0.2">
      <c r="A123" s="29" t="s">
        <v>9</v>
      </c>
      <c r="B123" s="42">
        <f>SUMIF(SUPPORTO_punti!W:W,A123,SUPPORTO_punti!X:X)+SUPPORTO_pareggi!U59</f>
        <v>16</v>
      </c>
      <c r="C123" s="43">
        <f t="shared" si="40"/>
        <v>6</v>
      </c>
      <c r="D123" s="43">
        <v>10</v>
      </c>
      <c r="E123" s="42">
        <f t="shared" si="43"/>
        <v>0.10526315789473684</v>
      </c>
      <c r="F123" s="42">
        <f t="shared" si="41"/>
        <v>0.2807017543859649</v>
      </c>
      <c r="G123" s="44">
        <f t="shared" si="42"/>
        <v>1.1228070175438596</v>
      </c>
      <c r="H123" s="35" t="str">
        <f>'MAIN REPORT'!$A$15</f>
        <v>1. Quality aspect 10</v>
      </c>
      <c r="I123" s="1" t="s">
        <v>9</v>
      </c>
      <c r="J123" s="3"/>
      <c r="K123" s="4"/>
      <c r="L123" s="4"/>
      <c r="M123" s="4"/>
      <c r="N123" s="4"/>
      <c r="O123" s="4"/>
      <c r="P123" s="4"/>
      <c r="Q123" s="4"/>
      <c r="R123" s="4"/>
      <c r="S123" s="4"/>
      <c r="U123" s="1" t="s">
        <v>9</v>
      </c>
      <c r="V123" s="3"/>
      <c r="W123" s="4"/>
      <c r="X123" s="4"/>
      <c r="Y123" s="4"/>
      <c r="Z123" s="4"/>
      <c r="AA123" s="4"/>
      <c r="AB123" s="4"/>
      <c r="AC123" s="4"/>
      <c r="AD123" s="4"/>
      <c r="AE123" s="4"/>
      <c r="AG123" s="1" t="s">
        <v>9</v>
      </c>
      <c r="AH123" s="3"/>
      <c r="AI123" s="4"/>
      <c r="AJ123" s="4"/>
      <c r="AK123" s="4"/>
      <c r="AL123" s="4"/>
      <c r="AM123" s="4"/>
      <c r="AN123" s="4"/>
      <c r="AO123" s="4"/>
      <c r="AP123" s="4"/>
      <c r="AQ123" s="4"/>
    </row>
    <row r="124" spans="1:43" x14ac:dyDescent="0.2">
      <c r="A124" s="24" t="str">
        <f>'MAIN REPORT'!A16</f>
        <v>1. Quality aspect 11</v>
      </c>
      <c r="B124" s="5"/>
      <c r="C124" s="5"/>
      <c r="D124" s="5"/>
      <c r="E124" s="5"/>
      <c r="F124" s="22"/>
      <c r="G124" s="23">
        <f>'MAIN REPORT'!B16</f>
        <v>3</v>
      </c>
      <c r="I124" s="24" t="str">
        <f>A124</f>
        <v>1. Quality aspect 11</v>
      </c>
      <c r="J124" s="5"/>
      <c r="K124" s="5"/>
      <c r="L124" s="5"/>
      <c r="M124" s="5"/>
      <c r="N124" s="5"/>
      <c r="O124" s="5"/>
      <c r="P124" s="5"/>
      <c r="Q124" s="5"/>
      <c r="R124" s="5"/>
      <c r="S124" s="5"/>
      <c r="U124" s="24" t="str">
        <f>A124</f>
        <v>1. Quality aspect 11</v>
      </c>
      <c r="V124" s="5"/>
      <c r="W124" s="5"/>
      <c r="X124" s="5"/>
      <c r="Y124" s="5"/>
      <c r="Z124" s="5"/>
      <c r="AA124" s="5"/>
      <c r="AB124" s="5"/>
      <c r="AC124" s="5"/>
      <c r="AD124" s="5"/>
      <c r="AE124" s="5"/>
      <c r="AG124" s="24" t="str">
        <f>A124</f>
        <v>1. Quality aspect 11</v>
      </c>
      <c r="AH124" s="5"/>
      <c r="AI124" s="5"/>
      <c r="AJ124" s="5"/>
      <c r="AK124" s="5"/>
      <c r="AL124" s="5"/>
      <c r="AM124" s="5"/>
      <c r="AN124" s="5"/>
      <c r="AO124" s="5"/>
      <c r="AP124" s="5"/>
      <c r="AQ124" s="5"/>
    </row>
    <row r="125" spans="1:43" ht="16" outlineLevel="1" thickBot="1" x14ac:dyDescent="0.25">
      <c r="A125" s="39" t="s">
        <v>139</v>
      </c>
      <c r="B125" s="40" t="s">
        <v>138</v>
      </c>
      <c r="C125" s="40"/>
      <c r="D125" s="40"/>
      <c r="E125" s="40"/>
      <c r="F125" s="40" t="s">
        <v>218</v>
      </c>
      <c r="G125" s="41" t="s">
        <v>217</v>
      </c>
      <c r="I125" s="38"/>
      <c r="J125" s="1" t="s">
        <v>1</v>
      </c>
      <c r="K125" s="1" t="s">
        <v>2</v>
      </c>
      <c r="L125" s="1" t="s">
        <v>3</v>
      </c>
      <c r="M125" s="1" t="s">
        <v>0</v>
      </c>
      <c r="N125" s="1" t="s">
        <v>4</v>
      </c>
      <c r="O125" s="1" t="s">
        <v>5</v>
      </c>
      <c r="P125" s="1" t="s">
        <v>6</v>
      </c>
      <c r="Q125" s="1" t="s">
        <v>7</v>
      </c>
      <c r="R125" s="1" t="s">
        <v>8</v>
      </c>
      <c r="S125" s="1" t="s">
        <v>9</v>
      </c>
      <c r="U125" s="38"/>
      <c r="V125" s="1" t="s">
        <v>1</v>
      </c>
      <c r="W125" s="1" t="s">
        <v>2</v>
      </c>
      <c r="X125" s="1" t="s">
        <v>3</v>
      </c>
      <c r="Y125" s="1" t="s">
        <v>0</v>
      </c>
      <c r="Z125" s="1" t="s">
        <v>4</v>
      </c>
      <c r="AA125" s="1" t="s">
        <v>5</v>
      </c>
      <c r="AB125" s="1" t="s">
        <v>6</v>
      </c>
      <c r="AC125" s="1" t="s">
        <v>7</v>
      </c>
      <c r="AD125" s="1" t="s">
        <v>8</v>
      </c>
      <c r="AE125" s="1" t="s">
        <v>9</v>
      </c>
      <c r="AG125" s="38"/>
      <c r="AH125" s="1" t="s">
        <v>1</v>
      </c>
      <c r="AI125" s="1" t="s">
        <v>2</v>
      </c>
      <c r="AJ125" s="1" t="s">
        <v>3</v>
      </c>
      <c r="AK125" s="1" t="s">
        <v>0</v>
      </c>
      <c r="AL125" s="1" t="s">
        <v>4</v>
      </c>
      <c r="AM125" s="1" t="s">
        <v>5</v>
      </c>
      <c r="AN125" s="1" t="s">
        <v>6</v>
      </c>
      <c r="AO125" s="1" t="s">
        <v>7</v>
      </c>
      <c r="AP125" s="1" t="s">
        <v>8</v>
      </c>
      <c r="AQ125" s="1" t="s">
        <v>9</v>
      </c>
    </row>
    <row r="126" spans="1:43" outlineLevel="1" x14ac:dyDescent="0.2">
      <c r="A126" s="28" t="s">
        <v>1</v>
      </c>
      <c r="B126" s="42">
        <f>SUMIF(SUPPORTO_punti!Y:Y,A126,SUPPORTO_punti!Z:Z)+SUPPORTO_pareggi!W5</f>
        <v>47</v>
      </c>
      <c r="C126" s="43">
        <f t="shared" ref="C126:C135" si="44">LARGE($B$126:$B$135,D126)</f>
        <v>48</v>
      </c>
      <c r="D126" s="43">
        <v>1</v>
      </c>
      <c r="E126" s="42">
        <f>IF(SUM(B126:B135)=0,0,D126)</f>
        <v>1</v>
      </c>
      <c r="F126" s="42">
        <f t="shared" ref="F126:F135" si="45">VLOOKUP(B126,$C$126:$E$135,3,FALSE)</f>
        <v>0.97916666666666663</v>
      </c>
      <c r="G126" s="44">
        <f>G$124*F126</f>
        <v>2.9375</v>
      </c>
      <c r="H126" s="35" t="str">
        <f>'MAIN REPORT'!$A$16</f>
        <v>1. Quality aspect 11</v>
      </c>
      <c r="I126" s="1" t="s">
        <v>1</v>
      </c>
      <c r="J126" s="2"/>
      <c r="K126" s="106">
        <v>1</v>
      </c>
      <c r="L126" s="106" t="s">
        <v>87</v>
      </c>
      <c r="M126" s="106">
        <v>1</v>
      </c>
      <c r="N126" s="106" t="s">
        <v>91</v>
      </c>
      <c r="O126" s="106" t="s">
        <v>92</v>
      </c>
      <c r="P126" s="106" t="s">
        <v>96</v>
      </c>
      <c r="Q126" s="106" t="s">
        <v>87</v>
      </c>
      <c r="R126" s="106" t="s">
        <v>87</v>
      </c>
      <c r="S126" s="132" t="s">
        <v>96</v>
      </c>
      <c r="U126" s="1" t="s">
        <v>1</v>
      </c>
      <c r="V126" s="2"/>
      <c r="W126" s="106">
        <v>1</v>
      </c>
      <c r="X126" s="106" t="s">
        <v>96</v>
      </c>
      <c r="Y126" s="106">
        <v>1</v>
      </c>
      <c r="Z126" s="106" t="s">
        <v>87</v>
      </c>
      <c r="AA126" s="106" t="s">
        <v>87</v>
      </c>
      <c r="AB126" s="106" t="s">
        <v>87</v>
      </c>
      <c r="AC126" s="106">
        <v>1</v>
      </c>
      <c r="AD126" s="106">
        <v>1</v>
      </c>
      <c r="AE126" s="132" t="s">
        <v>87</v>
      </c>
      <c r="AG126" s="1" t="s">
        <v>1</v>
      </c>
      <c r="AH126" s="2"/>
      <c r="AI126" s="106">
        <v>1</v>
      </c>
      <c r="AJ126" s="106" t="s">
        <v>87</v>
      </c>
      <c r="AK126" s="106">
        <v>1</v>
      </c>
      <c r="AL126" s="106">
        <v>1</v>
      </c>
      <c r="AM126" s="106" t="s">
        <v>87</v>
      </c>
      <c r="AN126" s="106" t="s">
        <v>105</v>
      </c>
      <c r="AO126" s="106" t="s">
        <v>87</v>
      </c>
      <c r="AP126" s="106" t="s">
        <v>87</v>
      </c>
      <c r="AQ126" s="132" t="s">
        <v>96</v>
      </c>
    </row>
    <row r="127" spans="1:43" outlineLevel="1" x14ac:dyDescent="0.2">
      <c r="A127" s="28" t="s">
        <v>2</v>
      </c>
      <c r="B127" s="42">
        <f>SUMIF(SUPPORTO_punti!Y:Y,A127,SUPPORTO_punti!Z:Z)+SUPPORTO_pareggi!W11</f>
        <v>48</v>
      </c>
      <c r="C127" s="43">
        <f t="shared" si="44"/>
        <v>47</v>
      </c>
      <c r="D127" s="43">
        <v>2</v>
      </c>
      <c r="E127" s="42">
        <f>(C127/$C$126)*$E$126</f>
        <v>0.97916666666666663</v>
      </c>
      <c r="F127" s="42">
        <f t="shared" si="45"/>
        <v>1</v>
      </c>
      <c r="G127" s="44">
        <f t="shared" ref="G127:G135" si="46">G$124*F127</f>
        <v>3</v>
      </c>
      <c r="H127" s="35" t="str">
        <f>'MAIN REPORT'!$A$16</f>
        <v>1. Quality aspect 11</v>
      </c>
      <c r="I127" s="1" t="s">
        <v>2</v>
      </c>
      <c r="J127" s="3"/>
      <c r="K127" s="4"/>
      <c r="L127" s="107" t="s">
        <v>88</v>
      </c>
      <c r="M127" s="107" t="s">
        <v>88</v>
      </c>
      <c r="N127" s="107">
        <v>1</v>
      </c>
      <c r="O127" s="107" t="s">
        <v>92</v>
      </c>
      <c r="P127" s="107" t="s">
        <v>97</v>
      </c>
      <c r="Q127" s="107" t="s">
        <v>88</v>
      </c>
      <c r="R127" s="107" t="s">
        <v>88</v>
      </c>
      <c r="S127" s="133" t="s">
        <v>97</v>
      </c>
      <c r="U127" s="1" t="s">
        <v>2</v>
      </c>
      <c r="V127" s="3"/>
      <c r="W127" s="4"/>
      <c r="X127" s="107" t="s">
        <v>88</v>
      </c>
      <c r="Y127" s="107" t="s">
        <v>88</v>
      </c>
      <c r="Z127" s="107" t="s">
        <v>88</v>
      </c>
      <c r="AA127" s="107">
        <v>1</v>
      </c>
      <c r="AB127" s="107" t="s">
        <v>97</v>
      </c>
      <c r="AC127" s="107">
        <v>1</v>
      </c>
      <c r="AD127" s="107">
        <v>1</v>
      </c>
      <c r="AE127" s="133">
        <v>1</v>
      </c>
      <c r="AG127" s="1" t="s">
        <v>2</v>
      </c>
      <c r="AH127" s="3"/>
      <c r="AI127" s="4"/>
      <c r="AJ127" s="107" t="s">
        <v>88</v>
      </c>
      <c r="AK127" s="107">
        <v>1</v>
      </c>
      <c r="AL127" s="107">
        <v>1</v>
      </c>
      <c r="AM127" s="107" t="s">
        <v>88</v>
      </c>
      <c r="AN127" s="107" t="s">
        <v>106</v>
      </c>
      <c r="AO127" s="107" t="s">
        <v>88</v>
      </c>
      <c r="AP127" s="107" t="s">
        <v>88</v>
      </c>
      <c r="AQ127" s="133" t="s">
        <v>97</v>
      </c>
    </row>
    <row r="128" spans="1:43" outlineLevel="1" x14ac:dyDescent="0.2">
      <c r="A128" s="28" t="s">
        <v>3</v>
      </c>
      <c r="B128" s="42">
        <f>SUMIF(SUPPORTO_punti!Y:Y,A128,SUPPORTO_punti!Z:Z)+SUPPORTO_pareggi!W17</f>
        <v>20</v>
      </c>
      <c r="C128" s="43">
        <f t="shared" si="44"/>
        <v>47</v>
      </c>
      <c r="D128" s="43">
        <v>3</v>
      </c>
      <c r="E128" s="42">
        <f t="shared" ref="E128:E135" si="47">(C128/$C$126)*$E$126</f>
        <v>0.97916666666666663</v>
      </c>
      <c r="F128" s="42">
        <f t="shared" si="45"/>
        <v>0.41666666666666669</v>
      </c>
      <c r="G128" s="44">
        <f t="shared" si="46"/>
        <v>1.25</v>
      </c>
      <c r="H128" s="35" t="str">
        <f>'MAIN REPORT'!$A$16</f>
        <v>1. Quality aspect 11</v>
      </c>
      <c r="I128" s="1" t="s">
        <v>3</v>
      </c>
      <c r="J128" s="3"/>
      <c r="K128" s="4"/>
      <c r="L128" s="4"/>
      <c r="M128" s="107" t="s">
        <v>90</v>
      </c>
      <c r="N128" s="107" t="s">
        <v>91</v>
      </c>
      <c r="O128" s="107" t="s">
        <v>101</v>
      </c>
      <c r="P128" s="107" t="s">
        <v>98</v>
      </c>
      <c r="Q128" s="107">
        <v>1</v>
      </c>
      <c r="R128" s="107">
        <v>1</v>
      </c>
      <c r="S128" s="133" t="s">
        <v>98</v>
      </c>
      <c r="U128" s="1" t="s">
        <v>3</v>
      </c>
      <c r="V128" s="3"/>
      <c r="W128" s="4"/>
      <c r="X128" s="4"/>
      <c r="Y128" s="107" t="s">
        <v>90</v>
      </c>
      <c r="Z128" s="107" t="s">
        <v>91</v>
      </c>
      <c r="AA128" s="107">
        <v>1</v>
      </c>
      <c r="AB128" s="107" t="s">
        <v>89</v>
      </c>
      <c r="AC128" s="107" t="s">
        <v>94</v>
      </c>
      <c r="AD128" s="107" t="s">
        <v>95</v>
      </c>
      <c r="AE128" s="133">
        <v>1</v>
      </c>
      <c r="AG128" s="1" t="s">
        <v>3</v>
      </c>
      <c r="AH128" s="3"/>
      <c r="AI128" s="4"/>
      <c r="AJ128" s="4"/>
      <c r="AK128" s="107" t="s">
        <v>90</v>
      </c>
      <c r="AL128" s="107" t="s">
        <v>91</v>
      </c>
      <c r="AM128" s="107">
        <v>1</v>
      </c>
      <c r="AN128" s="107" t="s">
        <v>98</v>
      </c>
      <c r="AO128" s="107">
        <v>1</v>
      </c>
      <c r="AP128" s="107">
        <v>1</v>
      </c>
      <c r="AQ128" s="133" t="s">
        <v>89</v>
      </c>
    </row>
    <row r="129" spans="1:43" outlineLevel="1" x14ac:dyDescent="0.2">
      <c r="A129" s="28" t="s">
        <v>0</v>
      </c>
      <c r="B129" s="42">
        <f>SUMIF(SUPPORTO_punti!Y:Y,A129,SUPPORTO_punti!Z:Z)+SUPPORTO_pareggi!W23</f>
        <v>42</v>
      </c>
      <c r="C129" s="43">
        <f t="shared" si="44"/>
        <v>44</v>
      </c>
      <c r="D129" s="43">
        <v>4</v>
      </c>
      <c r="E129" s="42">
        <f t="shared" si="47"/>
        <v>0.91666666666666663</v>
      </c>
      <c r="F129" s="42">
        <f t="shared" si="45"/>
        <v>0.875</v>
      </c>
      <c r="G129" s="44">
        <f t="shared" si="46"/>
        <v>2.625</v>
      </c>
      <c r="H129" s="35" t="str">
        <f>'MAIN REPORT'!$A$16</f>
        <v>1. Quality aspect 11</v>
      </c>
      <c r="I129" s="1" t="s">
        <v>0</v>
      </c>
      <c r="J129" s="3"/>
      <c r="K129" s="4"/>
      <c r="L129" s="4"/>
      <c r="M129" s="4"/>
      <c r="N129" s="107" t="s">
        <v>91</v>
      </c>
      <c r="O129" s="107" t="s">
        <v>92</v>
      </c>
      <c r="P129" s="107" t="s">
        <v>108</v>
      </c>
      <c r="Q129" s="107" t="s">
        <v>90</v>
      </c>
      <c r="R129" s="107" t="s">
        <v>90</v>
      </c>
      <c r="S129" s="133" t="s">
        <v>99</v>
      </c>
      <c r="U129" s="1" t="s">
        <v>0</v>
      </c>
      <c r="V129" s="3"/>
      <c r="W129" s="4"/>
      <c r="X129" s="4"/>
      <c r="Y129" s="4"/>
      <c r="Z129" s="107">
        <v>1</v>
      </c>
      <c r="AA129" s="107">
        <v>1</v>
      </c>
      <c r="AB129" s="107" t="s">
        <v>90</v>
      </c>
      <c r="AC129" s="107">
        <v>1</v>
      </c>
      <c r="AD129" s="107">
        <v>1</v>
      </c>
      <c r="AE129" s="133">
        <v>1</v>
      </c>
      <c r="AG129" s="1" t="s">
        <v>0</v>
      </c>
      <c r="AH129" s="3"/>
      <c r="AI129" s="4"/>
      <c r="AJ129" s="4"/>
      <c r="AK129" s="4"/>
      <c r="AL129" s="107">
        <v>1</v>
      </c>
      <c r="AM129" s="107" t="s">
        <v>90</v>
      </c>
      <c r="AN129" s="107" t="s">
        <v>108</v>
      </c>
      <c r="AO129" s="107" t="s">
        <v>90</v>
      </c>
      <c r="AP129" s="107" t="s">
        <v>90</v>
      </c>
      <c r="AQ129" s="133" t="s">
        <v>99</v>
      </c>
    </row>
    <row r="130" spans="1:43" outlineLevel="1" x14ac:dyDescent="0.2">
      <c r="A130" s="28" t="s">
        <v>4</v>
      </c>
      <c r="B130" s="42">
        <f>SUMIF(SUPPORTO_punti!Y:Y,A130,SUPPORTO_punti!Z:Z)+SUPPORTO_pareggi!W29</f>
        <v>47</v>
      </c>
      <c r="C130" s="43">
        <f t="shared" si="44"/>
        <v>42</v>
      </c>
      <c r="D130" s="43">
        <v>5</v>
      </c>
      <c r="E130" s="42">
        <f t="shared" si="47"/>
        <v>0.875</v>
      </c>
      <c r="F130" s="42">
        <f t="shared" si="45"/>
        <v>0.97916666666666663</v>
      </c>
      <c r="G130" s="44">
        <f t="shared" si="46"/>
        <v>2.9375</v>
      </c>
      <c r="H130" s="35" t="str">
        <f>'MAIN REPORT'!$A$16</f>
        <v>1. Quality aspect 11</v>
      </c>
      <c r="I130" s="1" t="s">
        <v>4</v>
      </c>
      <c r="J130" s="3"/>
      <c r="K130" s="4"/>
      <c r="L130" s="4"/>
      <c r="M130" s="4"/>
      <c r="N130" s="4"/>
      <c r="O130" s="107" t="s">
        <v>92</v>
      </c>
      <c r="P130" s="107" t="s">
        <v>118</v>
      </c>
      <c r="Q130" s="107" t="s">
        <v>91</v>
      </c>
      <c r="R130" s="107" t="s">
        <v>91</v>
      </c>
      <c r="S130" s="133" t="s">
        <v>100</v>
      </c>
      <c r="U130" s="1" t="s">
        <v>4</v>
      </c>
      <c r="V130" s="3"/>
      <c r="W130" s="4"/>
      <c r="X130" s="4"/>
      <c r="Y130" s="4"/>
      <c r="Z130" s="4"/>
      <c r="AA130" s="107">
        <v>1</v>
      </c>
      <c r="AB130" s="107" t="s">
        <v>91</v>
      </c>
      <c r="AC130" s="107">
        <v>1</v>
      </c>
      <c r="AD130" s="107">
        <v>1</v>
      </c>
      <c r="AE130" s="133" t="s">
        <v>91</v>
      </c>
      <c r="AG130" s="1" t="s">
        <v>4</v>
      </c>
      <c r="AH130" s="3"/>
      <c r="AI130" s="4"/>
      <c r="AJ130" s="4"/>
      <c r="AK130" s="4"/>
      <c r="AL130" s="4"/>
      <c r="AM130" s="107" t="s">
        <v>91</v>
      </c>
      <c r="AN130" s="107" t="s">
        <v>109</v>
      </c>
      <c r="AO130" s="107" t="s">
        <v>91</v>
      </c>
      <c r="AP130" s="107" t="s">
        <v>91</v>
      </c>
      <c r="AQ130" s="133" t="s">
        <v>100</v>
      </c>
    </row>
    <row r="131" spans="1:43" outlineLevel="1" x14ac:dyDescent="0.2">
      <c r="A131" s="28" t="s">
        <v>5</v>
      </c>
      <c r="B131" s="42">
        <f>SUMIF(SUPPORTO_punti!Y:Y,A131,SUPPORTO_punti!Z:Z)+SUPPORTO_pareggi!W35</f>
        <v>44</v>
      </c>
      <c r="C131" s="43">
        <f t="shared" si="44"/>
        <v>28</v>
      </c>
      <c r="D131" s="43">
        <v>6</v>
      </c>
      <c r="E131" s="42">
        <f t="shared" si="47"/>
        <v>0.58333333333333337</v>
      </c>
      <c r="F131" s="42">
        <f t="shared" si="45"/>
        <v>0.91666666666666663</v>
      </c>
      <c r="G131" s="44">
        <f t="shared" si="46"/>
        <v>2.75</v>
      </c>
      <c r="H131" s="35" t="str">
        <f>'MAIN REPORT'!$A$16</f>
        <v>1. Quality aspect 11</v>
      </c>
      <c r="I131" s="1" t="s">
        <v>5</v>
      </c>
      <c r="J131" s="3"/>
      <c r="K131" s="4"/>
      <c r="L131" s="4"/>
      <c r="M131" s="4"/>
      <c r="N131" s="4"/>
      <c r="O131" s="4"/>
      <c r="P131" s="107" t="s">
        <v>119</v>
      </c>
      <c r="Q131" s="107" t="s">
        <v>101</v>
      </c>
      <c r="R131" s="107" t="s">
        <v>101</v>
      </c>
      <c r="S131" s="133" t="s">
        <v>119</v>
      </c>
      <c r="U131" s="1" t="s">
        <v>5</v>
      </c>
      <c r="V131" s="3"/>
      <c r="W131" s="4"/>
      <c r="X131" s="4"/>
      <c r="Y131" s="4"/>
      <c r="Z131" s="4"/>
      <c r="AA131" s="4"/>
      <c r="AB131" s="107" t="s">
        <v>92</v>
      </c>
      <c r="AC131" s="107">
        <v>1</v>
      </c>
      <c r="AD131" s="107">
        <v>1</v>
      </c>
      <c r="AE131" s="133">
        <v>1</v>
      </c>
      <c r="AG131" s="1" t="s">
        <v>5</v>
      </c>
      <c r="AH131" s="3"/>
      <c r="AI131" s="4"/>
      <c r="AJ131" s="4"/>
      <c r="AK131" s="4"/>
      <c r="AL131" s="4"/>
      <c r="AM131" s="4"/>
      <c r="AN131" s="107" t="s">
        <v>101</v>
      </c>
      <c r="AO131" s="107">
        <v>1</v>
      </c>
      <c r="AP131" s="107">
        <v>1</v>
      </c>
      <c r="AQ131" s="133" t="s">
        <v>92</v>
      </c>
    </row>
    <row r="132" spans="1:43" outlineLevel="1" x14ac:dyDescent="0.2">
      <c r="A132" s="28" t="s">
        <v>6</v>
      </c>
      <c r="B132" s="42">
        <f>SUMIF(SUPPORTO_punti!Y:Y,A132,SUPPORTO_punti!Z:Z)+SUPPORTO_pareggi!W41</f>
        <v>0</v>
      </c>
      <c r="C132" s="43">
        <f t="shared" si="44"/>
        <v>27</v>
      </c>
      <c r="D132" s="43">
        <v>7</v>
      </c>
      <c r="E132" s="42">
        <f t="shared" si="47"/>
        <v>0.5625</v>
      </c>
      <c r="F132" s="42">
        <f t="shared" si="45"/>
        <v>0</v>
      </c>
      <c r="G132" s="44">
        <f t="shared" si="46"/>
        <v>0</v>
      </c>
      <c r="H132" s="35" t="str">
        <f>'MAIN REPORT'!$A$16</f>
        <v>1. Quality aspect 11</v>
      </c>
      <c r="I132" s="1" t="s">
        <v>6</v>
      </c>
      <c r="J132" s="3"/>
      <c r="K132" s="4"/>
      <c r="L132" s="4"/>
      <c r="M132" s="4"/>
      <c r="N132" s="4"/>
      <c r="O132" s="4"/>
      <c r="P132" s="4"/>
      <c r="Q132" s="107" t="s">
        <v>103</v>
      </c>
      <c r="R132" s="107" t="s">
        <v>104</v>
      </c>
      <c r="S132" s="133" t="s">
        <v>132</v>
      </c>
      <c r="U132" s="1" t="s">
        <v>6</v>
      </c>
      <c r="V132" s="3"/>
      <c r="W132" s="4"/>
      <c r="X132" s="4"/>
      <c r="Y132" s="4"/>
      <c r="Z132" s="4"/>
      <c r="AA132" s="4"/>
      <c r="AB132" s="4"/>
      <c r="AC132" s="107" t="s">
        <v>94</v>
      </c>
      <c r="AD132" s="107" t="s">
        <v>95</v>
      </c>
      <c r="AE132" s="133" t="s">
        <v>132</v>
      </c>
      <c r="AG132" s="1" t="s">
        <v>6</v>
      </c>
      <c r="AH132" s="3"/>
      <c r="AI132" s="4"/>
      <c r="AJ132" s="4"/>
      <c r="AK132" s="4"/>
      <c r="AL132" s="4"/>
      <c r="AM132" s="4"/>
      <c r="AN132" s="4"/>
      <c r="AO132" s="107" t="s">
        <v>103</v>
      </c>
      <c r="AP132" s="107" t="s">
        <v>104</v>
      </c>
      <c r="AQ132" s="133" t="s">
        <v>132</v>
      </c>
    </row>
    <row r="133" spans="1:43" outlineLevel="1" x14ac:dyDescent="0.2">
      <c r="A133" s="28" t="s">
        <v>7</v>
      </c>
      <c r="B133" s="42">
        <f>SUMIF(SUPPORTO_punti!Y:Y,A133,SUPPORTO_punti!Z:Z)+SUPPORTO_pareggi!W47</f>
        <v>28</v>
      </c>
      <c r="C133" s="43">
        <f t="shared" si="44"/>
        <v>20</v>
      </c>
      <c r="D133" s="43">
        <v>8</v>
      </c>
      <c r="E133" s="42">
        <f t="shared" si="47"/>
        <v>0.41666666666666669</v>
      </c>
      <c r="F133" s="42">
        <f t="shared" si="45"/>
        <v>0.58333333333333337</v>
      </c>
      <c r="G133" s="44">
        <f t="shared" si="46"/>
        <v>1.75</v>
      </c>
      <c r="H133" s="35" t="str">
        <f>'MAIN REPORT'!$A$16</f>
        <v>1. Quality aspect 11</v>
      </c>
      <c r="I133" s="1" t="s">
        <v>7</v>
      </c>
      <c r="J133" s="3"/>
      <c r="K133" s="4"/>
      <c r="L133" s="4"/>
      <c r="M133" s="4"/>
      <c r="N133" s="4"/>
      <c r="O133" s="4"/>
      <c r="P133" s="4"/>
      <c r="Q133" s="4"/>
      <c r="R133" s="107">
        <v>1</v>
      </c>
      <c r="S133" s="133" t="s">
        <v>103</v>
      </c>
      <c r="U133" s="1" t="s">
        <v>7</v>
      </c>
      <c r="V133" s="3"/>
      <c r="W133" s="4"/>
      <c r="X133" s="4"/>
      <c r="Y133" s="4"/>
      <c r="Z133" s="4"/>
      <c r="AA133" s="4"/>
      <c r="AB133" s="4"/>
      <c r="AC133" s="4"/>
      <c r="AD133" s="107">
        <v>1</v>
      </c>
      <c r="AE133" s="133" t="s">
        <v>94</v>
      </c>
      <c r="AG133" s="1" t="s">
        <v>7</v>
      </c>
      <c r="AH133" s="3"/>
      <c r="AI133" s="4"/>
      <c r="AJ133" s="4"/>
      <c r="AK133" s="4"/>
      <c r="AL133" s="4"/>
      <c r="AM133" s="4"/>
      <c r="AN133" s="4"/>
      <c r="AO133" s="4"/>
      <c r="AP133" s="107">
        <v>1</v>
      </c>
      <c r="AQ133" s="133" t="s">
        <v>94</v>
      </c>
    </row>
    <row r="134" spans="1:43" outlineLevel="1" x14ac:dyDescent="0.2">
      <c r="A134" s="28" t="s">
        <v>8</v>
      </c>
      <c r="B134" s="42">
        <f>SUMIF(SUPPORTO_punti!Y:Y,A134,SUPPORTO_punti!Z:Z)+SUPPORTO_pareggi!W53</f>
        <v>27</v>
      </c>
      <c r="C134" s="43">
        <f t="shared" si="44"/>
        <v>11</v>
      </c>
      <c r="D134" s="43">
        <v>9</v>
      </c>
      <c r="E134" s="42">
        <f t="shared" si="47"/>
        <v>0.22916666666666666</v>
      </c>
      <c r="F134" s="42">
        <f t="shared" si="45"/>
        <v>0.5625</v>
      </c>
      <c r="G134" s="44">
        <f t="shared" si="46"/>
        <v>1.6875</v>
      </c>
      <c r="H134" s="35" t="str">
        <f>'MAIN REPORT'!$A$16</f>
        <v>1. Quality aspect 11</v>
      </c>
      <c r="I134" s="1" t="s">
        <v>8</v>
      </c>
      <c r="J134" s="3"/>
      <c r="K134" s="4"/>
      <c r="L134" s="4"/>
      <c r="M134" s="4"/>
      <c r="N134" s="4"/>
      <c r="O134" s="4"/>
      <c r="P134" s="4"/>
      <c r="Q134" s="4"/>
      <c r="R134" s="4"/>
      <c r="S134" s="133" t="s">
        <v>104</v>
      </c>
      <c r="U134" s="1" t="s">
        <v>8</v>
      </c>
      <c r="V134" s="3"/>
      <c r="W134" s="4"/>
      <c r="X134" s="4"/>
      <c r="Y134" s="4"/>
      <c r="Z134" s="4"/>
      <c r="AA134" s="4"/>
      <c r="AB134" s="4"/>
      <c r="AC134" s="4"/>
      <c r="AD134" s="4"/>
      <c r="AE134" s="133">
        <v>1</v>
      </c>
      <c r="AG134" s="1" t="s">
        <v>8</v>
      </c>
      <c r="AH134" s="3"/>
      <c r="AI134" s="4"/>
      <c r="AJ134" s="4"/>
      <c r="AK134" s="4"/>
      <c r="AL134" s="4"/>
      <c r="AM134" s="4"/>
      <c r="AN134" s="4"/>
      <c r="AO134" s="4"/>
      <c r="AP134" s="4"/>
      <c r="AQ134" s="133" t="s">
        <v>95</v>
      </c>
    </row>
    <row r="135" spans="1:43" outlineLevel="1" x14ac:dyDescent="0.2">
      <c r="A135" s="29" t="s">
        <v>9</v>
      </c>
      <c r="B135" s="42">
        <f>SUMIF(SUPPORTO_punti!Y:Y,A135,SUPPORTO_punti!Z:Z)+SUPPORTO_pareggi!W59</f>
        <v>11</v>
      </c>
      <c r="C135" s="43">
        <f t="shared" si="44"/>
        <v>0</v>
      </c>
      <c r="D135" s="43">
        <v>10</v>
      </c>
      <c r="E135" s="42">
        <f t="shared" si="47"/>
        <v>0</v>
      </c>
      <c r="F135" s="42">
        <f t="shared" si="45"/>
        <v>0.22916666666666666</v>
      </c>
      <c r="G135" s="44">
        <f t="shared" si="46"/>
        <v>0.6875</v>
      </c>
      <c r="H135" s="35" t="str">
        <f>'MAIN REPORT'!$A$16</f>
        <v>1. Quality aspect 11</v>
      </c>
      <c r="I135" s="1" t="s">
        <v>9</v>
      </c>
      <c r="J135" s="3"/>
      <c r="K135" s="4"/>
      <c r="L135" s="4"/>
      <c r="M135" s="4"/>
      <c r="N135" s="4"/>
      <c r="O135" s="4"/>
      <c r="P135" s="4"/>
      <c r="Q135" s="4"/>
      <c r="R135" s="4"/>
      <c r="S135" s="4"/>
      <c r="U135" s="1" t="s">
        <v>9</v>
      </c>
      <c r="V135" s="3"/>
      <c r="W135" s="4"/>
      <c r="X135" s="4"/>
      <c r="Y135" s="4"/>
      <c r="Z135" s="4"/>
      <c r="AA135" s="4"/>
      <c r="AB135" s="4"/>
      <c r="AC135" s="4"/>
      <c r="AD135" s="4"/>
      <c r="AE135" s="4"/>
      <c r="AG135" s="1" t="s">
        <v>9</v>
      </c>
      <c r="AH135" s="3"/>
      <c r="AI135" s="4"/>
      <c r="AJ135" s="4"/>
      <c r="AK135" s="4"/>
      <c r="AL135" s="4"/>
      <c r="AM135" s="4"/>
      <c r="AN135" s="4"/>
      <c r="AO135" s="4"/>
      <c r="AP135" s="4"/>
      <c r="AQ135" s="4"/>
    </row>
    <row r="143" spans="1:43" x14ac:dyDescent="0.2">
      <c r="D143" s="43"/>
    </row>
  </sheetData>
  <protectedRanges>
    <protectedRange sqref="L30:S31 N32:S33 P34:S35 R36:S37 S38 Q36 O34 M32 K30 AJ30:AQ31 AL32:AQ33 AN34:AQ35 AP36:AQ37 AQ38 AO36 AM34 AK32 AI30 L42:S43 N44:S45 P46:S47 R48:S49 S50 Q48 O46 M44 K42 X42:AE43 Z44:AE45 AB46:AE47 AD48:AE49 AE50 AC48 AA46 Y44 W42 AJ42:AQ43 AL44:AQ45 AN46:AQ47 AP48:AQ49 AQ50 AO48 AM46 AK44 AI42 L54:S55 N56:S57 P58:S59 R60:S61 S62 Q60 O58 M56 K54 X54:AE55 Z56:AE57 AB58:AE59 AD60:AE61 AE62 AC60 AA58 Y56 W54 AJ54:AQ55 AL56:AQ57 AN58:AQ59 AP60:AQ61 AQ62 AO60 AM58 AK56 AI54 L66:S67 N68:S69 P70:S71 R72:S73 S74 Q72 O70 M68 K66 X66:AE67 Z68:AE69 AB70:AE71 AD72:AE73 AE74 AC72 AA70 Y68 W66 L78:S79 N80:S81 P82:S83 R84:S85 S86 Q84 O82 M80 K78 X78:AE79 Z80:AE81 AB82:AE83 AD84:AE85 AE86 AC84 AA82 Y80 W78 AJ78:AQ79 AL80:AQ81 AN82:AQ83 AP84:AQ85 AQ86 AO84 AM82 AK80 AI78" name="Intervallo1_1"/>
    <protectedRange sqref="L6:S7 N8:S9 P10:S11 R12:S13 S14 Q12 O10 M8 K6 X6:AE7 Z8:AE9 AB10:AE11 AD12:AE13 AE14 AC12 AA10 Y8 W6 AJ6:AQ7 AL8:AQ9 AN10:AQ11 AP12:AQ13 AQ14 AO12 AM10 AK8 AI6" name="Intervallo1_5"/>
    <protectedRange sqref="L18:S19 N20:S21 P22:S23 R24:S25 S26 Q24 O22 M20 K18 X18:AE19 Z20:AE21 AB22:AE23 AD24:AE25 AE26 AC24 AA22 Y20 W18 AJ18:AQ19 AL20:AQ21 AN22:AQ23 AP24:AQ25 AQ26 AO24 AM22 AK20 AI18" name="Intervallo1_7"/>
    <protectedRange sqref="L90:S91 N92:S93 P94:S95 R96:S97 S98 Q96 O94 M92 K90 AJ90:AQ91 AL92:AQ93 AN94:AQ95 AP96:AQ97 AQ98 AO96 AM94 AK92 AI90" name="Intervallo1_9"/>
    <protectedRange sqref="X90:AE91 Z92:AE93 AB94:AE95 AD96:AE97 AE98 AC96 AA94 Y92 W90" name="Intervallo1_3_2"/>
    <protectedRange sqref="L102:S103 N104:S105 P106:S107 R108:S109 S110 Q108 O106 M104 K102 AJ102:AQ103 AL104:AQ105 AN106:AQ107 AP108:AQ109 AQ110 AO108 AM106 AK104 AI102" name="Intervallo1_11"/>
    <protectedRange sqref="X102:AE103 Z104:AE105 AB106:AE107 AD108:AE109 AE110 AC108 AA106 Y104 W102" name="Intervallo1_3_4"/>
    <protectedRange sqref="L114:S115 N116:S117 P118:S119 R120:S121 S122 Q120 O118 M116 K114 AJ114:AQ115 AL116:AQ117 AN118:AQ119 AP120:AQ121 AQ122 AO120 AM118 AK116 AI114" name="Intervallo1_13"/>
    <protectedRange sqref="X114:AE115 Z116:AE117 AB118:AE119 AD120:AE121 AE122 AC120 AA118 Y116 W114" name="Intervallo1_3_6"/>
    <protectedRange sqref="L126:S127 N128:S129 P130:S131 R132:S133 S134 Q132 O130 M128 K126 AJ126:AQ127 AL128:AQ129 AN130:AQ131 AP132:AQ133 AQ134 AO132 AM130 AK128 AI126" name="Intervallo1_15"/>
    <protectedRange sqref="X126:AE127 Z128:AE129 AB130:AE131 AD132:AE133 AE134 AC132 AA130 Y128 W126" name="Intervallo1_3_8"/>
    <protectedRange sqref="X30:AE31 Z32:AE33 AB34:AE35 AD36:AE37 AE38 AC36 AA34 Y32 W30" name="Intervallo1_4"/>
    <protectedRange sqref="AJ66:AQ67 AL68:AQ69 AN70:AQ71 AP72:AQ73 AQ74 AO72 AM70 AK68 AI66" name="Intervallo1_2"/>
  </protectedRanges>
  <phoneticPr fontId="28" type="noConversion"/>
  <conditionalFormatting sqref="AD42:AE49">
    <cfRule type="containsText" dxfId="65" priority="62" operator="containsText" text="&quot; &quot;">
      <formula>NOT(ISERROR(SEARCH(""" """,AD42)))</formula>
    </cfRule>
  </conditionalFormatting>
  <conditionalFormatting sqref="W42:AE42 X43:AE43 Y44:AE44 Z45:AE45 AA46:AE46 AB47:AE47 AC48:AE48 AD49:AE49 AE50">
    <cfRule type="containsBlanks" dxfId="64" priority="61">
      <formula>LEN(TRIM(W42))=0</formula>
    </cfRule>
  </conditionalFormatting>
  <conditionalFormatting sqref="AP42:AQ49">
    <cfRule type="containsText" dxfId="63" priority="60" operator="containsText" text="&quot; &quot;">
      <formula>NOT(ISERROR(SEARCH(""" """,AP42)))</formula>
    </cfRule>
  </conditionalFormatting>
  <conditionalFormatting sqref="AI42:AQ42 AJ43:AQ43 AK44:AQ44 AL45:AQ45 AM46:AQ46 AN47:AQ47 AO48:AQ48 AP49:AQ49 AQ50">
    <cfRule type="containsBlanks" dxfId="62" priority="59">
      <formula>LEN(TRIM(AI42))=0</formula>
    </cfRule>
  </conditionalFormatting>
  <conditionalFormatting sqref="R30:S37">
    <cfRule type="containsText" dxfId="61" priority="68" operator="containsText" text="&quot; &quot;">
      <formula>NOT(ISERROR(SEARCH(""" """,R30)))</formula>
    </cfRule>
  </conditionalFormatting>
  <conditionalFormatting sqref="K30:S30 L31:S31 M32:S32 N33:S33 O34:S34 P35:S35 Q36:S36 R37:S37 S38">
    <cfRule type="containsBlanks" dxfId="60" priority="67">
      <formula>LEN(TRIM(K30))=0</formula>
    </cfRule>
  </conditionalFormatting>
  <conditionalFormatting sqref="AP30:AQ37">
    <cfRule type="containsText" dxfId="59" priority="66" operator="containsText" text="&quot; &quot;">
      <formula>NOT(ISERROR(SEARCH(""" """,AP30)))</formula>
    </cfRule>
  </conditionalFormatting>
  <conditionalFormatting sqref="AI30:AQ30 AJ31:AQ31 AK32:AQ32 AL33:AQ33 AM34:AQ34 AN35:AQ35 AO36:AQ36 AP37:AQ37 AQ38">
    <cfRule type="containsBlanks" dxfId="58" priority="65">
      <formula>LEN(TRIM(AI30))=0</formula>
    </cfRule>
  </conditionalFormatting>
  <conditionalFormatting sqref="R42:S49">
    <cfRule type="containsText" dxfId="57" priority="64" operator="containsText" text="&quot; &quot;">
      <formula>NOT(ISERROR(SEARCH(""" """,R42)))</formula>
    </cfRule>
  </conditionalFormatting>
  <conditionalFormatting sqref="K42:S42 L43:S43 M44:S44 N45:S45 O46:S46 P47:S47 Q48:S48 R49:S49 S50">
    <cfRule type="containsBlanks" dxfId="56" priority="63">
      <formula>LEN(TRIM(K42))=0</formula>
    </cfRule>
  </conditionalFormatting>
  <conditionalFormatting sqref="R54:S61">
    <cfRule type="containsText" dxfId="55" priority="58" operator="containsText" text="&quot; &quot;">
      <formula>NOT(ISERROR(SEARCH(""" """,R54)))</formula>
    </cfRule>
  </conditionalFormatting>
  <conditionalFormatting sqref="K54:S54 L55:S55 M56:S56 N57:S57 O58:S58 P59:S59 Q60:S60 R61:S61 S62">
    <cfRule type="containsBlanks" dxfId="54" priority="57">
      <formula>LEN(TRIM(K54))=0</formula>
    </cfRule>
  </conditionalFormatting>
  <conditionalFormatting sqref="AD54:AE61">
    <cfRule type="containsText" dxfId="53" priority="56" operator="containsText" text="&quot; &quot;">
      <formula>NOT(ISERROR(SEARCH(""" """,AD54)))</formula>
    </cfRule>
  </conditionalFormatting>
  <conditionalFormatting sqref="W54:AE54 X55:AE55 Y56:AE56 Z57:AE57 AA58:AE58 AB59:AE59 AC60:AE60 AD61:AE61 AE62">
    <cfRule type="containsBlanks" dxfId="52" priority="55">
      <formula>LEN(TRIM(W54))=0</formula>
    </cfRule>
  </conditionalFormatting>
  <conditionalFormatting sqref="AP54:AQ61">
    <cfRule type="containsText" dxfId="51" priority="54" operator="containsText" text="&quot; &quot;">
      <formula>NOT(ISERROR(SEARCH(""" """,AP54)))</formula>
    </cfRule>
  </conditionalFormatting>
  <conditionalFormatting sqref="AI54:AQ54 AJ55:AQ55 AK56:AQ56 AL57:AQ57 AM58:AQ58 AN59:AQ59 AO60:AQ60 AP61:AQ61 AQ62">
    <cfRule type="containsBlanks" dxfId="50" priority="53">
      <formula>LEN(TRIM(AI54))=0</formula>
    </cfRule>
  </conditionalFormatting>
  <conditionalFormatting sqref="R66:S73">
    <cfRule type="containsText" dxfId="49" priority="52" operator="containsText" text="&quot; &quot;">
      <formula>NOT(ISERROR(SEARCH(""" """,R66)))</formula>
    </cfRule>
  </conditionalFormatting>
  <conditionalFormatting sqref="K66:S66 L67:S67 M68:S68 N69:S69 O70:S70 P71:S71 Q72:S72 R73:S73 S74">
    <cfRule type="containsBlanks" dxfId="48" priority="51">
      <formula>LEN(TRIM(K66))=0</formula>
    </cfRule>
  </conditionalFormatting>
  <conditionalFormatting sqref="AD66:AE73">
    <cfRule type="containsText" dxfId="47" priority="50" operator="containsText" text="&quot; &quot;">
      <formula>NOT(ISERROR(SEARCH(""" """,AD66)))</formula>
    </cfRule>
  </conditionalFormatting>
  <conditionalFormatting sqref="W66:AE66 X67:AE67 Y68:AE68 Z69:AE69 AA70:AE70 AB71:AE71 AC72:AE72 AD73:AE73 AE74">
    <cfRule type="containsBlanks" dxfId="46" priority="49">
      <formula>LEN(TRIM(W66))=0</formula>
    </cfRule>
  </conditionalFormatting>
  <conditionalFormatting sqref="R78:S85">
    <cfRule type="containsText" dxfId="45" priority="46" operator="containsText" text="&quot; &quot;">
      <formula>NOT(ISERROR(SEARCH(""" """,R78)))</formula>
    </cfRule>
  </conditionalFormatting>
  <conditionalFormatting sqref="K78:S78 L79:S79 M80:S80 N81:S81 O82:S82 P83:S83 Q84:S84 R85:S85 S86">
    <cfRule type="containsBlanks" dxfId="44" priority="45">
      <formula>LEN(TRIM(K78))=0</formula>
    </cfRule>
  </conditionalFormatting>
  <conditionalFormatting sqref="AD78:AE85">
    <cfRule type="containsText" dxfId="43" priority="44" operator="containsText" text="&quot; &quot;">
      <formula>NOT(ISERROR(SEARCH(""" """,AD78)))</formula>
    </cfRule>
  </conditionalFormatting>
  <conditionalFormatting sqref="W78:AE78 X79:AE79 Y80:AE80 Z81:AE81 AA82:AE82 AB83:AE83 AC84:AE84 AD85:AE85 AE86">
    <cfRule type="containsBlanks" dxfId="42" priority="43">
      <formula>LEN(TRIM(W78))=0</formula>
    </cfRule>
  </conditionalFormatting>
  <conditionalFormatting sqref="AP78:AQ85">
    <cfRule type="containsText" dxfId="41" priority="42" operator="containsText" text="&quot; &quot;">
      <formula>NOT(ISERROR(SEARCH(""" """,AP78)))</formula>
    </cfRule>
  </conditionalFormatting>
  <conditionalFormatting sqref="AI78:AQ78 AJ79:AQ79 AK80:AQ80 AL81:AQ81 AM82:AQ82 AN83:AQ83 AO84:AQ84 AP85:AQ85 AQ86">
    <cfRule type="containsBlanks" dxfId="40" priority="41">
      <formula>LEN(TRIM(AI78))=0</formula>
    </cfRule>
  </conditionalFormatting>
  <conditionalFormatting sqref="W126:AE126 X127:AE127 Y128:AE128 Z129:AE129 AA130:AE130 AB131:AE131 AC132:AE132 AD133:AE133 AE134">
    <cfRule type="containsBlanks" dxfId="39" priority="5">
      <formula>LEN(TRIM(W126))=0</formula>
    </cfRule>
  </conditionalFormatting>
  <conditionalFormatting sqref="AD126:AE133">
    <cfRule type="containsText" dxfId="38" priority="6" operator="containsText" text="&quot; &quot;">
      <formula>NOT(ISERROR(SEARCH(""" """,AD126)))</formula>
    </cfRule>
  </conditionalFormatting>
  <conditionalFormatting sqref="R6:S13">
    <cfRule type="containsText" dxfId="37" priority="40" operator="containsText" text="&quot; &quot;">
      <formula>NOT(ISERROR(SEARCH(""" """,R6)))</formula>
    </cfRule>
  </conditionalFormatting>
  <conditionalFormatting sqref="K6:S6 L7:S7 M8:S8 N9:S9 O10:S10 P11:S11 Q12:S12 R13:S13 S14">
    <cfRule type="containsBlanks" dxfId="36" priority="39">
      <formula>LEN(TRIM(K6))=0</formula>
    </cfRule>
  </conditionalFormatting>
  <conditionalFormatting sqref="AD6:AE13">
    <cfRule type="containsText" dxfId="35" priority="38" operator="containsText" text="&quot; &quot;">
      <formula>NOT(ISERROR(SEARCH(""" """,AD6)))</formula>
    </cfRule>
  </conditionalFormatting>
  <conditionalFormatting sqref="W6:AE6 X7:AE7 Y8:AE8 Z9:AE9 AA10:AE10 AB11:AE11 AC12:AE12 AD13:AE13 AE14">
    <cfRule type="containsBlanks" dxfId="34" priority="37">
      <formula>LEN(TRIM(W6))=0</formula>
    </cfRule>
  </conditionalFormatting>
  <conditionalFormatting sqref="AP6:AQ13">
    <cfRule type="containsText" dxfId="33" priority="36" operator="containsText" text="&quot; &quot;">
      <formula>NOT(ISERROR(SEARCH(""" """,AP6)))</formula>
    </cfRule>
  </conditionalFormatting>
  <conditionalFormatting sqref="AI6:AQ6 AJ7:AQ7 AK8:AQ8 AL9:AQ9 AM10:AQ10 AN11:AQ11 AO12:AQ12 AP13:AQ13 AQ14">
    <cfRule type="containsBlanks" dxfId="32" priority="35">
      <formula>LEN(TRIM(AI6))=0</formula>
    </cfRule>
  </conditionalFormatting>
  <conditionalFormatting sqref="R18:S25">
    <cfRule type="containsText" dxfId="31" priority="34" operator="containsText" text="&quot; &quot;">
      <formula>NOT(ISERROR(SEARCH(""" """,R18)))</formula>
    </cfRule>
  </conditionalFormatting>
  <conditionalFormatting sqref="K18:S18 L19:S19 M20:S20 N21:S21 O22:S22 P23:S23 Q24:S24 R25:S25 S26">
    <cfRule type="containsBlanks" dxfId="30" priority="33">
      <formula>LEN(TRIM(K18))=0</formula>
    </cfRule>
  </conditionalFormatting>
  <conditionalFormatting sqref="AD18:AE25">
    <cfRule type="containsText" dxfId="29" priority="32" operator="containsText" text="&quot; &quot;">
      <formula>NOT(ISERROR(SEARCH(""" """,AD18)))</formula>
    </cfRule>
  </conditionalFormatting>
  <conditionalFormatting sqref="W18:AE18 X19:AE19 Y20:AE20 Z21:AE21 AA22:AE22 AB23:AE23 AC24:AE24 AD25:AE25 AE26">
    <cfRule type="containsBlanks" dxfId="28" priority="31">
      <formula>LEN(TRIM(W18))=0</formula>
    </cfRule>
  </conditionalFormatting>
  <conditionalFormatting sqref="AP18:AQ25">
    <cfRule type="containsText" dxfId="27" priority="30" operator="containsText" text="&quot; &quot;">
      <formula>NOT(ISERROR(SEARCH(""" """,AP18)))</formula>
    </cfRule>
  </conditionalFormatting>
  <conditionalFormatting sqref="AI18:AQ18 AJ19:AQ19 AK20:AQ20 AL21:AQ21 AM22:AQ22 AN23:AQ23 AO24:AQ24 AP25:AQ25 AQ26">
    <cfRule type="containsBlanks" dxfId="26" priority="29">
      <formula>LEN(TRIM(AI18))=0</formula>
    </cfRule>
  </conditionalFormatting>
  <conditionalFormatting sqref="R90:S97">
    <cfRule type="containsText" dxfId="25" priority="28" operator="containsText" text="&quot; &quot;">
      <formula>NOT(ISERROR(SEARCH(""" """,R90)))</formula>
    </cfRule>
  </conditionalFormatting>
  <conditionalFormatting sqref="K90:S90 L91:S91 M92:S92 N93:S93 O94:S94 P95:S95 Q96:S96 R97:S97 S98">
    <cfRule type="containsBlanks" dxfId="24" priority="27">
      <formula>LEN(TRIM(K90))=0</formula>
    </cfRule>
  </conditionalFormatting>
  <conditionalFormatting sqref="AP90:AQ97">
    <cfRule type="containsText" dxfId="23" priority="26" operator="containsText" text="&quot; &quot;">
      <formula>NOT(ISERROR(SEARCH(""" """,AP90)))</formula>
    </cfRule>
  </conditionalFormatting>
  <conditionalFormatting sqref="AI90:AQ90 AJ91:AQ91 AK92:AQ92 AL93:AQ93 AM94:AQ94 AN95:AQ95 AO96:AQ96 AP97:AQ97 AQ98">
    <cfRule type="containsBlanks" dxfId="22" priority="25">
      <formula>LEN(TRIM(AI90))=0</formula>
    </cfRule>
  </conditionalFormatting>
  <conditionalFormatting sqref="AD90:AE97">
    <cfRule type="containsText" dxfId="21" priority="24" operator="containsText" text="&quot; &quot;">
      <formula>NOT(ISERROR(SEARCH(""" """,AD90)))</formula>
    </cfRule>
  </conditionalFormatting>
  <conditionalFormatting sqref="W90:AE90 X91:AE91 Y92:AE92 Z93:AE93 AA94:AE94 AB95:AE95 AC96:AE96 AD97:AE97 AE98">
    <cfRule type="containsBlanks" dxfId="20" priority="23">
      <formula>LEN(TRIM(W90))=0</formula>
    </cfRule>
  </conditionalFormatting>
  <conditionalFormatting sqref="R102:S109">
    <cfRule type="containsText" dxfId="19" priority="22" operator="containsText" text="&quot; &quot;">
      <formula>NOT(ISERROR(SEARCH(""" """,R102)))</formula>
    </cfRule>
  </conditionalFormatting>
  <conditionalFormatting sqref="K102:S102 L103:S103 M104:S104 N105:S105 O106:S106 P107:S107 Q108:S108 R109:S109 S110">
    <cfRule type="containsBlanks" dxfId="18" priority="21">
      <formula>LEN(TRIM(K102))=0</formula>
    </cfRule>
  </conditionalFormatting>
  <conditionalFormatting sqref="AP102:AQ109">
    <cfRule type="containsText" dxfId="17" priority="20" operator="containsText" text="&quot; &quot;">
      <formula>NOT(ISERROR(SEARCH(""" """,AP102)))</formula>
    </cfRule>
  </conditionalFormatting>
  <conditionalFormatting sqref="AI102:AQ102 AJ103:AQ103 AK104:AQ104 AL105:AQ105 AM106:AQ106 AN107:AQ107 AO108:AQ108 AP109:AQ109 AQ110">
    <cfRule type="containsBlanks" dxfId="16" priority="19">
      <formula>LEN(TRIM(AI102))=0</formula>
    </cfRule>
  </conditionalFormatting>
  <conditionalFormatting sqref="AD102:AE109">
    <cfRule type="containsText" dxfId="15" priority="18" operator="containsText" text="&quot; &quot;">
      <formula>NOT(ISERROR(SEARCH(""" """,AD102)))</formula>
    </cfRule>
  </conditionalFormatting>
  <conditionalFormatting sqref="W102:AE102 X103:AE103 Y104:AE104 Z105:AE105 AA106:AE106 AB107:AE107 AC108:AE108 AD109:AE109 AE110">
    <cfRule type="containsBlanks" dxfId="14" priority="17">
      <formula>LEN(TRIM(W102))=0</formula>
    </cfRule>
  </conditionalFormatting>
  <conditionalFormatting sqref="R114:S121">
    <cfRule type="containsText" dxfId="13" priority="16" operator="containsText" text="&quot; &quot;">
      <formula>NOT(ISERROR(SEARCH(""" """,R114)))</formula>
    </cfRule>
  </conditionalFormatting>
  <conditionalFormatting sqref="K114:S114 L115:S115 M116:S116 N117:S117 O118:S118 P119:S119 Q120:S120 R121:S121 S122">
    <cfRule type="containsBlanks" dxfId="12" priority="15">
      <formula>LEN(TRIM(K114))=0</formula>
    </cfRule>
  </conditionalFormatting>
  <conditionalFormatting sqref="AP114:AQ121">
    <cfRule type="containsText" dxfId="11" priority="14" operator="containsText" text="&quot; &quot;">
      <formula>NOT(ISERROR(SEARCH(""" """,AP114)))</formula>
    </cfRule>
  </conditionalFormatting>
  <conditionalFormatting sqref="AI114:AQ114 AJ115:AQ115 AK116:AQ116 AL117:AQ117 AM118:AQ118 AN119:AQ119 AO120:AQ120 AP121:AQ121 AQ122">
    <cfRule type="containsBlanks" dxfId="10" priority="13">
      <formula>LEN(TRIM(AI114))=0</formula>
    </cfRule>
  </conditionalFormatting>
  <conditionalFormatting sqref="AD114:AE121">
    <cfRule type="containsText" dxfId="9" priority="12" operator="containsText" text="&quot; &quot;">
      <formula>NOT(ISERROR(SEARCH(""" """,AD114)))</formula>
    </cfRule>
  </conditionalFormatting>
  <conditionalFormatting sqref="W114:AE114 X115:AE115 Y116:AE116 Z117:AE117 AA118:AE118 AB119:AE119 AC120:AE120 AD121:AE121 AE122">
    <cfRule type="containsBlanks" dxfId="8" priority="11">
      <formula>LEN(TRIM(W114))=0</formula>
    </cfRule>
  </conditionalFormatting>
  <conditionalFormatting sqref="R126:S133">
    <cfRule type="containsText" dxfId="7" priority="10" operator="containsText" text="&quot; &quot;">
      <formula>NOT(ISERROR(SEARCH(""" """,R126)))</formula>
    </cfRule>
  </conditionalFormatting>
  <conditionalFormatting sqref="K126:S126 L127:S127 M128:S128 N129:S129 O130:S130 P131:S131 Q132:S132 R133:S133 S134">
    <cfRule type="containsBlanks" dxfId="6" priority="9">
      <formula>LEN(TRIM(K126))=0</formula>
    </cfRule>
  </conditionalFormatting>
  <conditionalFormatting sqref="AP126:AQ133">
    <cfRule type="containsText" dxfId="5" priority="8" operator="containsText" text="&quot; &quot;">
      <formula>NOT(ISERROR(SEARCH(""" """,AP126)))</formula>
    </cfRule>
  </conditionalFormatting>
  <conditionalFormatting sqref="AI126:AQ126 AJ127:AQ127 AK128:AQ128 AL129:AQ129 AM130:AQ130 AN131:AQ131 AO132:AQ132 AP133:AQ133 AQ134">
    <cfRule type="containsBlanks" dxfId="4" priority="7">
      <formula>LEN(TRIM(AI126))=0</formula>
    </cfRule>
  </conditionalFormatting>
  <conditionalFormatting sqref="AD30:AE37">
    <cfRule type="containsText" dxfId="3" priority="4" operator="containsText" text="&quot; &quot;">
      <formula>NOT(ISERROR(SEARCH(""" """,AD30)))</formula>
    </cfRule>
  </conditionalFormatting>
  <conditionalFormatting sqref="W30:AE30 X31:AE31 Y32:AE32 Z33:AE33 AA34:AE34 AB35:AE35 AC36:AE36 AD37:AE37 AE38">
    <cfRule type="containsBlanks" dxfId="2" priority="3">
      <formula>LEN(TRIM(W30))=0</formula>
    </cfRule>
  </conditionalFormatting>
  <conditionalFormatting sqref="AP66:AQ73">
    <cfRule type="containsText" dxfId="1" priority="2" operator="containsText" text="&quot; &quot;">
      <formula>NOT(ISERROR(SEARCH(""" """,AP66)))</formula>
    </cfRule>
  </conditionalFormatting>
  <conditionalFormatting sqref="AI66:AQ66 AJ67:AQ67 AK68:AQ68 AL69:AQ69 AM70:AQ70 AN71:AQ71 AO72:AQ72 AP73:AQ73 AQ74">
    <cfRule type="containsBlanks" dxfId="0" priority="1">
      <formula>LEN(TRIM(AI66))=0</formula>
    </cfRule>
  </conditionalFormatting>
  <dataValidations disablePrompts="1" count="44">
    <dataValidation type="list" allowBlank="1" showInputMessage="1" showErrorMessage="1" sqref="AI126 AI114 AI102 AI78 K78 AI66 K18 AI18 K54 AI6 AI54 AI42 W42 K6 W126 W78 W114 W102 W90 W30 AI30 W6 W18 W54 W66 K126 K102 K114 AI90 K90 K66 K30 K42" xr:uid="{00000000-0002-0000-0100-000000000000}">
      <formula1>AB</formula1>
    </dataValidation>
    <dataValidation type="list" allowBlank="1" showInputMessage="1" showErrorMessage="1" sqref="AK128 AK116 AK104 AK80 M80 AK68 M20 AK20 AK56 AK8 AK44 Y44 M8 Y128 Y80 Y116 Y104 Y92 Y56 Y32 Y20 Y68 AK32 M128 M104 M116 AK92 M92 M68 M32 M44 M56 Y8" xr:uid="{00000000-0002-0000-0100-000001000000}">
      <formula1>CD</formula1>
    </dataValidation>
    <dataValidation type="list" allowBlank="1" showInputMessage="1" showErrorMessage="1" sqref="AL128 AL116 AL104 AL80 N80 AL68 N20 AL20 AL56 AL8 AL44 Z44 N8 Z128 Z80 Z116 Z104 Z92 Z56 Z8 Z32 Z20 Z68 AL32 N128 N104 N116 AL92 N92 N68 N32 N44 N56" xr:uid="{00000000-0002-0000-0100-000002000000}">
      <formula1>CE</formula1>
    </dataValidation>
    <dataValidation type="list" allowBlank="1" showInputMessage="1" showErrorMessage="1" sqref="AL129 AL117 AL105 AL81 N81 AL69 N21 AL21 AL57 AL9 AL45 Z45 N9 Z129 Z81 Z117 Z105 Z93 Z57 Z9 Z33 Z21 Z69 AL33 N129 N105 N117 AL93 N93 N69 N33 N45 N57" xr:uid="{00000000-0002-0000-0100-000003000000}">
      <formula1>DE</formula1>
    </dataValidation>
    <dataValidation type="list" allowBlank="1" showInputMessage="1" showErrorMessage="1" sqref="AN127 AN115 AN103 AN79 P79 AN67 P19 AN19 AN55 AN7 AN43 AB43 P7 AB127 AB115 AB103 AB91 AB55 AB7 AB31 AB19 AB67 AB79 P127 P103 P115 AN91 P91 P67 P31 AN31 P43 P55" xr:uid="{00000000-0002-0000-0100-000004000000}">
      <formula1>BG</formula1>
    </dataValidation>
    <dataValidation type="list" allowBlank="1" showInputMessage="1" showErrorMessage="1" sqref="AO127 AO115 AO103 AO79 Q79 AO67 Q19 AO19 AO55 AO7 AO43 AC43 Q7 AC127 AC115 AC103 AC91 AC55 AC31 AC19 AC67 AC79 Q127 Q103 Q115 AO91 Q91 Q67 Q31 AO31 Q43 Q55 AC7" xr:uid="{00000000-0002-0000-0100-000005000000}">
      <formula1>BH</formula1>
    </dataValidation>
    <dataValidation type="list" allowBlank="1" showInputMessage="1" showErrorMessage="1" sqref="AP127 AP115 AP103 AP79 R79 AP67 R19 AP19 AP55 AP7 AP43 AD43 R7 AD127 AD115 AD103 AD91 AD55 AD7 AD31 AD19 AD67 AD79 R127 R103 R115 AP91 R91 R67 R31 AP31 R43 R55" xr:uid="{00000000-0002-0000-0100-000006000000}">
      <formula1>BI</formula1>
    </dataValidation>
    <dataValidation type="list" allowBlank="1" showInputMessage="1" showErrorMessage="1" sqref="AQ127 AQ115 AQ103 AQ79 S79 AQ67 S19 AQ19 AQ55 AQ7 AQ43 AQ31 AE43 S7 AE127 AE115 AE103 AE91 AE55 AE7 AE31 AE19 AE67 AE79 S127 S103 S115 AQ91 S91 S67 S31 S43 S55" xr:uid="{00000000-0002-0000-0100-000007000000}">
      <formula1>BL</formula1>
    </dataValidation>
    <dataValidation type="list" allowBlank="1" showInputMessage="1" showErrorMessage="1" sqref="AM128 AM116 AM104 AM80 O80 AM68 O20 AM20 AM56 AM8 AM44 AA44 O8 AA128 AA116 AA104 AA92 AA56 AA8 AA32 AA20 AA68 AA80 O128 O104 O116 AM92 O92 O68 O32 AM32 O44 O56" xr:uid="{00000000-0002-0000-0100-000008000000}">
      <formula1>CF</formula1>
    </dataValidation>
    <dataValidation type="list" allowBlank="1" showInputMessage="1" showErrorMessage="1" sqref="AN128 AN116 AN104 AN80 P80 AN68 P20 AN20 AN56 AN8 AN44 AB44 P8 AB128 AB116 AB104 AB92 AB56 AB32 AB20 AB68 AB80 P128 P104 P116 AN92 P92 P68 P32 AN32 P44 P56 AB8" xr:uid="{00000000-0002-0000-0100-000009000000}">
      <formula1>CG</formula1>
    </dataValidation>
    <dataValidation type="list" allowBlank="1" showInputMessage="1" showErrorMessage="1" sqref="AO128 AO116 AO104 AO80 Q80 AO68 Q20 AO20 AO56 AO8 AO44 AC44 Q8 AC128 AC116 AC104 AC92 AC56 AC8 AC32 AC20 AC68 AC80 Q128 Q104 Q116 AO92 Q92 Q68 Q32 AO32 Q44 Q56" xr:uid="{00000000-0002-0000-0100-00000A000000}">
      <formula1>CH</formula1>
    </dataValidation>
    <dataValidation type="list" allowBlank="1" showInputMessage="1" showErrorMessage="1" sqref="AP128 AP116 AP104 AP80 R80 AP68 R20 AP20 AP56 AP8 AP44 AD44 R8 AD128 AD116 AD104 AD92 AD56 AD8 AD32 AD20 AD68 AD80 R128 R104 R116 AP92 R92 R68 R32 AP32 R44 R56" xr:uid="{00000000-0002-0000-0100-00000B000000}">
      <formula1>CI</formula1>
    </dataValidation>
    <dataValidation type="list" allowBlank="1" showInputMessage="1" showErrorMessage="1" sqref="AQ128 AQ116 AQ104 AQ80 S80 AQ68 S20 AQ20 AQ56 AQ8 AQ44 AQ32 AE44 S8 AE128 AE116 AE104 AE92 AE56 AE8 AE32 AE20 AE68 AE80 S128 S104 S116 AQ92 S92 S68 S32 S44 S56" xr:uid="{00000000-0002-0000-0100-00000C000000}">
      <formula1>CL</formula1>
    </dataValidation>
    <dataValidation type="list" allowBlank="1" showInputMessage="1" showErrorMessage="1" sqref="AM129 AM117 AM105 AM81 O81 AM69 O21 AM21 AM57 AM9 AM45 AA45 O9 AA129 AA117 AA105 AA93 AA57 AA9 AA33 AA21 AA69 AA81 O129 O105 O117 AM93 O93 O69 O33 AM33 O45 O57" xr:uid="{00000000-0002-0000-0100-00000D000000}">
      <formula1>DF</formula1>
    </dataValidation>
    <dataValidation type="list" allowBlank="1" showInputMessage="1" showErrorMessage="1" sqref="AN129 AN117 AN105 AN81 P81 AN69 P21 AN21 AN57 AN9 AN45 AB45 P9 AB129 AB117 AB105 AB93 AB57 AB9 AB33 AB21 AB69 AB81 P129 P105 P117 AN93 P93 P69 P33 AN33 P45 P57" xr:uid="{00000000-0002-0000-0100-00000E000000}">
      <formula1>DG</formula1>
    </dataValidation>
    <dataValidation type="list" allowBlank="1" showInputMessage="1" showErrorMessage="1" sqref="AO129 AO117 AO105 AO81 Q81 AO69 Q21 AO21 AO57 AO9 AO45 AC45 Q9 AC129 AC117 AC105 AC93 AC57 AC9 AC33 AC21 AC69 AC81 Q129 Q105 Q117 AO93 Q93 Q69 Q33 AO33 Q45 Q57" xr:uid="{00000000-0002-0000-0100-00000F000000}">
      <formula1>DH</formula1>
    </dataValidation>
    <dataValidation type="list" allowBlank="1" showInputMessage="1" showErrorMessage="1" sqref="AP129 AP117 AP105 AP81 R81 AP69 R21 AP21 AP57 AP9 AP45 AD45 R9 AD129 AD117 AD105 AD93 AD57 AD9 AD33 AD21 AD69 AD81 R129 R105 R117 AP93 R93 R69 R33 AP33 R45 R57" xr:uid="{00000000-0002-0000-0100-000010000000}">
      <formula1>DI</formula1>
    </dataValidation>
    <dataValidation type="list" allowBlank="1" showInputMessage="1" showErrorMessage="1" sqref="AQ129 AQ117 AQ105 AQ81 S81 AQ69 S21 AQ21 AQ57 AQ9 AQ45 AQ33 AE45 S9 AE129 AE117 AE105 AE93 AE57 AE9 AE33 AE21 AE69 AE81 S129 S105 S117 AQ93 S93 S69 S33 S45 S57" xr:uid="{00000000-0002-0000-0100-000011000000}">
      <formula1>DL</formula1>
    </dataValidation>
    <dataValidation type="list" allowBlank="1" showInputMessage="1" showErrorMessage="1" sqref="AM130 AM118 AM106 AM82 O82 AM70 O22 AM22 AM58 AM10 AM46 AA46 O10 AA130 AA118 AA106 AA94 AA58 AA10 AA34 AA22 AA70 AA82 O130 O106 O118 AM94 O94 O70 O34 AM34 O46 O58" xr:uid="{00000000-0002-0000-0100-000012000000}">
      <formula1>EF</formula1>
    </dataValidation>
    <dataValidation type="list" allowBlank="1" showInputMessage="1" showErrorMessage="1" sqref="AN130 AN118 AN106 AN82 P82 AN70 P22 AN22 AN58 AN10 AN46 AB46 P10 AB130 AB118 AB106 AB94 AB58 AB10 AB34 AB22 AB70 AB82 P130 P106 P118 AN94 P94 P70 P34 AN34 P46 P58" xr:uid="{00000000-0002-0000-0100-000013000000}">
      <formula1>EG</formula1>
    </dataValidation>
    <dataValidation type="list" allowBlank="1" showInputMessage="1" showErrorMessage="1" sqref="AO130 AO118 AO106 AO82 Q82 AO70 Q22 AO22 AO58 AO10 AO46 AC46 Q10 AC130 AC118 AC106 AC94 AC58 AC10 AC34 AC22 AC70 AC82 Q130 Q106 Q118 AO94 Q94 Q70 Q34 AO34 Q46 Q58" xr:uid="{00000000-0002-0000-0100-000014000000}">
      <formula1>EH</formula1>
    </dataValidation>
    <dataValidation type="list" allowBlank="1" showInputMessage="1" showErrorMessage="1" sqref="AP130 AP118 AP106 AP82 R82 AP70 R22 AP22 AP58 AP10 AP46 AD46 R10 AD130 AD118 AD106 AD94 AD58 AD10 AD34 AD22 AD70 AD82 R130 R106 R118 AP94 R94 R70 R34 AP34 R46 R58" xr:uid="{00000000-0002-0000-0100-000015000000}">
      <formula1>EI</formula1>
    </dataValidation>
    <dataValidation type="list" allowBlank="1" showInputMessage="1" showErrorMessage="1" sqref="AQ130 AQ118 AQ106 AQ82 S82 AQ70 S22 AQ22 AQ58 AQ10 AQ46 AQ34 AE46 S10 AE130 AE118 AE106 AE94 AE58 AE10 AE34 AE22 AE70 AE82 S130 S106 S118 AQ94 S94 S70 S34 S46 S58" xr:uid="{00000000-0002-0000-0100-000016000000}">
      <formula1>EL</formula1>
    </dataValidation>
    <dataValidation type="list" allowBlank="1" showInputMessage="1" showErrorMessage="1" sqref="AN131 AN119 AN107 AN83 P83 AN71 P23 AN23 AN59 AN11 AN47 AB47 P11 AB131 AB119 AB107 AB95 AB59 AB11 AB35 AB23 AB71 AB83 P131 P107 P119 AN95 P95 P71 P35 AN35 P47 P59" xr:uid="{00000000-0002-0000-0100-000017000000}">
      <formula1>FG</formula1>
    </dataValidation>
    <dataValidation type="list" allowBlank="1" showInputMessage="1" showErrorMessage="1" sqref="AO131 AO119 AO107 AO83 Q83 AO71 Q23 AO23 AO59 AO11 AO47 AC47 Q11 AC131 AC119 AC107 AC95 AC59 AC11 AC35 AC23 AC71 AC83 Q131 Q107 Q119 AO95 Q95 Q71 Q35 AO35 Q47 Q59" xr:uid="{00000000-0002-0000-0100-000018000000}">
      <formula1>FH</formula1>
    </dataValidation>
    <dataValidation type="list" allowBlank="1" showInputMessage="1" showErrorMessage="1" sqref="AP131 AP119 AP107 AP83 R83 AP71 R23 AP23 AP59 AP11 AP47 AD47 R11 AD131 AD119 AD107 AD95 AD59 AD11 AD35 AD23 AD71 AD83 R131 R107 R119 AP95 R95 R71 R35 AP35 R47 R59" xr:uid="{00000000-0002-0000-0100-000019000000}">
      <formula1>FI</formula1>
    </dataValidation>
    <dataValidation type="list" allowBlank="1" showInputMessage="1" showErrorMessage="1" sqref="AQ131 AQ119 AQ107 AQ83 S83 AQ71 S23 AQ23 AQ59 AQ11 AQ47 AQ35 AE47 S11 AE131 AE119 AE107 AE95 AE59 AE11 AE35 AE23 AE71 AE83 S131 S107 S119 AQ95 S95 S71 S35 S47 S59" xr:uid="{00000000-0002-0000-0100-00001A000000}">
      <formula1>FL</formula1>
    </dataValidation>
    <dataValidation type="list" allowBlank="1" showInputMessage="1" showErrorMessage="1" sqref="AO132 AO120 AO108 AO84 Q84 AO72 Q24 AO24 AO60 AO12 AO48 AC48 Q12 AC132 AC120 AC108 AC96 AC60 AC12 AC36 AC24 AC72 AC84 Q132 Q108 Q120 AO96 Q96 Q72 Q36 AO36 Q48 Q60" xr:uid="{00000000-0002-0000-0100-00001B000000}">
      <formula1>GH</formula1>
    </dataValidation>
    <dataValidation type="list" allowBlank="1" showInputMessage="1" showErrorMessage="1" sqref="AP132 AP120 AP108 AP84 R84 AP72 R24 AP24 AP60 AP12 AP48 AD48 R12 AD132 AD120 AD108 AD96 AD60 AD12 AD36 AD24 AD72 AD84 R132 R108 R120 AP96 R96 R72 R36 AP36 R48 R60" xr:uid="{00000000-0002-0000-0100-00001C000000}">
      <formula1>GI</formula1>
    </dataValidation>
    <dataValidation type="list" allowBlank="1" showInputMessage="1" showErrorMessage="1" sqref="AQ132 AQ120 AQ108 AQ84 S84 AQ72 S24 AQ24 AQ60 AQ12 AQ48 AE48 S12 AE132 AE120 AE108 AE96 AE60 AE12 AE36 AE24 AE72 AE84 S132 S108 S120 AQ96 S96 S72 S36 AQ36 S48 S60" xr:uid="{00000000-0002-0000-0100-00001D000000}">
      <formula1>GL</formula1>
    </dataValidation>
    <dataValidation type="list" allowBlank="1" showInputMessage="1" showErrorMessage="1" sqref="AP133 AP121 AP109 AP85 R85 AP73 R25 AP25 AP61 AP13 AP49 AD49 R13 AD133 AD121 AD109 AD97 AD61 AD13 AD37 AD25 AD73 AD85 R133 R109 R121 AP97 R97 R73 R37 AP37 R49 R61" xr:uid="{00000000-0002-0000-0100-00001E000000}">
      <formula1>HI</formula1>
    </dataValidation>
    <dataValidation type="list" allowBlank="1" showInputMessage="1" showErrorMessage="1" sqref="AQ133 AQ121 AQ109 AQ85 S85 AQ73 S25 AQ25 AQ61 AQ13 AQ49 AE49 S13 AE133 AE121 AE109 AE97 AE61 AE13 AE37 AE25 AE73 AE85 S133 S109 S121 AQ97 S97 S73 S37 AQ37 S49 S61" xr:uid="{00000000-0002-0000-0100-00001F000000}">
      <formula1>HL</formula1>
    </dataValidation>
    <dataValidation type="list" allowBlank="1" showInputMessage="1" showErrorMessage="1" sqref="AK54 AK18 M18 AK66 M78 AK78 AK102 AK114 AK126 AK6 AK42 Y42 M6 Y6 AK30 Y30 Y90 Y102 Y114 Y78 Y126 Y18 Y54 Y66 M126 M30 M66 M90 AK90 M114 M102 M42 M54" xr:uid="{00000000-0002-0000-0100-000020000000}">
      <formula1>AD</formula1>
    </dataValidation>
    <dataValidation type="list" allowBlank="1" showInputMessage="1" showErrorMessage="1" sqref="AJ55 AJ19 L19 AJ67 L79 AJ79 AJ103 AJ115 AJ127 AJ7 AJ43 X43 L7 X31 X7 X55 X91 X103 X115 X79 X127 X19 X67 AJ31 L127 L31 L67 L91 AJ91 L115 L103 L43 L55" xr:uid="{00000000-0002-0000-0100-000021000000}">
      <formula1>BC</formula1>
    </dataValidation>
    <dataValidation type="list" allowBlank="1" showInputMessage="1" showErrorMessage="1" sqref="AK55 AK19 M19 AK67 M79 AK79 AK103 AK115 AK127 AK7 AK43 Y43 M7 Y31 Y7 Y55 Y91 Y103 Y115 Y79 Y127 Y19 Y67 AK31 M127 M31 M67 M91 AK91 M115 M103 M43 M55" xr:uid="{00000000-0002-0000-0100-000022000000}">
      <formula1>BD</formula1>
    </dataValidation>
    <dataValidation type="list" allowBlank="1" showInputMessage="1" showErrorMessage="1" sqref="AL55 AL19 N19 AL67 N79 AL79 AL103 AL115 AL127 AL7 AL43 Z43 N7 Z31 Z7 Z55 Z91 Z103 Z115 Z79 Z127 Z19 Z67 AL31 N127 N31 N67 N91 AL91 N115 N103 N43 N55" xr:uid="{00000000-0002-0000-0100-000023000000}">
      <formula1>BE</formula1>
    </dataValidation>
    <dataValidation type="list" allowBlank="1" showInputMessage="1" showErrorMessage="1" sqref="AL54 AL18 N18 AL66 N78 AL78 AL102 AL114 AL126 AL6 AL42 Z42 N6 Z6 AL30 Z30 Z90 Z102 Z114 Z78 Z126 Z18 Z54 Z66 N126 N30 N66 N90 AL90 N114 N102 N42 N54" xr:uid="{00000000-0002-0000-0100-000024000000}">
      <formula1>AE</formula1>
    </dataValidation>
    <dataValidation type="list" allowBlank="1" showInputMessage="1" showErrorMessage="1" sqref="AM54 AM18 O18 AM66 O78 AM78 AM102 AM114 AM126 AM6 AM42 AA42 O6 AA6 AM30 AA30 AA78 AA90 AA102 AA114 AA126 AA18 AA54 AA66 O126 O30 O66 O90 AM90 O114 O102 O42 O54" xr:uid="{00000000-0002-0000-0100-000025000000}">
      <formula1>AF</formula1>
    </dataValidation>
    <dataValidation type="list" allowBlank="1" showInputMessage="1" showErrorMessage="1" sqref="AN54 AN18 P18 AN66 P78 AN78 AN102 AN114 AN126 AN6 AN42 AB42 P6 AB6 AN30 AB30 AB78 AB90 AB102 AB114 AB126 AB18 AB54 AB66 P126 P30 P66 P90 AN90 P114 P102 P42 P54" xr:uid="{00000000-0002-0000-0100-000026000000}">
      <formula1>AG</formula1>
    </dataValidation>
    <dataValidation type="list" allowBlank="1" showInputMessage="1" showErrorMessage="1" sqref="AO54 AO18 Q18 AO66 Q78 AO78 AO102 AO114 AO126 AO6 AO42 AC42 Q6 AC6 AO30 AC30 AC78 AC90 AC102 AC114 AC126 AC18 AC54 AC66 Q126 Q30 Q66 Q90 AO90 Q114 Q102 Q42 Q54" xr:uid="{00000000-0002-0000-0100-000027000000}">
      <formula1>AH</formula1>
    </dataValidation>
    <dataValidation type="list" allowBlank="1" showInputMessage="1" showErrorMessage="1" sqref="AP54 AP18 R18 AP66 R78 AP78 AP102 AP114 AP126 AP6 AP42 AD42 R6 AD6 AP30 AD30 AD78 AD90 AD102 AD114 AD126 AD18 AD54 AD66 R126 R30 R66 R90 AP90 R114 R102 R42 R54" xr:uid="{00000000-0002-0000-0100-000028000000}">
      <formula1>AI</formula1>
    </dataValidation>
    <dataValidation type="list" allowBlank="1" showInputMessage="1" showErrorMessage="1" sqref="AQ54 AQ18 S18 AQ66 S78 AQ78 AQ102 AQ114 AQ126 AQ6 AQ42 AE42 S6 AQ30 AE30 AE78 AE90 AE102 AE114 AE126 AE18 AE54 AE66 S126 S30 S66 S90 AQ90 S114 S102 S42 S54 AE6" xr:uid="{00000000-0002-0000-0100-000029000000}">
      <formula1>AL</formula1>
    </dataValidation>
    <dataValidation type="list" allowBlank="1" showInputMessage="1" showErrorMessage="1" sqref="AM55 AM19 O19 AM67 O79 AM79 AM103 AM115 AM127 AM7 AM43 AA43 O7 AA31 AA7 AA55 AA91 AA103 AA115 AA127 AA19 AA67 AA79 O127 AM31 O31 O67 O91 AM91 O115 O103 O43 O55" xr:uid="{00000000-0002-0000-0100-00002A000000}">
      <formula1>BF</formula1>
    </dataValidation>
    <dataValidation type="list" allowBlank="1" showInputMessage="1" showErrorMessage="1" sqref="AJ18 AJ6 AJ54 L18 AJ66 L78 AJ78 AJ102 AJ114 AJ126 AJ42 X42 L6 AJ30 X18 X6 X30 X90 X102 X114 X78 X126 X54 X66 L126 L42 L30 L66 L90 AJ90 L114 L102 L54" xr:uid="{00000000-0002-0000-0100-00002B000000}">
      <formula1>AC</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2C000000}">
          <x14:formula1>
            <xm:f>SUPPORTO_punti!$XFB$1:$XFB$12</xm:f>
          </x14:formula1>
          <xm:sqref>S14 AE14 AQ14 S26 AE26 AQ26 S38 AE38 AQ38 S50 AE50 AQ50 S62 AE62 AQ62 S74 AE74 AQ74 S86 AE86 AQ86 S98 AE98 AQ98 S110 AE110 AQ110 S122 AE122 AQ122 S134 AE134 AQ134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3"/>
  <dimension ref="A1:XFB166"/>
  <sheetViews>
    <sheetView workbookViewId="0">
      <selection activeCell="D113" sqref="D113"/>
    </sheetView>
  </sheetViews>
  <sheetFormatPr baseColWidth="10" defaultColWidth="8.83203125" defaultRowHeight="15" x14ac:dyDescent="0.2"/>
  <cols>
    <col min="1" max="1" width="6.1640625" style="7" customWidth="1"/>
    <col min="2" max="3" width="5.83203125" style="7" customWidth="1"/>
    <col min="4" max="4" width="5.83203125" customWidth="1"/>
    <col min="5" max="5" width="6.33203125" customWidth="1"/>
    <col min="6" max="6" width="6.33203125" style="79" customWidth="1"/>
    <col min="7" max="7" width="6.33203125" style="9" customWidth="1"/>
    <col min="8" max="8" width="6.33203125" style="87" customWidth="1"/>
    <col min="9" max="9" width="6.33203125" style="6" customWidth="1"/>
    <col min="10" max="10" width="6.33203125" style="87" customWidth="1"/>
    <col min="11" max="11" width="6.33203125" style="6" customWidth="1"/>
    <col min="12" max="12" width="6.33203125" style="87" customWidth="1"/>
    <col min="13" max="13" width="6.33203125" style="6" customWidth="1"/>
    <col min="14" max="14" width="6.33203125" style="87" customWidth="1"/>
    <col min="15" max="15" width="6.33203125" style="6" customWidth="1"/>
    <col min="16" max="16" width="6.33203125" style="87" customWidth="1"/>
    <col min="17" max="17" width="6.33203125" style="6" customWidth="1"/>
    <col min="18" max="18" width="6.33203125" style="87" customWidth="1"/>
    <col min="19" max="19" width="6.33203125" style="6" customWidth="1"/>
    <col min="20" max="20" width="6.33203125" style="87" customWidth="1"/>
    <col min="21" max="21" width="6.33203125" style="6" customWidth="1"/>
    <col min="22" max="22" width="6.33203125" style="87" customWidth="1"/>
    <col min="23" max="23" width="6.33203125" style="6" customWidth="1"/>
    <col min="24" max="24" width="6.33203125" style="87" customWidth="1"/>
    <col min="25" max="25" width="6.33203125" style="6" customWidth="1"/>
    <col min="26" max="26" width="6.33203125" style="99" customWidth="1"/>
    <col min="27" max="27" width="6.33203125" style="6" customWidth="1"/>
    <col min="28" max="28" width="6.33203125" style="99" customWidth="1"/>
    <col min="29" max="29" width="6.33203125" style="6" customWidth="1"/>
    <col min="30" max="30" width="6.33203125" style="99" customWidth="1"/>
    <col min="31" max="31" width="6.33203125" style="6" customWidth="1"/>
    <col min="32" max="32" width="6.33203125" style="99" customWidth="1"/>
    <col min="33" max="33" width="6.33203125" style="6" customWidth="1"/>
    <col min="34" max="34" width="6.33203125" style="99" customWidth="1"/>
    <col min="35" max="35" width="6.33203125" style="6" customWidth="1"/>
    <col min="36" max="36" width="6.33203125" style="99" customWidth="1"/>
    <col min="37" max="37" width="6.33203125" style="6" customWidth="1"/>
    <col min="38" max="38" width="6.33203125" style="100" customWidth="1"/>
    <col min="39" max="39" width="6.33203125" style="6" customWidth="1"/>
    <col min="40" max="40" width="6.33203125" style="99" customWidth="1"/>
    <col min="41" max="41" width="6.33203125" style="6" customWidth="1"/>
    <col min="42" max="42" width="6.33203125" style="99" customWidth="1"/>
    <col min="43" max="43" width="6.33203125" style="6" customWidth="1"/>
    <col min="44" max="44" width="6.33203125" style="99" customWidth="1"/>
    <col min="45" max="65" width="6.83203125" style="6" customWidth="1"/>
  </cols>
  <sheetData>
    <row r="1" spans="1:44 16327:16382" x14ac:dyDescent="0.2">
      <c r="A1" s="46"/>
      <c r="B1" s="46" t="s">
        <v>55</v>
      </c>
      <c r="C1" s="46" t="s">
        <v>56</v>
      </c>
      <c r="D1" s="46" t="s">
        <v>137</v>
      </c>
      <c r="E1" s="47" t="s">
        <v>57</v>
      </c>
      <c r="F1" s="71" t="s">
        <v>58</v>
      </c>
      <c r="G1" s="47" t="s">
        <v>59</v>
      </c>
      <c r="H1" s="71" t="s">
        <v>60</v>
      </c>
      <c r="I1" s="47" t="s">
        <v>140</v>
      </c>
      <c r="J1" s="71" t="s">
        <v>141</v>
      </c>
      <c r="K1" s="47" t="s">
        <v>142</v>
      </c>
      <c r="L1" s="71" t="s">
        <v>143</v>
      </c>
      <c r="M1" s="47" t="s">
        <v>144</v>
      </c>
      <c r="N1" s="71" t="s">
        <v>145</v>
      </c>
      <c r="O1" s="47" t="s">
        <v>146</v>
      </c>
      <c r="P1" s="71" t="s">
        <v>147</v>
      </c>
      <c r="Q1" s="47" t="s">
        <v>148</v>
      </c>
      <c r="R1" s="71" t="s">
        <v>149</v>
      </c>
      <c r="S1" s="48" t="s">
        <v>61</v>
      </c>
      <c r="T1" s="88" t="s">
        <v>62</v>
      </c>
      <c r="U1" s="48" t="s">
        <v>63</v>
      </c>
      <c r="V1" s="88" t="s">
        <v>64</v>
      </c>
      <c r="W1" s="48" t="s">
        <v>65</v>
      </c>
      <c r="X1" s="88" t="s">
        <v>66</v>
      </c>
      <c r="Y1" s="48" t="s">
        <v>67</v>
      </c>
      <c r="Z1" s="89" t="s">
        <v>68</v>
      </c>
      <c r="AA1" s="48" t="s">
        <v>69</v>
      </c>
      <c r="AB1" s="89" t="s">
        <v>70</v>
      </c>
      <c r="AC1" s="48" t="s">
        <v>71</v>
      </c>
      <c r="AD1" s="89" t="s">
        <v>72</v>
      </c>
      <c r="AE1" s="48" t="s">
        <v>73</v>
      </c>
      <c r="AF1" s="89" t="s">
        <v>74</v>
      </c>
      <c r="AG1" s="48" t="s">
        <v>75</v>
      </c>
      <c r="AH1" s="89" t="s">
        <v>76</v>
      </c>
      <c r="AI1" s="48" t="s">
        <v>77</v>
      </c>
      <c r="AJ1" s="89" t="s">
        <v>78</v>
      </c>
      <c r="AK1" s="48" t="s">
        <v>79</v>
      </c>
      <c r="AL1" s="89" t="s">
        <v>80</v>
      </c>
      <c r="AM1" s="48" t="s">
        <v>81</v>
      </c>
      <c r="AN1" s="89" t="s">
        <v>82</v>
      </c>
      <c r="AO1" s="46" t="s">
        <v>83</v>
      </c>
      <c r="AP1" s="101" t="s">
        <v>84</v>
      </c>
      <c r="AQ1" s="46" t="s">
        <v>85</v>
      </c>
      <c r="AR1" s="101" t="s">
        <v>86</v>
      </c>
      <c r="XCY1" s="7">
        <v>1</v>
      </c>
      <c r="XCZ1" s="7">
        <v>1</v>
      </c>
      <c r="XDA1" s="7">
        <v>1</v>
      </c>
      <c r="XDB1" s="7">
        <v>1</v>
      </c>
      <c r="XDC1" s="7">
        <v>1</v>
      </c>
      <c r="XDD1" s="7">
        <v>1</v>
      </c>
      <c r="XDE1" s="7">
        <v>1</v>
      </c>
      <c r="XDF1" s="7">
        <v>1</v>
      </c>
      <c r="XDG1" s="7">
        <v>1</v>
      </c>
      <c r="XDH1" s="7">
        <v>1</v>
      </c>
      <c r="XDJ1" s="7">
        <v>1</v>
      </c>
      <c r="XDK1" s="7">
        <v>1</v>
      </c>
      <c r="XDL1" s="7">
        <v>1</v>
      </c>
      <c r="XDM1" s="7">
        <v>1</v>
      </c>
      <c r="XDN1" s="7">
        <v>1</v>
      </c>
      <c r="XDO1" s="7">
        <v>1</v>
      </c>
      <c r="XDP1" s="7">
        <v>1</v>
      </c>
      <c r="XDQ1" s="7">
        <v>1</v>
      </c>
      <c r="XDR1" s="7">
        <v>1</v>
      </c>
      <c r="XDS1" s="7">
        <v>1</v>
      </c>
      <c r="XDT1" s="7">
        <v>1</v>
      </c>
      <c r="XDU1" s="7">
        <v>1</v>
      </c>
      <c r="XDV1" s="7">
        <v>1</v>
      </c>
      <c r="XDW1" s="7">
        <v>1</v>
      </c>
      <c r="XDX1" s="7">
        <v>1</v>
      </c>
      <c r="XDY1" s="7">
        <v>1</v>
      </c>
      <c r="XDZ1" s="7">
        <v>1</v>
      </c>
      <c r="XEA1" s="7">
        <v>1</v>
      </c>
      <c r="XEB1" s="7">
        <v>1</v>
      </c>
      <c r="XEC1" s="7">
        <v>1</v>
      </c>
      <c r="XED1" s="7">
        <v>1</v>
      </c>
      <c r="XEE1" s="7">
        <v>1</v>
      </c>
      <c r="XEF1" s="7">
        <v>1</v>
      </c>
      <c r="XEG1" s="7">
        <v>1</v>
      </c>
      <c r="XEH1" s="7">
        <v>1</v>
      </c>
      <c r="XEI1" s="7">
        <v>1</v>
      </c>
      <c r="XEJ1" s="7">
        <v>1</v>
      </c>
      <c r="XEK1" s="7">
        <v>1</v>
      </c>
      <c r="XEL1" s="7">
        <v>1</v>
      </c>
      <c r="XEM1" s="7">
        <v>1</v>
      </c>
      <c r="XEN1" s="7">
        <v>1</v>
      </c>
      <c r="XEO1" s="7">
        <v>1</v>
      </c>
      <c r="XEP1" s="7">
        <v>1</v>
      </c>
      <c r="XEQ1" s="7">
        <v>1</v>
      </c>
      <c r="XER1" s="7">
        <v>1</v>
      </c>
      <c r="XES1" s="7">
        <v>1</v>
      </c>
      <c r="XET1" s="7">
        <v>1</v>
      </c>
      <c r="XEU1" s="7">
        <v>1</v>
      </c>
      <c r="XEV1" s="7">
        <v>1</v>
      </c>
      <c r="XEW1" s="7">
        <v>1</v>
      </c>
      <c r="XEX1" s="7">
        <v>1</v>
      </c>
      <c r="XEY1" s="7">
        <v>1</v>
      </c>
      <c r="XEZ1" s="7">
        <v>1</v>
      </c>
      <c r="XFA1" s="7">
        <v>1</v>
      </c>
      <c r="XFB1" s="7">
        <v>1</v>
      </c>
    </row>
    <row r="2" spans="1:44 16327:16382" ht="15" customHeight="1" x14ac:dyDescent="0.2">
      <c r="A2" s="213" t="s">
        <v>219</v>
      </c>
      <c r="B2" s="49" t="str">
        <f>LEFT(D2,1)</f>
        <v>A</v>
      </c>
      <c r="C2" s="50" t="str">
        <f>RIGHT(D2,1)</f>
        <v>B</v>
      </c>
      <c r="D2" s="50" t="s">
        <v>10</v>
      </c>
      <c r="E2" s="54" t="str">
        <f>LEFT('REPORTS PER EVALUATOR'!$K$6,1)</f>
        <v>B</v>
      </c>
      <c r="F2" s="72">
        <f>(RIGHT('REPORTS PER EVALUATOR'!$K$6,1))*1</f>
        <v>2</v>
      </c>
      <c r="G2" s="55" t="str">
        <f>LEFT('REPORTS PER EVALUATOR'!$K$18,1)</f>
        <v>A</v>
      </c>
      <c r="H2" s="80">
        <f>(RIGHT('REPORTS PER EVALUATOR'!$K$18,1))*1</f>
        <v>3</v>
      </c>
      <c r="I2" s="55" t="str">
        <f>LEFT('REPORTS PER EVALUATOR'!$K$30,1)</f>
        <v>B</v>
      </c>
      <c r="J2" s="80">
        <f>(RIGHT('REPORTS PER EVALUATOR'!$K$30,1))*1</f>
        <v>2</v>
      </c>
      <c r="K2" s="55" t="str">
        <f>LEFT('REPORTS PER EVALUATOR'!$K$42,1)</f>
        <v>A</v>
      </c>
      <c r="L2" s="80">
        <f>(RIGHT('REPORTS PER EVALUATOR'!$K$42,1))*1</f>
        <v>2</v>
      </c>
      <c r="M2" s="55" t="str">
        <f>LEFT('REPORTS PER EVALUATOR'!$K$54,1)</f>
        <v>A</v>
      </c>
      <c r="N2" s="80">
        <f>(RIGHT('REPORTS PER EVALUATOR'!$K$54,1))*1</f>
        <v>2</v>
      </c>
      <c r="O2" s="55" t="str">
        <f>LEFT('REPORTS PER EVALUATOR'!$K$66,1)</f>
        <v>1</v>
      </c>
      <c r="P2" s="80">
        <f>(RIGHT('REPORTS PER EVALUATOR'!$K$66,1))*1</f>
        <v>1</v>
      </c>
      <c r="Q2" s="55" t="str">
        <f>LEFT('REPORTS PER EVALUATOR'!$K$78,1)</f>
        <v>1</v>
      </c>
      <c r="R2" s="80">
        <f>(RIGHT('REPORTS PER EVALUATOR'!$K$78,1))*1</f>
        <v>1</v>
      </c>
      <c r="S2" s="55" t="str">
        <f>LEFT('REPORTS PER EVALUATOR'!$K$90,1)</f>
        <v>B</v>
      </c>
      <c r="T2" s="80">
        <f>(RIGHT('REPORTS PER EVALUATOR'!$K$90,1))*1</f>
        <v>2</v>
      </c>
      <c r="U2" s="55" t="str">
        <f>LEFT('REPORTS PER EVALUATOR'!$K$102,1)</f>
        <v>B</v>
      </c>
      <c r="V2" s="80">
        <f>(RIGHT('REPORTS PER EVALUATOR'!$K$102,1))*1</f>
        <v>2</v>
      </c>
      <c r="W2" s="55" t="str">
        <f>LEFT('REPORTS PER EVALUATOR'!$K$114,1)</f>
        <v>1</v>
      </c>
      <c r="X2" s="80">
        <f>(RIGHT('REPORTS PER EVALUATOR'!$K$114,1))*1</f>
        <v>1</v>
      </c>
      <c r="Y2" s="55" t="str">
        <f>LEFT('REPORTS PER EVALUATOR'!$K$126,1)</f>
        <v>1</v>
      </c>
      <c r="Z2" s="90">
        <f>(RIGHT('REPORTS PER EVALUATOR'!$K$126,1))*1</f>
        <v>1</v>
      </c>
      <c r="AA2" s="55" t="e">
        <f>LEFT('REPORTS PER EVALUATOR'!#REF!,1)</f>
        <v>#REF!</v>
      </c>
      <c r="AB2" s="90" t="e">
        <f>(RIGHT('REPORTS PER EVALUATOR'!#REF!,1))*1</f>
        <v>#REF!</v>
      </c>
      <c r="AC2" s="55" t="e">
        <f>LEFT('REPORTS PER EVALUATOR'!#REF!,1)</f>
        <v>#REF!</v>
      </c>
      <c r="AD2" s="90" t="e">
        <f>(RIGHT('REPORTS PER EVALUATOR'!#REF!,1))*1</f>
        <v>#REF!</v>
      </c>
      <c r="AE2" s="55" t="e">
        <f>LEFT('REPORTS PER EVALUATOR'!#REF!,1)</f>
        <v>#REF!</v>
      </c>
      <c r="AF2" s="90" t="e">
        <f>(RIGHT('REPORTS PER EVALUATOR'!#REF!,1))*1</f>
        <v>#REF!</v>
      </c>
      <c r="AG2" s="55" t="e">
        <f>LEFT('REPORTS PER EVALUATOR'!#REF!,1)</f>
        <v>#REF!</v>
      </c>
      <c r="AH2" s="90" t="e">
        <f>(RIGHT('REPORTS PER EVALUATOR'!#REF!,1))*1</f>
        <v>#REF!</v>
      </c>
      <c r="AI2" s="55" t="e">
        <f>LEFT('REPORTS PER EVALUATOR'!#REF!,1)</f>
        <v>#REF!</v>
      </c>
      <c r="AJ2" s="90" t="e">
        <f>(RIGHT('REPORTS PER EVALUATOR'!#REF!,1))*1</f>
        <v>#REF!</v>
      </c>
      <c r="AK2" s="55" t="e">
        <f>LEFT('REPORTS PER EVALUATOR'!#REF!,1)</f>
        <v>#REF!</v>
      </c>
      <c r="AL2" s="90" t="e">
        <f>(RIGHT('REPORTS PER EVALUATOR'!#REF!,1))*1</f>
        <v>#REF!</v>
      </c>
      <c r="AM2" s="55" t="e">
        <f>LEFT('REPORTS PER EVALUATOR'!#REF!,1)</f>
        <v>#REF!</v>
      </c>
      <c r="AN2" s="90" t="e">
        <f>(RIGHT('REPORTS PER EVALUATOR'!#REF!,1))*1</f>
        <v>#REF!</v>
      </c>
      <c r="AO2" s="55" t="e">
        <f>LEFT('REPORTS PER EVALUATOR'!#REF!,1)</f>
        <v>#REF!</v>
      </c>
      <c r="AP2" s="90" t="e">
        <f>(RIGHT('REPORTS PER EVALUATOR'!#REF!,1))*1</f>
        <v>#REF!</v>
      </c>
      <c r="AQ2" s="55" t="e">
        <f>LEFT('REPORTS PER EVALUATOR'!#REF!,1)</f>
        <v>#REF!</v>
      </c>
      <c r="AR2" s="90" t="e">
        <f>(RIGHT('REPORTS PER EVALUATOR'!#REF!,1))*1</f>
        <v>#REF!</v>
      </c>
      <c r="XCY2" s="7" t="s">
        <v>87</v>
      </c>
      <c r="XCZ2" s="7" t="s">
        <v>88</v>
      </c>
      <c r="XDA2" s="7" t="s">
        <v>89</v>
      </c>
      <c r="XDB2" s="7" t="s">
        <v>90</v>
      </c>
      <c r="XDC2" s="7" t="s">
        <v>91</v>
      </c>
      <c r="XDD2" s="7" t="s">
        <v>92</v>
      </c>
      <c r="XDE2" s="7" t="s">
        <v>93</v>
      </c>
      <c r="XDF2" s="7" t="s">
        <v>94</v>
      </c>
      <c r="XDG2" s="7" t="s">
        <v>95</v>
      </c>
      <c r="XDH2" s="7" t="s">
        <v>132</v>
      </c>
      <c r="XDJ2" s="7" t="s">
        <v>87</v>
      </c>
      <c r="XDK2" s="7" t="s">
        <v>87</v>
      </c>
      <c r="XDL2" s="7" t="s">
        <v>87</v>
      </c>
      <c r="XDM2" s="7" t="s">
        <v>87</v>
      </c>
      <c r="XDN2" s="7" t="s">
        <v>87</v>
      </c>
      <c r="XDO2" s="7" t="s">
        <v>87</v>
      </c>
      <c r="XDP2" s="7" t="s">
        <v>87</v>
      </c>
      <c r="XDQ2" s="7" t="s">
        <v>87</v>
      </c>
      <c r="XDR2" s="7" t="s">
        <v>87</v>
      </c>
      <c r="XDS2" s="7" t="s">
        <v>88</v>
      </c>
      <c r="XDT2" s="7" t="s">
        <v>88</v>
      </c>
      <c r="XDU2" s="7" t="s">
        <v>88</v>
      </c>
      <c r="XDV2" s="7" t="s">
        <v>88</v>
      </c>
      <c r="XDW2" s="7" t="s">
        <v>88</v>
      </c>
      <c r="XDX2" s="7" t="s">
        <v>88</v>
      </c>
      <c r="XDY2" s="7" t="s">
        <v>88</v>
      </c>
      <c r="XDZ2" s="7" t="s">
        <v>88</v>
      </c>
      <c r="XEA2" s="7" t="s">
        <v>89</v>
      </c>
      <c r="XEB2" s="7" t="s">
        <v>89</v>
      </c>
      <c r="XEC2" s="7" t="s">
        <v>89</v>
      </c>
      <c r="XED2" s="7" t="s">
        <v>89</v>
      </c>
      <c r="XEE2" s="7" t="s">
        <v>89</v>
      </c>
      <c r="XEF2" s="7" t="s">
        <v>89</v>
      </c>
      <c r="XEG2" s="7" t="s">
        <v>89</v>
      </c>
      <c r="XEH2" s="7" t="s">
        <v>90</v>
      </c>
      <c r="XEI2" s="7" t="s">
        <v>90</v>
      </c>
      <c r="XEJ2" s="7" t="s">
        <v>90</v>
      </c>
      <c r="XEK2" s="7" t="s">
        <v>90</v>
      </c>
      <c r="XEL2" s="7" t="s">
        <v>90</v>
      </c>
      <c r="XEM2" s="7" t="s">
        <v>90</v>
      </c>
      <c r="XEN2" s="7" t="s">
        <v>91</v>
      </c>
      <c r="XEO2" s="7" t="s">
        <v>91</v>
      </c>
      <c r="XEP2" s="7" t="s">
        <v>91</v>
      </c>
      <c r="XEQ2" s="7" t="s">
        <v>91</v>
      </c>
      <c r="XER2" s="7" t="s">
        <v>91</v>
      </c>
      <c r="XES2" s="7" t="s">
        <v>92</v>
      </c>
      <c r="XET2" s="7" t="s">
        <v>92</v>
      </c>
      <c r="XEU2" s="7" t="s">
        <v>92</v>
      </c>
      <c r="XEV2" s="7" t="s">
        <v>92</v>
      </c>
      <c r="XEW2" s="7" t="s">
        <v>93</v>
      </c>
      <c r="XEX2" s="7" t="s">
        <v>93</v>
      </c>
      <c r="XEY2" s="7" t="s">
        <v>93</v>
      </c>
      <c r="XEZ2" s="7" t="s">
        <v>94</v>
      </c>
      <c r="XFA2" s="7" t="s">
        <v>94</v>
      </c>
      <c r="XFB2" s="7" t="s">
        <v>95</v>
      </c>
    </row>
    <row r="3" spans="1:44 16327:16382" x14ac:dyDescent="0.2">
      <c r="A3" s="213"/>
      <c r="B3" s="53" t="str">
        <f>LEFT(D3,1)</f>
        <v>A</v>
      </c>
      <c r="C3" s="47" t="str">
        <f t="shared" ref="C3:C56" si="0">RIGHT(D3,1)</f>
        <v>C</v>
      </c>
      <c r="D3" s="47" t="s">
        <v>11</v>
      </c>
      <c r="E3" s="51" t="str">
        <f>LEFT('REPORTS PER EVALUATOR'!$L$6,1)</f>
        <v>A</v>
      </c>
      <c r="F3" s="73">
        <f>(RIGHT('REPORTS PER EVALUATOR'!$L$6,1))*1</f>
        <v>3</v>
      </c>
      <c r="G3" s="52" t="str">
        <f>LEFT('REPORTS PER EVALUATOR'!$L$18,1)</f>
        <v>A</v>
      </c>
      <c r="H3" s="81">
        <f>(RIGHT('REPORTS PER EVALUATOR'!$L$18,1))*1</f>
        <v>4</v>
      </c>
      <c r="I3" s="52" t="str">
        <f>LEFT('REPORTS PER EVALUATOR'!$L$30,1)</f>
        <v>A</v>
      </c>
      <c r="J3" s="81">
        <f>(RIGHT('REPORTS PER EVALUATOR'!$L$30,1))*1</f>
        <v>3</v>
      </c>
      <c r="K3" s="52" t="str">
        <f>LEFT('REPORTS PER EVALUATOR'!$L$42,1)</f>
        <v>A</v>
      </c>
      <c r="L3" s="81">
        <f>(RIGHT('REPORTS PER EVALUATOR'!$L$42,1))*1</f>
        <v>3</v>
      </c>
      <c r="M3" s="52" t="str">
        <f>LEFT('REPORTS PER EVALUATOR'!$L$54,1)</f>
        <v>A</v>
      </c>
      <c r="N3" s="81">
        <f>(RIGHT('REPORTS PER EVALUATOR'!$L$54,1))*1</f>
        <v>3</v>
      </c>
      <c r="O3" s="52" t="str">
        <f>LEFT('REPORTS PER EVALUATOR'!$L$66,1)</f>
        <v>A</v>
      </c>
      <c r="P3" s="81">
        <f>(RIGHT('REPORTS PER EVALUATOR'!$L$66,1))*1</f>
        <v>3</v>
      </c>
      <c r="Q3" s="52" t="str">
        <f>LEFT('REPORTS PER EVALUATOR'!$L$78,1)</f>
        <v>A</v>
      </c>
      <c r="R3" s="81">
        <f>(RIGHT('REPORTS PER EVALUATOR'!$L$78,1))*1</f>
        <v>3</v>
      </c>
      <c r="S3" s="52" t="str">
        <f>LEFT('REPORTS PER EVALUATOR'!$L$90,1)</f>
        <v>A</v>
      </c>
      <c r="T3" s="81">
        <f>(RIGHT('REPORTS PER EVALUATOR'!$L$90,1))*1</f>
        <v>2</v>
      </c>
      <c r="U3" s="52" t="str">
        <f>LEFT('REPORTS PER EVALUATOR'!$L$102,1)</f>
        <v>C</v>
      </c>
      <c r="V3" s="81">
        <f>(RIGHT('REPORTS PER EVALUATOR'!$L$102,1))*1</f>
        <v>2</v>
      </c>
      <c r="W3" s="52" t="str">
        <f>LEFT('REPORTS PER EVALUATOR'!$L$114,1)</f>
        <v>A</v>
      </c>
      <c r="X3" s="81">
        <f>(RIGHT('REPORTS PER EVALUATOR'!$L$114,1))*1</f>
        <v>3</v>
      </c>
      <c r="Y3" s="52" t="str">
        <f>LEFT('REPORTS PER EVALUATOR'!$L$126,1)</f>
        <v>A</v>
      </c>
      <c r="Z3" s="91">
        <f>(RIGHT('REPORTS PER EVALUATOR'!$L$126,1))*1</f>
        <v>2</v>
      </c>
      <c r="AA3" s="52" t="e">
        <f>LEFT('REPORTS PER EVALUATOR'!#REF!,1)</f>
        <v>#REF!</v>
      </c>
      <c r="AB3" s="91" t="e">
        <f>(RIGHT('REPORTS PER EVALUATOR'!#REF!,1))*1</f>
        <v>#REF!</v>
      </c>
      <c r="AC3" s="52" t="e">
        <f>LEFT('REPORTS PER EVALUATOR'!#REF!,1)</f>
        <v>#REF!</v>
      </c>
      <c r="AD3" s="91" t="e">
        <f>(RIGHT('REPORTS PER EVALUATOR'!#REF!,1))*1</f>
        <v>#REF!</v>
      </c>
      <c r="AE3" s="52" t="e">
        <f>LEFT('REPORTS PER EVALUATOR'!#REF!,1)</f>
        <v>#REF!</v>
      </c>
      <c r="AF3" s="91" t="e">
        <f>(RIGHT('REPORTS PER EVALUATOR'!#REF!,1))*1</f>
        <v>#REF!</v>
      </c>
      <c r="AG3" s="52" t="e">
        <f>LEFT('REPORTS PER EVALUATOR'!#REF!,1)</f>
        <v>#REF!</v>
      </c>
      <c r="AH3" s="91" t="e">
        <f>(RIGHT('REPORTS PER EVALUATOR'!#REF!,1))*1</f>
        <v>#REF!</v>
      </c>
      <c r="AI3" s="52" t="e">
        <f>LEFT('REPORTS PER EVALUATOR'!#REF!,1)</f>
        <v>#REF!</v>
      </c>
      <c r="AJ3" s="91" t="e">
        <f>(RIGHT('REPORTS PER EVALUATOR'!#REF!,1))*1</f>
        <v>#REF!</v>
      </c>
      <c r="AK3" s="52" t="e">
        <f>LEFT('REPORTS PER EVALUATOR'!#REF!,1)</f>
        <v>#REF!</v>
      </c>
      <c r="AL3" s="91" t="e">
        <f>(RIGHT('REPORTS PER EVALUATOR'!#REF!,1))*1</f>
        <v>#REF!</v>
      </c>
      <c r="AM3" s="52" t="e">
        <f>LEFT('REPORTS PER EVALUATOR'!#REF!,1)</f>
        <v>#REF!</v>
      </c>
      <c r="AN3" s="91" t="e">
        <f>(RIGHT('REPORTS PER EVALUATOR'!#REF!,1))*1</f>
        <v>#REF!</v>
      </c>
      <c r="AO3" s="52" t="e">
        <f>LEFT('REPORTS PER EVALUATOR'!#REF!,1)</f>
        <v>#REF!</v>
      </c>
      <c r="AP3" s="91" t="e">
        <f>(RIGHT('REPORTS PER EVALUATOR'!#REF!,1))*1</f>
        <v>#REF!</v>
      </c>
      <c r="AQ3" s="52" t="e">
        <f>LEFT('REPORTS PER EVALUATOR'!#REF!,1)</f>
        <v>#REF!</v>
      </c>
      <c r="AR3" s="91" t="e">
        <f>(RIGHT('REPORTS PER EVALUATOR'!#REF!,1))*1</f>
        <v>#REF!</v>
      </c>
      <c r="XCY3" s="7" t="s">
        <v>96</v>
      </c>
      <c r="XCZ3" s="7" t="s">
        <v>97</v>
      </c>
      <c r="XDA3" s="7" t="s">
        <v>98</v>
      </c>
      <c r="XDB3" s="7" t="s">
        <v>99</v>
      </c>
      <c r="XDC3" s="7" t="s">
        <v>100</v>
      </c>
      <c r="XDD3" s="7" t="s">
        <v>101</v>
      </c>
      <c r="XDE3" s="7" t="s">
        <v>102</v>
      </c>
      <c r="XDF3" s="7" t="s">
        <v>103</v>
      </c>
      <c r="XDG3" s="7" t="s">
        <v>104</v>
      </c>
      <c r="XDH3" s="7" t="s">
        <v>133</v>
      </c>
      <c r="XDJ3" s="7" t="s">
        <v>96</v>
      </c>
      <c r="XDK3" s="7" t="s">
        <v>96</v>
      </c>
      <c r="XDL3" s="7" t="s">
        <v>96</v>
      </c>
      <c r="XDM3" s="7" t="s">
        <v>96</v>
      </c>
      <c r="XDN3" s="7" t="s">
        <v>96</v>
      </c>
      <c r="XDO3" s="7" t="s">
        <v>96</v>
      </c>
      <c r="XDP3" s="7" t="s">
        <v>96</v>
      </c>
      <c r="XDQ3" s="7" t="s">
        <v>96</v>
      </c>
      <c r="XDR3" s="7" t="s">
        <v>96</v>
      </c>
      <c r="XDS3" s="7" t="s">
        <v>97</v>
      </c>
      <c r="XDT3" s="7" t="s">
        <v>97</v>
      </c>
      <c r="XDU3" s="7" t="s">
        <v>97</v>
      </c>
      <c r="XDV3" s="7" t="s">
        <v>97</v>
      </c>
      <c r="XDW3" s="7" t="s">
        <v>97</v>
      </c>
      <c r="XDX3" s="7" t="s">
        <v>97</v>
      </c>
      <c r="XDY3" s="7" t="s">
        <v>97</v>
      </c>
      <c r="XDZ3" s="7" t="s">
        <v>97</v>
      </c>
      <c r="XEA3" s="7" t="s">
        <v>98</v>
      </c>
      <c r="XEB3" s="7" t="s">
        <v>98</v>
      </c>
      <c r="XEC3" s="7" t="s">
        <v>98</v>
      </c>
      <c r="XED3" s="7" t="s">
        <v>98</v>
      </c>
      <c r="XEE3" s="7" t="s">
        <v>98</v>
      </c>
      <c r="XEF3" s="7" t="s">
        <v>98</v>
      </c>
      <c r="XEG3" s="7" t="s">
        <v>98</v>
      </c>
      <c r="XEH3" s="7" t="s">
        <v>99</v>
      </c>
      <c r="XEI3" s="7" t="s">
        <v>99</v>
      </c>
      <c r="XEJ3" s="7" t="s">
        <v>99</v>
      </c>
      <c r="XEK3" s="7" t="s">
        <v>99</v>
      </c>
      <c r="XEL3" s="7" t="s">
        <v>99</v>
      </c>
      <c r="XEM3" s="7" t="s">
        <v>99</v>
      </c>
      <c r="XEN3" s="7" t="s">
        <v>100</v>
      </c>
      <c r="XEO3" s="7" t="s">
        <v>100</v>
      </c>
      <c r="XEP3" s="7" t="s">
        <v>100</v>
      </c>
      <c r="XEQ3" s="7" t="s">
        <v>100</v>
      </c>
      <c r="XER3" s="7" t="s">
        <v>100</v>
      </c>
      <c r="XES3" s="7" t="s">
        <v>101</v>
      </c>
      <c r="XET3" s="7" t="s">
        <v>101</v>
      </c>
      <c r="XEU3" s="7" t="s">
        <v>101</v>
      </c>
      <c r="XEV3" s="7" t="s">
        <v>101</v>
      </c>
      <c r="XEW3" s="7" t="s">
        <v>102</v>
      </c>
      <c r="XEX3" s="7" t="s">
        <v>102</v>
      </c>
      <c r="XEY3" s="7" t="s">
        <v>102</v>
      </c>
      <c r="XEZ3" s="7" t="s">
        <v>103</v>
      </c>
      <c r="XFA3" s="7" t="s">
        <v>103</v>
      </c>
      <c r="XFB3" s="7" t="s">
        <v>104</v>
      </c>
    </row>
    <row r="4" spans="1:44 16327:16382" x14ac:dyDescent="0.2">
      <c r="A4" s="213"/>
      <c r="B4" s="53" t="str">
        <f t="shared" ref="B4:B56" si="1">LEFT(D4,1)</f>
        <v>A</v>
      </c>
      <c r="C4" s="47" t="str">
        <f t="shared" si="0"/>
        <v>D</v>
      </c>
      <c r="D4" s="47" t="s">
        <v>12</v>
      </c>
      <c r="E4" s="51" t="str">
        <f>LEFT('REPORTS PER EVALUATOR'!$M$6,1)</f>
        <v>D</v>
      </c>
      <c r="F4" s="73">
        <f>(RIGHT('REPORTS PER EVALUATOR'!$M$6,1))*1</f>
        <v>2</v>
      </c>
      <c r="G4" s="52" t="str">
        <f>LEFT('REPORTS PER EVALUATOR'!$M$18,1)</f>
        <v>A</v>
      </c>
      <c r="H4" s="81">
        <f>(RIGHT('REPORTS PER EVALUATOR'!$M$18,1))*1</f>
        <v>3</v>
      </c>
      <c r="I4" s="52" t="str">
        <f>LEFT('REPORTS PER EVALUATOR'!$M$30,1)</f>
        <v>D</v>
      </c>
      <c r="J4" s="81">
        <f>(RIGHT('REPORTS PER EVALUATOR'!$M$30,1))*1</f>
        <v>4</v>
      </c>
      <c r="K4" s="52" t="str">
        <f>LEFT('REPORTS PER EVALUATOR'!$M$42,1)</f>
        <v>1</v>
      </c>
      <c r="L4" s="81">
        <f>(RIGHT('REPORTS PER EVALUATOR'!$M$42,1))*1</f>
        <v>1</v>
      </c>
      <c r="M4" s="52" t="str">
        <f>LEFT('REPORTS PER EVALUATOR'!$M$54,1)</f>
        <v>1</v>
      </c>
      <c r="N4" s="81">
        <f>(RIGHT('REPORTS PER EVALUATOR'!$M$54,1))*1</f>
        <v>1</v>
      </c>
      <c r="O4" s="52" t="str">
        <f>LEFT('REPORTS PER EVALUATOR'!$M$66,1)</f>
        <v>1</v>
      </c>
      <c r="P4" s="81">
        <f>(RIGHT('REPORTS PER EVALUATOR'!$M$66,1))*1</f>
        <v>1</v>
      </c>
      <c r="Q4" s="52" t="str">
        <f>LEFT('REPORTS PER EVALUATOR'!$M$78,1)</f>
        <v>D</v>
      </c>
      <c r="R4" s="81">
        <f>(RIGHT('REPORTS PER EVALUATOR'!$M$78,1))*1</f>
        <v>2</v>
      </c>
      <c r="S4" s="52" t="str">
        <f>LEFT('REPORTS PER EVALUATOR'!$M$90,1)</f>
        <v>D</v>
      </c>
      <c r="T4" s="81">
        <f>(RIGHT('REPORTS PER EVALUATOR'!$M$90,1))*1</f>
        <v>3</v>
      </c>
      <c r="U4" s="52" t="str">
        <f>LEFT('REPORTS PER EVALUATOR'!$M$102,1)</f>
        <v>D</v>
      </c>
      <c r="V4" s="81">
        <f>(RIGHT('REPORTS PER EVALUATOR'!$M$102,1))*1</f>
        <v>2</v>
      </c>
      <c r="W4" s="52" t="str">
        <f>LEFT('REPORTS PER EVALUATOR'!$M$114,1)</f>
        <v>1</v>
      </c>
      <c r="X4" s="81">
        <f>(RIGHT('REPORTS PER EVALUATOR'!$M$114,1))*1</f>
        <v>1</v>
      </c>
      <c r="Y4" s="52" t="str">
        <f>LEFT('REPORTS PER EVALUATOR'!$M$126,1)</f>
        <v>1</v>
      </c>
      <c r="Z4" s="91">
        <f>(RIGHT('REPORTS PER EVALUATOR'!$M$126,1))*1</f>
        <v>1</v>
      </c>
      <c r="AA4" s="52" t="e">
        <f>LEFT('REPORTS PER EVALUATOR'!#REF!,1)</f>
        <v>#REF!</v>
      </c>
      <c r="AB4" s="91" t="e">
        <f>(RIGHT('REPORTS PER EVALUATOR'!#REF!,1))*1</f>
        <v>#REF!</v>
      </c>
      <c r="AC4" s="52" t="e">
        <f>LEFT('REPORTS PER EVALUATOR'!#REF!,1)</f>
        <v>#REF!</v>
      </c>
      <c r="AD4" s="91" t="e">
        <f>(RIGHT('REPORTS PER EVALUATOR'!#REF!,1))*1</f>
        <v>#REF!</v>
      </c>
      <c r="AE4" s="52" t="e">
        <f>LEFT('REPORTS PER EVALUATOR'!#REF!,1)</f>
        <v>#REF!</v>
      </c>
      <c r="AF4" s="91" t="e">
        <f>(RIGHT('REPORTS PER EVALUATOR'!#REF!,1))*1</f>
        <v>#REF!</v>
      </c>
      <c r="AG4" s="52" t="e">
        <f>LEFT('REPORTS PER EVALUATOR'!#REF!,1)</f>
        <v>#REF!</v>
      </c>
      <c r="AH4" s="91" t="e">
        <f>(RIGHT('REPORTS PER EVALUATOR'!#REF!,1))*1</f>
        <v>#REF!</v>
      </c>
      <c r="AI4" s="52" t="e">
        <f>LEFT('REPORTS PER EVALUATOR'!#REF!,1)</f>
        <v>#REF!</v>
      </c>
      <c r="AJ4" s="91" t="e">
        <f>(RIGHT('REPORTS PER EVALUATOR'!#REF!,1))*1</f>
        <v>#REF!</v>
      </c>
      <c r="AK4" s="52" t="e">
        <f>LEFT('REPORTS PER EVALUATOR'!#REF!,1)</f>
        <v>#REF!</v>
      </c>
      <c r="AL4" s="91" t="e">
        <f>(RIGHT('REPORTS PER EVALUATOR'!#REF!,1))*1</f>
        <v>#REF!</v>
      </c>
      <c r="AM4" s="52" t="e">
        <f>LEFT('REPORTS PER EVALUATOR'!#REF!,1)</f>
        <v>#REF!</v>
      </c>
      <c r="AN4" s="91" t="e">
        <f>(RIGHT('REPORTS PER EVALUATOR'!#REF!,1))*1</f>
        <v>#REF!</v>
      </c>
      <c r="AO4" s="52" t="e">
        <f>LEFT('REPORTS PER EVALUATOR'!#REF!,1)</f>
        <v>#REF!</v>
      </c>
      <c r="AP4" s="91" t="e">
        <f>(RIGHT('REPORTS PER EVALUATOR'!#REF!,1))*1</f>
        <v>#REF!</v>
      </c>
      <c r="AQ4" s="52" t="e">
        <f>LEFT('REPORTS PER EVALUATOR'!#REF!,1)</f>
        <v>#REF!</v>
      </c>
      <c r="AR4" s="91" t="e">
        <f>(RIGHT('REPORTS PER EVALUATOR'!#REF!,1))*1</f>
        <v>#REF!</v>
      </c>
      <c r="XCY4" s="7" t="s">
        <v>105</v>
      </c>
      <c r="XCZ4" s="7" t="s">
        <v>106</v>
      </c>
      <c r="XDA4" s="7" t="s">
        <v>107</v>
      </c>
      <c r="XDB4" s="7" t="s">
        <v>108</v>
      </c>
      <c r="XDC4" s="7" t="s">
        <v>109</v>
      </c>
      <c r="XDD4" s="7" t="s">
        <v>110</v>
      </c>
      <c r="XDE4" s="7" t="s">
        <v>111</v>
      </c>
      <c r="XDF4" s="7" t="s">
        <v>112</v>
      </c>
      <c r="XDG4" s="7" t="s">
        <v>113</v>
      </c>
      <c r="XDH4" s="7" t="s">
        <v>134</v>
      </c>
      <c r="XDJ4" s="7" t="s">
        <v>105</v>
      </c>
      <c r="XDK4" s="7" t="s">
        <v>105</v>
      </c>
      <c r="XDL4" s="7" t="s">
        <v>105</v>
      </c>
      <c r="XDM4" s="7" t="s">
        <v>105</v>
      </c>
      <c r="XDN4" s="7" t="s">
        <v>105</v>
      </c>
      <c r="XDO4" s="7" t="s">
        <v>105</v>
      </c>
      <c r="XDP4" s="7" t="s">
        <v>105</v>
      </c>
      <c r="XDQ4" s="7" t="s">
        <v>105</v>
      </c>
      <c r="XDR4" s="7" t="s">
        <v>105</v>
      </c>
      <c r="XDS4" s="7" t="s">
        <v>106</v>
      </c>
      <c r="XDT4" s="7" t="s">
        <v>106</v>
      </c>
      <c r="XDU4" s="7" t="s">
        <v>106</v>
      </c>
      <c r="XDV4" s="7" t="s">
        <v>106</v>
      </c>
      <c r="XDW4" s="7" t="s">
        <v>106</v>
      </c>
      <c r="XDX4" s="7" t="s">
        <v>106</v>
      </c>
      <c r="XDY4" s="7" t="s">
        <v>106</v>
      </c>
      <c r="XDZ4" s="7" t="s">
        <v>106</v>
      </c>
      <c r="XEA4" s="7" t="s">
        <v>107</v>
      </c>
      <c r="XEB4" s="7" t="s">
        <v>107</v>
      </c>
      <c r="XEC4" s="7" t="s">
        <v>107</v>
      </c>
      <c r="XED4" s="7" t="s">
        <v>107</v>
      </c>
      <c r="XEE4" s="7" t="s">
        <v>107</v>
      </c>
      <c r="XEF4" s="7" t="s">
        <v>107</v>
      </c>
      <c r="XEG4" s="7" t="s">
        <v>107</v>
      </c>
      <c r="XEH4" s="7" t="s">
        <v>108</v>
      </c>
      <c r="XEI4" s="7" t="s">
        <v>108</v>
      </c>
      <c r="XEJ4" s="7" t="s">
        <v>108</v>
      </c>
      <c r="XEK4" s="7" t="s">
        <v>108</v>
      </c>
      <c r="XEL4" s="7" t="s">
        <v>108</v>
      </c>
      <c r="XEM4" s="7" t="s">
        <v>108</v>
      </c>
      <c r="XEN4" s="7" t="s">
        <v>109</v>
      </c>
      <c r="XEO4" s="7" t="s">
        <v>109</v>
      </c>
      <c r="XEP4" s="7" t="s">
        <v>109</v>
      </c>
      <c r="XEQ4" s="7" t="s">
        <v>109</v>
      </c>
      <c r="XER4" s="7" t="s">
        <v>109</v>
      </c>
      <c r="XES4" s="7" t="s">
        <v>110</v>
      </c>
      <c r="XET4" s="7" t="s">
        <v>110</v>
      </c>
      <c r="XEU4" s="7" t="s">
        <v>110</v>
      </c>
      <c r="XEV4" s="7" t="s">
        <v>110</v>
      </c>
      <c r="XEW4" s="7" t="s">
        <v>111</v>
      </c>
      <c r="XEX4" s="7" t="s">
        <v>111</v>
      </c>
      <c r="XEY4" s="7" t="s">
        <v>111</v>
      </c>
      <c r="XEZ4" s="7" t="s">
        <v>112</v>
      </c>
      <c r="XFA4" s="7" t="s">
        <v>112</v>
      </c>
      <c r="XFB4" s="7" t="s">
        <v>113</v>
      </c>
    </row>
    <row r="5" spans="1:44 16327:16382" x14ac:dyDescent="0.2">
      <c r="A5" s="213"/>
      <c r="B5" s="53" t="str">
        <f t="shared" si="1"/>
        <v>A</v>
      </c>
      <c r="C5" s="47" t="str">
        <f t="shared" si="0"/>
        <v>E</v>
      </c>
      <c r="D5" s="47" t="s">
        <v>13</v>
      </c>
      <c r="E5" s="51" t="str">
        <f>LEFT('REPORTS PER EVALUATOR'!$N$6,1)</f>
        <v>A</v>
      </c>
      <c r="F5" s="73">
        <f>(RIGHT('REPORTS PER EVALUATOR'!$N$6,1))*1</f>
        <v>3</v>
      </c>
      <c r="G5" s="52" t="str">
        <f>LEFT('REPORTS PER EVALUATOR'!$N$18,1)</f>
        <v>A</v>
      </c>
      <c r="H5" s="81">
        <f>(RIGHT('REPORTS PER EVALUATOR'!$N$18,1))*1</f>
        <v>2</v>
      </c>
      <c r="I5" s="52" t="str">
        <f>LEFT('REPORTS PER EVALUATOR'!$N$30,1)</f>
        <v>E</v>
      </c>
      <c r="J5" s="81">
        <f>(RIGHT('REPORTS PER EVALUATOR'!$N$30,1))*1</f>
        <v>2</v>
      </c>
      <c r="K5" s="52" t="str">
        <f>LEFT('REPORTS PER EVALUATOR'!$N$42,1)</f>
        <v>E</v>
      </c>
      <c r="L5" s="81">
        <f>(RIGHT('REPORTS PER EVALUATOR'!$N$42,1))*1</f>
        <v>2</v>
      </c>
      <c r="M5" s="52" t="str">
        <f>LEFT('REPORTS PER EVALUATOR'!$N$54,1)</f>
        <v>A</v>
      </c>
      <c r="N5" s="81">
        <f>(RIGHT('REPORTS PER EVALUATOR'!$N$54,1))*1</f>
        <v>2</v>
      </c>
      <c r="O5" s="52" t="str">
        <f>LEFT('REPORTS PER EVALUATOR'!$N$66,1)</f>
        <v>A</v>
      </c>
      <c r="P5" s="81">
        <f>(RIGHT('REPORTS PER EVALUATOR'!$N$66,1))*1</f>
        <v>2</v>
      </c>
      <c r="Q5" s="52" t="str">
        <f>LEFT('REPORTS PER EVALUATOR'!$N$78,1)</f>
        <v>E</v>
      </c>
      <c r="R5" s="81">
        <f>(RIGHT('REPORTS PER EVALUATOR'!$N$78,1))*1</f>
        <v>2</v>
      </c>
      <c r="S5" s="52" t="str">
        <f>LEFT('REPORTS PER EVALUATOR'!$N$90,1)</f>
        <v>1</v>
      </c>
      <c r="T5" s="81">
        <f>(RIGHT('REPORTS PER EVALUATOR'!$N$90,1))*1</f>
        <v>1</v>
      </c>
      <c r="U5" s="52" t="str">
        <f>LEFT('REPORTS PER EVALUATOR'!$N$102,1)</f>
        <v>E</v>
      </c>
      <c r="V5" s="81">
        <f>(RIGHT('REPORTS PER EVALUATOR'!$N$102,1))*1</f>
        <v>2</v>
      </c>
      <c r="W5" s="52" t="str">
        <f>LEFT('REPORTS PER EVALUATOR'!$N$114,1)</f>
        <v>1</v>
      </c>
      <c r="X5" s="81">
        <f>(RIGHT('REPORTS PER EVALUATOR'!$N$114,1))*1</f>
        <v>1</v>
      </c>
      <c r="Y5" s="52" t="str">
        <f>LEFT('REPORTS PER EVALUATOR'!$N$126,1)</f>
        <v>E</v>
      </c>
      <c r="Z5" s="91">
        <f>(RIGHT('REPORTS PER EVALUATOR'!$N$126,1))*1</f>
        <v>2</v>
      </c>
      <c r="AA5" s="52" t="e">
        <f>LEFT('REPORTS PER EVALUATOR'!#REF!,1)</f>
        <v>#REF!</v>
      </c>
      <c r="AB5" s="91" t="e">
        <f>(RIGHT('REPORTS PER EVALUATOR'!#REF!,1))*1</f>
        <v>#REF!</v>
      </c>
      <c r="AC5" s="52" t="e">
        <f>LEFT('REPORTS PER EVALUATOR'!#REF!,1)</f>
        <v>#REF!</v>
      </c>
      <c r="AD5" s="91" t="e">
        <f>(RIGHT('REPORTS PER EVALUATOR'!#REF!,1))*1</f>
        <v>#REF!</v>
      </c>
      <c r="AE5" s="52" t="e">
        <f>LEFT('REPORTS PER EVALUATOR'!#REF!,1)</f>
        <v>#REF!</v>
      </c>
      <c r="AF5" s="91" t="e">
        <f>(RIGHT('REPORTS PER EVALUATOR'!#REF!,1))*1</f>
        <v>#REF!</v>
      </c>
      <c r="AG5" s="52" t="e">
        <f>LEFT('REPORTS PER EVALUATOR'!#REF!,1)</f>
        <v>#REF!</v>
      </c>
      <c r="AH5" s="91" t="e">
        <f>(RIGHT('REPORTS PER EVALUATOR'!#REF!,1))*1</f>
        <v>#REF!</v>
      </c>
      <c r="AI5" s="52" t="e">
        <f>LEFT('REPORTS PER EVALUATOR'!#REF!,1)</f>
        <v>#REF!</v>
      </c>
      <c r="AJ5" s="91" t="e">
        <f>(RIGHT('REPORTS PER EVALUATOR'!#REF!,1))*1</f>
        <v>#REF!</v>
      </c>
      <c r="AK5" s="52" t="e">
        <f>LEFT('REPORTS PER EVALUATOR'!#REF!,1)</f>
        <v>#REF!</v>
      </c>
      <c r="AL5" s="91" t="e">
        <f>(RIGHT('REPORTS PER EVALUATOR'!#REF!,1))*1</f>
        <v>#REF!</v>
      </c>
      <c r="AM5" s="52" t="e">
        <f>LEFT('REPORTS PER EVALUATOR'!#REF!,1)</f>
        <v>#REF!</v>
      </c>
      <c r="AN5" s="91" t="e">
        <f>(RIGHT('REPORTS PER EVALUATOR'!#REF!,1))*1</f>
        <v>#REF!</v>
      </c>
      <c r="AO5" s="52" t="e">
        <f>LEFT('REPORTS PER EVALUATOR'!#REF!,1)</f>
        <v>#REF!</v>
      </c>
      <c r="AP5" s="91" t="e">
        <f>(RIGHT('REPORTS PER EVALUATOR'!#REF!,1))*1</f>
        <v>#REF!</v>
      </c>
      <c r="AQ5" s="52" t="e">
        <f>LEFT('REPORTS PER EVALUATOR'!#REF!,1)</f>
        <v>#REF!</v>
      </c>
      <c r="AR5" s="91" t="e">
        <f>(RIGHT('REPORTS PER EVALUATOR'!#REF!,1))*1</f>
        <v>#REF!</v>
      </c>
      <c r="XCY5" s="7" t="s">
        <v>114</v>
      </c>
      <c r="XCZ5" s="7" t="s">
        <v>115</v>
      </c>
      <c r="XDA5" s="7" t="s">
        <v>116</v>
      </c>
      <c r="XDB5" s="7" t="s">
        <v>117</v>
      </c>
      <c r="XDC5" s="7" t="s">
        <v>118</v>
      </c>
      <c r="XDD5" s="7" t="s">
        <v>119</v>
      </c>
      <c r="XDE5" s="7" t="s">
        <v>120</v>
      </c>
      <c r="XDF5" s="7" t="s">
        <v>121</v>
      </c>
      <c r="XDG5" s="7" t="s">
        <v>122</v>
      </c>
      <c r="XDH5" s="7" t="s">
        <v>135</v>
      </c>
      <c r="XDJ5" s="7" t="s">
        <v>114</v>
      </c>
      <c r="XDK5" s="7" t="s">
        <v>114</v>
      </c>
      <c r="XDL5" s="7" t="s">
        <v>114</v>
      </c>
      <c r="XDM5" s="7" t="s">
        <v>114</v>
      </c>
      <c r="XDN5" s="7" t="s">
        <v>114</v>
      </c>
      <c r="XDO5" s="7" t="s">
        <v>114</v>
      </c>
      <c r="XDP5" s="7" t="s">
        <v>114</v>
      </c>
      <c r="XDQ5" s="7" t="s">
        <v>114</v>
      </c>
      <c r="XDR5" s="7" t="s">
        <v>114</v>
      </c>
      <c r="XDS5" s="7" t="s">
        <v>115</v>
      </c>
      <c r="XDT5" s="7" t="s">
        <v>115</v>
      </c>
      <c r="XDU5" s="7" t="s">
        <v>115</v>
      </c>
      <c r="XDV5" s="7" t="s">
        <v>115</v>
      </c>
      <c r="XDW5" s="7" t="s">
        <v>115</v>
      </c>
      <c r="XDX5" s="7" t="s">
        <v>115</v>
      </c>
      <c r="XDY5" s="7" t="s">
        <v>115</v>
      </c>
      <c r="XDZ5" s="7" t="s">
        <v>115</v>
      </c>
      <c r="XEA5" s="7" t="s">
        <v>116</v>
      </c>
      <c r="XEB5" s="7" t="s">
        <v>116</v>
      </c>
      <c r="XEC5" s="7" t="s">
        <v>116</v>
      </c>
      <c r="XED5" s="7" t="s">
        <v>116</v>
      </c>
      <c r="XEE5" s="7" t="s">
        <v>116</v>
      </c>
      <c r="XEF5" s="7" t="s">
        <v>116</v>
      </c>
      <c r="XEG5" s="7" t="s">
        <v>116</v>
      </c>
      <c r="XEH5" s="7" t="s">
        <v>117</v>
      </c>
      <c r="XEI5" s="7" t="s">
        <v>117</v>
      </c>
      <c r="XEJ5" s="7" t="s">
        <v>117</v>
      </c>
      <c r="XEK5" s="7" t="s">
        <v>117</v>
      </c>
      <c r="XEL5" s="7" t="s">
        <v>117</v>
      </c>
      <c r="XEM5" s="7" t="s">
        <v>117</v>
      </c>
      <c r="XEN5" s="7" t="s">
        <v>118</v>
      </c>
      <c r="XEO5" s="7" t="s">
        <v>118</v>
      </c>
      <c r="XEP5" s="7" t="s">
        <v>118</v>
      </c>
      <c r="XEQ5" s="7" t="s">
        <v>118</v>
      </c>
      <c r="XER5" s="7" t="s">
        <v>118</v>
      </c>
      <c r="XES5" s="7" t="s">
        <v>119</v>
      </c>
      <c r="XET5" s="7" t="s">
        <v>119</v>
      </c>
      <c r="XEU5" s="7" t="s">
        <v>119</v>
      </c>
      <c r="XEV5" s="7" t="s">
        <v>119</v>
      </c>
      <c r="XEW5" s="7" t="s">
        <v>120</v>
      </c>
      <c r="XEX5" s="7" t="s">
        <v>120</v>
      </c>
      <c r="XEY5" s="7" t="s">
        <v>120</v>
      </c>
      <c r="XEZ5" s="7" t="s">
        <v>121</v>
      </c>
      <c r="XFA5" s="7" t="s">
        <v>121</v>
      </c>
      <c r="XFB5" s="7" t="s">
        <v>122</v>
      </c>
    </row>
    <row r="6" spans="1:44 16327:16382" x14ac:dyDescent="0.2">
      <c r="A6" s="213"/>
      <c r="B6" s="53" t="str">
        <f t="shared" si="1"/>
        <v>A</v>
      </c>
      <c r="C6" s="47" t="str">
        <f t="shared" si="0"/>
        <v>F</v>
      </c>
      <c r="D6" s="47" t="s">
        <v>14</v>
      </c>
      <c r="E6" s="51" t="str">
        <f>LEFT('REPORTS PER EVALUATOR'!$O$6,1)</f>
        <v>A</v>
      </c>
      <c r="F6" s="73">
        <f>(RIGHT('REPORTS PER EVALUATOR'!$O$6,1))*1</f>
        <v>2</v>
      </c>
      <c r="G6" s="52" t="str">
        <f>LEFT('REPORTS PER EVALUATOR'!$O$18,1)</f>
        <v>A</v>
      </c>
      <c r="H6" s="81">
        <f>(RIGHT('REPORTS PER EVALUATOR'!$O$18,1))*1</f>
        <v>2</v>
      </c>
      <c r="I6" s="52" t="str">
        <f>LEFT('REPORTS PER EVALUATOR'!$O$30,1)</f>
        <v>A</v>
      </c>
      <c r="J6" s="81">
        <f>(RIGHT('REPORTS PER EVALUATOR'!$O$30,1))*1</f>
        <v>2</v>
      </c>
      <c r="K6" s="52" t="str">
        <f>LEFT('REPORTS PER EVALUATOR'!$O$42,1)</f>
        <v>F</v>
      </c>
      <c r="L6" s="81">
        <f>(RIGHT('REPORTS PER EVALUATOR'!$O$42,1))*1</f>
        <v>2</v>
      </c>
      <c r="M6" s="52" t="str">
        <f>LEFT('REPORTS PER EVALUATOR'!$O$54,1)</f>
        <v>A</v>
      </c>
      <c r="N6" s="81">
        <f>(RIGHT('REPORTS PER EVALUATOR'!$O$54,1))*1</f>
        <v>2</v>
      </c>
      <c r="O6" s="52" t="str">
        <f>LEFT('REPORTS PER EVALUATOR'!$O$66,1)</f>
        <v>A</v>
      </c>
      <c r="P6" s="81">
        <f>(RIGHT('REPORTS PER EVALUATOR'!$O$66,1))*1</f>
        <v>2</v>
      </c>
      <c r="Q6" s="52" t="str">
        <f>LEFT('REPORTS PER EVALUATOR'!$O$78,1)</f>
        <v>A</v>
      </c>
      <c r="R6" s="81">
        <f>(RIGHT('REPORTS PER EVALUATOR'!$O$78,1))*1</f>
        <v>2</v>
      </c>
      <c r="S6" s="52" t="str">
        <f>LEFT('REPORTS PER EVALUATOR'!$O$90,1)</f>
        <v>A</v>
      </c>
      <c r="T6" s="81">
        <f>(RIGHT('REPORTS PER EVALUATOR'!$O$90,1))*1</f>
        <v>2</v>
      </c>
      <c r="U6" s="52" t="str">
        <f>LEFT('REPORTS PER EVALUATOR'!$O$102,1)</f>
        <v>F</v>
      </c>
      <c r="V6" s="81">
        <f>(RIGHT('REPORTS PER EVALUATOR'!$O$102,1))*1</f>
        <v>2</v>
      </c>
      <c r="W6" s="52" t="str">
        <f>LEFT('REPORTS PER EVALUATOR'!$O$114,1)</f>
        <v>A</v>
      </c>
      <c r="X6" s="81">
        <f>(RIGHT('REPORTS PER EVALUATOR'!$O$114,1))*1</f>
        <v>2</v>
      </c>
      <c r="Y6" s="52" t="str">
        <f>LEFT('REPORTS PER EVALUATOR'!$O$126,1)</f>
        <v>F</v>
      </c>
      <c r="Z6" s="91">
        <f>(RIGHT('REPORTS PER EVALUATOR'!$O$126,1))*1</f>
        <v>2</v>
      </c>
      <c r="AA6" s="52" t="e">
        <f>LEFT('REPORTS PER EVALUATOR'!#REF!,1)</f>
        <v>#REF!</v>
      </c>
      <c r="AB6" s="91" t="e">
        <f>(RIGHT('REPORTS PER EVALUATOR'!#REF!,1))*1</f>
        <v>#REF!</v>
      </c>
      <c r="AC6" s="52" t="e">
        <f>LEFT('REPORTS PER EVALUATOR'!#REF!,1)</f>
        <v>#REF!</v>
      </c>
      <c r="AD6" s="91" t="e">
        <f>(RIGHT('REPORTS PER EVALUATOR'!#REF!,1))*1</f>
        <v>#REF!</v>
      </c>
      <c r="AE6" s="52" t="e">
        <f>LEFT('REPORTS PER EVALUATOR'!#REF!,1)</f>
        <v>#REF!</v>
      </c>
      <c r="AF6" s="91" t="e">
        <f>(RIGHT('REPORTS PER EVALUATOR'!#REF!,1))*1</f>
        <v>#REF!</v>
      </c>
      <c r="AG6" s="52" t="e">
        <f>LEFT('REPORTS PER EVALUATOR'!#REF!,1)</f>
        <v>#REF!</v>
      </c>
      <c r="AH6" s="91" t="e">
        <f>(RIGHT('REPORTS PER EVALUATOR'!#REF!,1))*1</f>
        <v>#REF!</v>
      </c>
      <c r="AI6" s="52" t="e">
        <f>LEFT('REPORTS PER EVALUATOR'!#REF!,1)</f>
        <v>#REF!</v>
      </c>
      <c r="AJ6" s="91" t="e">
        <f>(RIGHT('REPORTS PER EVALUATOR'!#REF!,1))*1</f>
        <v>#REF!</v>
      </c>
      <c r="AK6" s="52" t="e">
        <f>LEFT('REPORTS PER EVALUATOR'!#REF!,1)</f>
        <v>#REF!</v>
      </c>
      <c r="AL6" s="91" t="e">
        <f>(RIGHT('REPORTS PER EVALUATOR'!#REF!,1))*1</f>
        <v>#REF!</v>
      </c>
      <c r="AM6" s="52" t="e">
        <f>LEFT('REPORTS PER EVALUATOR'!#REF!,1)</f>
        <v>#REF!</v>
      </c>
      <c r="AN6" s="91" t="e">
        <f>(RIGHT('REPORTS PER EVALUATOR'!#REF!,1))*1</f>
        <v>#REF!</v>
      </c>
      <c r="AO6" s="52" t="e">
        <f>LEFT('REPORTS PER EVALUATOR'!#REF!,1)</f>
        <v>#REF!</v>
      </c>
      <c r="AP6" s="91" t="e">
        <f>(RIGHT('REPORTS PER EVALUATOR'!#REF!,1))*1</f>
        <v>#REF!</v>
      </c>
      <c r="AQ6" s="52" t="e">
        <f>LEFT('REPORTS PER EVALUATOR'!#REF!,1)</f>
        <v>#REF!</v>
      </c>
      <c r="AR6" s="91" t="e">
        <f>(RIGHT('REPORTS PER EVALUATOR'!#REF!,1))*1</f>
        <v>#REF!</v>
      </c>
      <c r="XCY6" s="7" t="s">
        <v>123</v>
      </c>
      <c r="XCZ6" s="7" t="s">
        <v>124</v>
      </c>
      <c r="XDA6" s="7" t="s">
        <v>125</v>
      </c>
      <c r="XDB6" s="7" t="s">
        <v>126</v>
      </c>
      <c r="XDC6" s="7" t="s">
        <v>127</v>
      </c>
      <c r="XDD6" s="7" t="s">
        <v>128</v>
      </c>
      <c r="XDE6" s="7" t="s">
        <v>129</v>
      </c>
      <c r="XDF6" s="7" t="s">
        <v>130</v>
      </c>
      <c r="XDG6" s="7" t="s">
        <v>131</v>
      </c>
      <c r="XDH6" s="7" t="s">
        <v>136</v>
      </c>
      <c r="XDJ6" s="7" t="s">
        <v>123</v>
      </c>
      <c r="XDK6" s="7" t="s">
        <v>123</v>
      </c>
      <c r="XDL6" s="7" t="s">
        <v>123</v>
      </c>
      <c r="XDM6" s="7" t="s">
        <v>123</v>
      </c>
      <c r="XDN6" s="7" t="s">
        <v>123</v>
      </c>
      <c r="XDO6" s="7" t="s">
        <v>123</v>
      </c>
      <c r="XDP6" s="7" t="s">
        <v>123</v>
      </c>
      <c r="XDQ6" s="7" t="s">
        <v>123</v>
      </c>
      <c r="XDR6" s="7" t="s">
        <v>123</v>
      </c>
      <c r="XDS6" s="7" t="s">
        <v>124</v>
      </c>
      <c r="XDT6" s="7" t="s">
        <v>124</v>
      </c>
      <c r="XDU6" s="7" t="s">
        <v>124</v>
      </c>
      <c r="XDV6" s="7" t="s">
        <v>124</v>
      </c>
      <c r="XDW6" s="7" t="s">
        <v>124</v>
      </c>
      <c r="XDX6" s="7" t="s">
        <v>124</v>
      </c>
      <c r="XDY6" s="7" t="s">
        <v>124</v>
      </c>
      <c r="XDZ6" s="7" t="s">
        <v>124</v>
      </c>
      <c r="XEA6" s="7" t="s">
        <v>125</v>
      </c>
      <c r="XEB6" s="7" t="s">
        <v>125</v>
      </c>
      <c r="XEC6" s="7" t="s">
        <v>125</v>
      </c>
      <c r="XED6" s="7" t="s">
        <v>125</v>
      </c>
      <c r="XEE6" s="7" t="s">
        <v>125</v>
      </c>
      <c r="XEF6" s="7" t="s">
        <v>125</v>
      </c>
      <c r="XEG6" s="7" t="s">
        <v>125</v>
      </c>
      <c r="XEH6" s="7" t="s">
        <v>126</v>
      </c>
      <c r="XEI6" s="7" t="s">
        <v>126</v>
      </c>
      <c r="XEJ6" s="7" t="s">
        <v>126</v>
      </c>
      <c r="XEK6" s="7" t="s">
        <v>126</v>
      </c>
      <c r="XEL6" s="7" t="s">
        <v>126</v>
      </c>
      <c r="XEM6" s="7" t="s">
        <v>126</v>
      </c>
      <c r="XEN6" s="7" t="s">
        <v>127</v>
      </c>
      <c r="XEO6" s="7" t="s">
        <v>127</v>
      </c>
      <c r="XEP6" s="7" t="s">
        <v>127</v>
      </c>
      <c r="XEQ6" s="7" t="s">
        <v>127</v>
      </c>
      <c r="XER6" s="7" t="s">
        <v>127</v>
      </c>
      <c r="XES6" s="7" t="s">
        <v>128</v>
      </c>
      <c r="XET6" s="7" t="s">
        <v>128</v>
      </c>
      <c r="XEU6" s="7" t="s">
        <v>128</v>
      </c>
      <c r="XEV6" s="7" t="s">
        <v>128</v>
      </c>
      <c r="XEW6" s="7" t="s">
        <v>129</v>
      </c>
      <c r="XEX6" s="7" t="s">
        <v>129</v>
      </c>
      <c r="XEY6" s="7" t="s">
        <v>129</v>
      </c>
      <c r="XEZ6" s="7" t="s">
        <v>130</v>
      </c>
      <c r="XFA6" s="7" t="s">
        <v>130</v>
      </c>
      <c r="XFB6" s="7" t="s">
        <v>131</v>
      </c>
    </row>
    <row r="7" spans="1:44 16327:16382" x14ac:dyDescent="0.2">
      <c r="A7" s="213"/>
      <c r="B7" s="53" t="str">
        <f t="shared" si="1"/>
        <v>A</v>
      </c>
      <c r="C7" s="47" t="str">
        <f t="shared" si="0"/>
        <v>G</v>
      </c>
      <c r="D7" s="47" t="s">
        <v>15</v>
      </c>
      <c r="E7" s="51" t="str">
        <f>LEFT('REPORTS PER EVALUATOR'!$P$6,1)</f>
        <v>A</v>
      </c>
      <c r="F7" s="73">
        <f>(RIGHT('REPORTS PER EVALUATOR'!$P$6,1))*1</f>
        <v>3</v>
      </c>
      <c r="G7" s="52" t="str">
        <f>LEFT('REPORTS PER EVALUATOR'!$P$18,1)</f>
        <v>A</v>
      </c>
      <c r="H7" s="81">
        <f>(RIGHT('REPORTS PER EVALUATOR'!$P$18,1))*1</f>
        <v>4</v>
      </c>
      <c r="I7" s="52" t="str">
        <f>LEFT('REPORTS PER EVALUATOR'!$P$30,1)</f>
        <v>A</v>
      </c>
      <c r="J7" s="81">
        <f>(RIGHT('REPORTS PER EVALUATOR'!$P$30,1))*1</f>
        <v>3</v>
      </c>
      <c r="K7" s="52" t="str">
        <f>LEFT('REPORTS PER EVALUATOR'!$P$42,1)</f>
        <v>A</v>
      </c>
      <c r="L7" s="81">
        <f>(RIGHT('REPORTS PER EVALUATOR'!$P$42,1))*1</f>
        <v>2</v>
      </c>
      <c r="M7" s="52" t="str">
        <f>LEFT('REPORTS PER EVALUATOR'!$P$54,1)</f>
        <v>A</v>
      </c>
      <c r="N7" s="81">
        <f>(RIGHT('REPORTS PER EVALUATOR'!$P$54,1))*1</f>
        <v>3</v>
      </c>
      <c r="O7" s="52" t="str">
        <f>LEFT('REPORTS PER EVALUATOR'!$P$66,1)</f>
        <v>A</v>
      </c>
      <c r="P7" s="81">
        <f>(RIGHT('REPORTS PER EVALUATOR'!$P$66,1))*1</f>
        <v>3</v>
      </c>
      <c r="Q7" s="52" t="str">
        <f>LEFT('REPORTS PER EVALUATOR'!$P$78,1)</f>
        <v>A</v>
      </c>
      <c r="R7" s="81">
        <f>(RIGHT('REPORTS PER EVALUATOR'!$P$78,1))*1</f>
        <v>2</v>
      </c>
      <c r="S7" s="52" t="str">
        <f>LEFT('REPORTS PER EVALUATOR'!$P$90,1)</f>
        <v>A</v>
      </c>
      <c r="T7" s="81">
        <f>(RIGHT('REPORTS PER EVALUATOR'!$P$90,1))*1</f>
        <v>6</v>
      </c>
      <c r="U7" s="52" t="str">
        <f>LEFT('REPORTS PER EVALUATOR'!$P$102,1)</f>
        <v>A</v>
      </c>
      <c r="V7" s="81">
        <f>(RIGHT('REPORTS PER EVALUATOR'!$P$102,1))*1</f>
        <v>2</v>
      </c>
      <c r="W7" s="52" t="str">
        <f>LEFT('REPORTS PER EVALUATOR'!$P$114,1)</f>
        <v>A</v>
      </c>
      <c r="X7" s="81">
        <f>(RIGHT('REPORTS PER EVALUATOR'!$P$114,1))*1</f>
        <v>3</v>
      </c>
      <c r="Y7" s="52" t="str">
        <f>LEFT('REPORTS PER EVALUATOR'!$P$126,1)</f>
        <v>A</v>
      </c>
      <c r="Z7" s="91">
        <f>(RIGHT('REPORTS PER EVALUATOR'!$P$126,1))*1</f>
        <v>3</v>
      </c>
      <c r="AA7" s="52" t="e">
        <f>LEFT('REPORTS PER EVALUATOR'!#REF!,1)</f>
        <v>#REF!</v>
      </c>
      <c r="AB7" s="91" t="e">
        <f>(RIGHT('REPORTS PER EVALUATOR'!#REF!,1))*1</f>
        <v>#REF!</v>
      </c>
      <c r="AC7" s="52" t="e">
        <f>LEFT('REPORTS PER EVALUATOR'!#REF!,1)</f>
        <v>#REF!</v>
      </c>
      <c r="AD7" s="91" t="e">
        <f>(RIGHT('REPORTS PER EVALUATOR'!#REF!,1))*1</f>
        <v>#REF!</v>
      </c>
      <c r="AE7" s="52" t="e">
        <f>LEFT('REPORTS PER EVALUATOR'!#REF!,1)</f>
        <v>#REF!</v>
      </c>
      <c r="AF7" s="91" t="e">
        <f>(RIGHT('REPORTS PER EVALUATOR'!#REF!,1))*1</f>
        <v>#REF!</v>
      </c>
      <c r="AG7" s="52" t="e">
        <f>LEFT('REPORTS PER EVALUATOR'!#REF!,1)</f>
        <v>#REF!</v>
      </c>
      <c r="AH7" s="91" t="e">
        <f>(RIGHT('REPORTS PER EVALUATOR'!#REF!,1))*1</f>
        <v>#REF!</v>
      </c>
      <c r="AI7" s="52" t="e">
        <f>LEFT('REPORTS PER EVALUATOR'!#REF!,1)</f>
        <v>#REF!</v>
      </c>
      <c r="AJ7" s="91" t="e">
        <f>(RIGHT('REPORTS PER EVALUATOR'!#REF!,1))*1</f>
        <v>#REF!</v>
      </c>
      <c r="AK7" s="52" t="e">
        <f>LEFT('REPORTS PER EVALUATOR'!#REF!,1)</f>
        <v>#REF!</v>
      </c>
      <c r="AL7" s="91" t="e">
        <f>(RIGHT('REPORTS PER EVALUATOR'!#REF!,1))*1</f>
        <v>#REF!</v>
      </c>
      <c r="AM7" s="52" t="e">
        <f>LEFT('REPORTS PER EVALUATOR'!#REF!,1)</f>
        <v>#REF!</v>
      </c>
      <c r="AN7" s="91" t="e">
        <f>(RIGHT('REPORTS PER EVALUATOR'!#REF!,1))*1</f>
        <v>#REF!</v>
      </c>
      <c r="AO7" s="52" t="e">
        <f>LEFT('REPORTS PER EVALUATOR'!#REF!,1)</f>
        <v>#REF!</v>
      </c>
      <c r="AP7" s="91" t="e">
        <f>(RIGHT('REPORTS PER EVALUATOR'!#REF!,1))*1</f>
        <v>#REF!</v>
      </c>
      <c r="AQ7" s="52" t="e">
        <f>LEFT('REPORTS PER EVALUATOR'!#REF!,1)</f>
        <v>#REF!</v>
      </c>
      <c r="AR7" s="91" t="e">
        <f>(RIGHT('REPORTS PER EVALUATOR'!#REF!,1))*1</f>
        <v>#REF!</v>
      </c>
      <c r="XCY7" s="7" t="s">
        <v>153</v>
      </c>
      <c r="XCZ7" s="7" t="s">
        <v>153</v>
      </c>
      <c r="XDA7" s="7" t="s">
        <v>153</v>
      </c>
      <c r="XDB7" s="7" t="s">
        <v>153</v>
      </c>
      <c r="XDC7" s="7" t="s">
        <v>153</v>
      </c>
      <c r="XDD7" s="7" t="s">
        <v>153</v>
      </c>
      <c r="XDE7" s="7" t="s">
        <v>153</v>
      </c>
      <c r="XDF7" s="7" t="s">
        <v>153</v>
      </c>
      <c r="XDG7" s="7" t="s">
        <v>153</v>
      </c>
      <c r="XDH7" s="7" t="s">
        <v>153</v>
      </c>
      <c r="XDJ7" s="7" t="s">
        <v>88</v>
      </c>
      <c r="XDK7" s="7" t="s">
        <v>89</v>
      </c>
      <c r="XDL7" s="7" t="s">
        <v>90</v>
      </c>
      <c r="XDM7" s="7" t="s">
        <v>91</v>
      </c>
      <c r="XDN7" s="7" t="s">
        <v>92</v>
      </c>
      <c r="XDO7" s="7" t="s">
        <v>93</v>
      </c>
      <c r="XDP7" s="7" t="s">
        <v>94</v>
      </c>
      <c r="XDQ7" s="7" t="s">
        <v>95</v>
      </c>
      <c r="XDR7" s="7" t="s">
        <v>132</v>
      </c>
      <c r="XDS7" s="7" t="s">
        <v>89</v>
      </c>
      <c r="XDT7" s="7" t="s">
        <v>90</v>
      </c>
      <c r="XDU7" s="7" t="s">
        <v>91</v>
      </c>
      <c r="XDV7" s="7" t="s">
        <v>92</v>
      </c>
      <c r="XDW7" s="7" t="s">
        <v>93</v>
      </c>
      <c r="XDX7" s="7" t="s">
        <v>94</v>
      </c>
      <c r="XDY7" s="7" t="s">
        <v>95</v>
      </c>
      <c r="XDZ7" s="7" t="s">
        <v>132</v>
      </c>
      <c r="XEA7" s="7" t="s">
        <v>90</v>
      </c>
      <c r="XEB7" s="7" t="s">
        <v>91</v>
      </c>
      <c r="XEC7" s="7" t="s">
        <v>92</v>
      </c>
      <c r="XED7" s="7" t="s">
        <v>93</v>
      </c>
      <c r="XEE7" s="7" t="s">
        <v>94</v>
      </c>
      <c r="XEF7" s="7" t="s">
        <v>95</v>
      </c>
      <c r="XEG7" s="7" t="s">
        <v>132</v>
      </c>
      <c r="XEH7" s="7" t="s">
        <v>91</v>
      </c>
      <c r="XEI7" s="7" t="s">
        <v>92</v>
      </c>
      <c r="XEJ7" s="7" t="s">
        <v>93</v>
      </c>
      <c r="XEK7" s="7" t="s">
        <v>94</v>
      </c>
      <c r="XEL7" s="7" t="s">
        <v>95</v>
      </c>
      <c r="XEM7" s="7" t="s">
        <v>132</v>
      </c>
      <c r="XEN7" s="7" t="s">
        <v>92</v>
      </c>
      <c r="XEO7" s="7" t="s">
        <v>93</v>
      </c>
      <c r="XEP7" s="7" t="s">
        <v>94</v>
      </c>
      <c r="XEQ7" s="7" t="s">
        <v>95</v>
      </c>
      <c r="XER7" s="7" t="s">
        <v>132</v>
      </c>
      <c r="XES7" s="7" t="s">
        <v>93</v>
      </c>
      <c r="XET7" s="7" t="s">
        <v>94</v>
      </c>
      <c r="XEU7" s="7" t="s">
        <v>95</v>
      </c>
      <c r="XEV7" s="7" t="s">
        <v>132</v>
      </c>
      <c r="XEW7" s="7" t="s">
        <v>94</v>
      </c>
      <c r="XEX7" s="7" t="s">
        <v>95</v>
      </c>
      <c r="XEY7" s="7" t="s">
        <v>132</v>
      </c>
      <c r="XEZ7" s="7" t="s">
        <v>95</v>
      </c>
      <c r="XFA7" s="7" t="s">
        <v>132</v>
      </c>
      <c r="XFB7" s="7" t="s">
        <v>132</v>
      </c>
    </row>
    <row r="8" spans="1:44 16327:16382" x14ac:dyDescent="0.2">
      <c r="A8" s="213"/>
      <c r="B8" s="53" t="str">
        <f t="shared" si="1"/>
        <v>A</v>
      </c>
      <c r="C8" s="47" t="str">
        <f t="shared" si="0"/>
        <v>H</v>
      </c>
      <c r="D8" s="47" t="s">
        <v>16</v>
      </c>
      <c r="E8" s="51" t="str">
        <f>LEFT('REPORTS PER EVALUATOR'!$Q$6,1)</f>
        <v>H</v>
      </c>
      <c r="F8" s="73">
        <f>(RIGHT('REPORTS PER EVALUATOR'!$Q$6,1))*1</f>
        <v>2</v>
      </c>
      <c r="G8" s="52" t="str">
        <f>LEFT('REPORTS PER EVALUATOR'!$Q$18,1)</f>
        <v>A</v>
      </c>
      <c r="H8" s="81">
        <f>(RIGHT('REPORTS PER EVALUATOR'!$Q$18,1))*1</f>
        <v>3</v>
      </c>
      <c r="I8" s="52" t="str">
        <f>LEFT('REPORTS PER EVALUATOR'!$Q$30,1)</f>
        <v>A</v>
      </c>
      <c r="J8" s="81">
        <f>(RIGHT('REPORTS PER EVALUATOR'!$Q$30,1))*1</f>
        <v>3</v>
      </c>
      <c r="K8" s="52" t="str">
        <f>LEFT('REPORTS PER EVALUATOR'!$Q$42,1)</f>
        <v>A</v>
      </c>
      <c r="L8" s="81">
        <f>(RIGHT('REPORTS PER EVALUATOR'!$Q$42,1))*1</f>
        <v>3</v>
      </c>
      <c r="M8" s="52" t="str">
        <f>LEFT('REPORTS PER EVALUATOR'!$Q$54,1)</f>
        <v>A</v>
      </c>
      <c r="N8" s="81">
        <f>(RIGHT('REPORTS PER EVALUATOR'!$Q$54,1))*1</f>
        <v>2</v>
      </c>
      <c r="O8" s="52" t="str">
        <f>LEFT('REPORTS PER EVALUATOR'!$Q$66,1)</f>
        <v>H</v>
      </c>
      <c r="P8" s="81">
        <f>(RIGHT('REPORTS PER EVALUATOR'!$Q$66,1))*1</f>
        <v>2</v>
      </c>
      <c r="Q8" s="52" t="str">
        <f>LEFT('REPORTS PER EVALUATOR'!$Q$78,1)</f>
        <v>A</v>
      </c>
      <c r="R8" s="81">
        <f>(RIGHT('REPORTS PER EVALUATOR'!$Q$78,1))*1</f>
        <v>3</v>
      </c>
      <c r="S8" s="52" t="str">
        <f>LEFT('REPORTS PER EVALUATOR'!$Q$90,1)</f>
        <v>A</v>
      </c>
      <c r="T8" s="81">
        <f>(RIGHT('REPORTS PER EVALUATOR'!$Q$90,1))*1</f>
        <v>2</v>
      </c>
      <c r="U8" s="52" t="str">
        <f>LEFT('REPORTS PER EVALUATOR'!$Q$102,1)</f>
        <v>H</v>
      </c>
      <c r="V8" s="81">
        <f>(RIGHT('REPORTS PER EVALUATOR'!$Q$102,1))*1</f>
        <v>3</v>
      </c>
      <c r="W8" s="52" t="str">
        <f>LEFT('REPORTS PER EVALUATOR'!$Q$114,1)</f>
        <v>H</v>
      </c>
      <c r="X8" s="81">
        <f>(RIGHT('REPORTS PER EVALUATOR'!$Q$114,1))*1</f>
        <v>2</v>
      </c>
      <c r="Y8" s="52" t="str">
        <f>LEFT('REPORTS PER EVALUATOR'!$Q$126,1)</f>
        <v>A</v>
      </c>
      <c r="Z8" s="91">
        <f>(RIGHT('REPORTS PER EVALUATOR'!$Q$126,1))*1</f>
        <v>2</v>
      </c>
      <c r="AA8" s="52" t="e">
        <f>LEFT('REPORTS PER EVALUATOR'!#REF!,1)</f>
        <v>#REF!</v>
      </c>
      <c r="AB8" s="91" t="e">
        <f>(RIGHT('REPORTS PER EVALUATOR'!#REF!,1))*1</f>
        <v>#REF!</v>
      </c>
      <c r="AC8" s="52" t="e">
        <f>LEFT('REPORTS PER EVALUATOR'!#REF!,1)</f>
        <v>#REF!</v>
      </c>
      <c r="AD8" s="91" t="e">
        <f>(RIGHT('REPORTS PER EVALUATOR'!#REF!,1))*1</f>
        <v>#REF!</v>
      </c>
      <c r="AE8" s="52" t="e">
        <f>LEFT('REPORTS PER EVALUATOR'!#REF!,1)</f>
        <v>#REF!</v>
      </c>
      <c r="AF8" s="91" t="e">
        <f>(RIGHT('REPORTS PER EVALUATOR'!#REF!,1))*1</f>
        <v>#REF!</v>
      </c>
      <c r="AG8" s="52" t="e">
        <f>LEFT('REPORTS PER EVALUATOR'!#REF!,1)</f>
        <v>#REF!</v>
      </c>
      <c r="AH8" s="91" t="e">
        <f>(RIGHT('REPORTS PER EVALUATOR'!#REF!,1))*1</f>
        <v>#REF!</v>
      </c>
      <c r="AI8" s="52" t="e">
        <f>LEFT('REPORTS PER EVALUATOR'!#REF!,1)</f>
        <v>#REF!</v>
      </c>
      <c r="AJ8" s="91" t="e">
        <f>(RIGHT('REPORTS PER EVALUATOR'!#REF!,1))*1</f>
        <v>#REF!</v>
      </c>
      <c r="AK8" s="52" t="e">
        <f>LEFT('REPORTS PER EVALUATOR'!#REF!,1)</f>
        <v>#REF!</v>
      </c>
      <c r="AL8" s="91" t="e">
        <f>(RIGHT('REPORTS PER EVALUATOR'!#REF!,1))*1</f>
        <v>#REF!</v>
      </c>
      <c r="AM8" s="52" t="e">
        <f>LEFT('REPORTS PER EVALUATOR'!#REF!,1)</f>
        <v>#REF!</v>
      </c>
      <c r="AN8" s="91" t="e">
        <f>(RIGHT('REPORTS PER EVALUATOR'!#REF!,1))*1</f>
        <v>#REF!</v>
      </c>
      <c r="AO8" s="52" t="e">
        <f>LEFT('REPORTS PER EVALUATOR'!#REF!,1)</f>
        <v>#REF!</v>
      </c>
      <c r="AP8" s="91" t="e">
        <f>(RIGHT('REPORTS PER EVALUATOR'!#REF!,1))*1</f>
        <v>#REF!</v>
      </c>
      <c r="AQ8" s="52" t="e">
        <f>LEFT('REPORTS PER EVALUATOR'!#REF!,1)</f>
        <v>#REF!</v>
      </c>
      <c r="AR8" s="91" t="e">
        <f>(RIGHT('REPORTS PER EVALUATOR'!#REF!,1))*1</f>
        <v>#REF!</v>
      </c>
      <c r="XCY8" s="7" t="s">
        <v>151</v>
      </c>
      <c r="XCZ8" s="7" t="s">
        <v>151</v>
      </c>
      <c r="XDA8" s="7" t="s">
        <v>151</v>
      </c>
      <c r="XDB8" s="7" t="s">
        <v>151</v>
      </c>
      <c r="XDC8" s="7" t="s">
        <v>151</v>
      </c>
      <c r="XDD8" s="7" t="s">
        <v>151</v>
      </c>
      <c r="XDE8" s="7" t="s">
        <v>151</v>
      </c>
      <c r="XDF8" s="7" t="s">
        <v>151</v>
      </c>
      <c r="XDG8" s="7" t="s">
        <v>151</v>
      </c>
      <c r="XDH8" s="7" t="s">
        <v>151</v>
      </c>
      <c r="XDJ8" s="7" t="s">
        <v>97</v>
      </c>
      <c r="XDK8" s="7" t="s">
        <v>98</v>
      </c>
      <c r="XDL8" s="7" t="s">
        <v>99</v>
      </c>
      <c r="XDM8" s="7" t="s">
        <v>100</v>
      </c>
      <c r="XDN8" s="7" t="s">
        <v>101</v>
      </c>
      <c r="XDO8" s="7" t="s">
        <v>102</v>
      </c>
      <c r="XDP8" s="7" t="s">
        <v>103</v>
      </c>
      <c r="XDQ8" s="7" t="s">
        <v>104</v>
      </c>
      <c r="XDR8" s="7" t="s">
        <v>133</v>
      </c>
      <c r="XDS8" s="7" t="s">
        <v>98</v>
      </c>
      <c r="XDT8" s="7" t="s">
        <v>99</v>
      </c>
      <c r="XDU8" s="7" t="s">
        <v>100</v>
      </c>
      <c r="XDV8" s="7" t="s">
        <v>101</v>
      </c>
      <c r="XDW8" s="7" t="s">
        <v>102</v>
      </c>
      <c r="XDX8" s="7" t="s">
        <v>103</v>
      </c>
      <c r="XDY8" s="7" t="s">
        <v>104</v>
      </c>
      <c r="XDZ8" s="7" t="s">
        <v>133</v>
      </c>
      <c r="XEA8" s="7" t="s">
        <v>99</v>
      </c>
      <c r="XEB8" s="7" t="s">
        <v>100</v>
      </c>
      <c r="XEC8" s="7" t="s">
        <v>101</v>
      </c>
      <c r="XED8" s="7" t="s">
        <v>102</v>
      </c>
      <c r="XEE8" s="7" t="s">
        <v>103</v>
      </c>
      <c r="XEF8" s="7" t="s">
        <v>104</v>
      </c>
      <c r="XEG8" s="7" t="s">
        <v>133</v>
      </c>
      <c r="XEH8" s="7" t="s">
        <v>100</v>
      </c>
      <c r="XEI8" s="7" t="s">
        <v>101</v>
      </c>
      <c r="XEJ8" s="7" t="s">
        <v>102</v>
      </c>
      <c r="XEK8" s="7" t="s">
        <v>103</v>
      </c>
      <c r="XEL8" s="7" t="s">
        <v>104</v>
      </c>
      <c r="XEM8" s="7" t="s">
        <v>133</v>
      </c>
      <c r="XEN8" s="7" t="s">
        <v>101</v>
      </c>
      <c r="XEO8" s="7" t="s">
        <v>102</v>
      </c>
      <c r="XEP8" s="7" t="s">
        <v>103</v>
      </c>
      <c r="XEQ8" s="7" t="s">
        <v>104</v>
      </c>
      <c r="XER8" s="7" t="s">
        <v>133</v>
      </c>
      <c r="XES8" s="7" t="s">
        <v>102</v>
      </c>
      <c r="XET8" s="7" t="s">
        <v>103</v>
      </c>
      <c r="XEU8" s="7" t="s">
        <v>104</v>
      </c>
      <c r="XEV8" s="7" t="s">
        <v>133</v>
      </c>
      <c r="XEW8" s="7" t="s">
        <v>103</v>
      </c>
      <c r="XEX8" s="7" t="s">
        <v>104</v>
      </c>
      <c r="XEY8" s="7" t="s">
        <v>133</v>
      </c>
      <c r="XEZ8" s="7" t="s">
        <v>104</v>
      </c>
      <c r="XFA8" s="7" t="s">
        <v>133</v>
      </c>
      <c r="XFB8" s="7" t="s">
        <v>133</v>
      </c>
    </row>
    <row r="9" spans="1:44 16327:16382" x14ac:dyDescent="0.2">
      <c r="A9" s="213"/>
      <c r="B9" s="53" t="str">
        <f t="shared" si="1"/>
        <v>A</v>
      </c>
      <c r="C9" s="47" t="str">
        <f t="shared" si="0"/>
        <v>I</v>
      </c>
      <c r="D9" s="47" t="s">
        <v>17</v>
      </c>
      <c r="E9" s="51" t="str">
        <f>LEFT('REPORTS PER EVALUATOR'!$R$6,1)</f>
        <v>1</v>
      </c>
      <c r="F9" s="73">
        <f>(RIGHT('REPORTS PER EVALUATOR'!$R$6,1))*1</f>
        <v>1</v>
      </c>
      <c r="G9" s="52" t="str">
        <f>LEFT('REPORTS PER EVALUATOR'!$R$18,1)</f>
        <v>A</v>
      </c>
      <c r="H9" s="81">
        <f>(RIGHT('REPORTS PER EVALUATOR'!$R$18,1))*1</f>
        <v>3</v>
      </c>
      <c r="I9" s="52" t="str">
        <f>LEFT('REPORTS PER EVALUATOR'!$R$30,1)</f>
        <v>I</v>
      </c>
      <c r="J9" s="81">
        <f>(RIGHT('REPORTS PER EVALUATOR'!$R$30,1))*1</f>
        <v>3</v>
      </c>
      <c r="K9" s="52" t="str">
        <f>LEFT('REPORTS PER EVALUATOR'!$R$42,1)</f>
        <v>A</v>
      </c>
      <c r="L9" s="81">
        <f>(RIGHT('REPORTS PER EVALUATOR'!$R$42,1))*1</f>
        <v>2</v>
      </c>
      <c r="M9" s="52" t="str">
        <f>LEFT('REPORTS PER EVALUATOR'!$R$54,1)</f>
        <v>A</v>
      </c>
      <c r="N9" s="81">
        <f>(RIGHT('REPORTS PER EVALUATOR'!$R$54,1))*1</f>
        <v>2</v>
      </c>
      <c r="O9" s="52" t="str">
        <f>LEFT('REPORTS PER EVALUATOR'!$R$66,1)</f>
        <v>A</v>
      </c>
      <c r="P9" s="81">
        <f>(RIGHT('REPORTS PER EVALUATOR'!$R$66,1))*1</f>
        <v>2</v>
      </c>
      <c r="Q9" s="52" t="str">
        <f>LEFT('REPORTS PER EVALUATOR'!$R$78,1)</f>
        <v>A</v>
      </c>
      <c r="R9" s="81">
        <f>(RIGHT('REPORTS PER EVALUATOR'!$R$78,1))*1</f>
        <v>3</v>
      </c>
      <c r="S9" s="52" t="str">
        <f>LEFT('REPORTS PER EVALUATOR'!$R$90,1)</f>
        <v>A</v>
      </c>
      <c r="T9" s="81">
        <f>(RIGHT('REPORTS PER EVALUATOR'!$R$90,1))*1</f>
        <v>2</v>
      </c>
      <c r="U9" s="52" t="str">
        <f>LEFT('REPORTS PER EVALUATOR'!$R$102,1)</f>
        <v>A</v>
      </c>
      <c r="V9" s="81">
        <f>(RIGHT('REPORTS PER EVALUATOR'!$R$102,1))*1</f>
        <v>3</v>
      </c>
      <c r="W9" s="52" t="str">
        <f>LEFT('REPORTS PER EVALUATOR'!$R$114,1)</f>
        <v>1</v>
      </c>
      <c r="X9" s="81">
        <f>(RIGHT('REPORTS PER EVALUATOR'!$R$114,1))*1</f>
        <v>1</v>
      </c>
      <c r="Y9" s="52" t="str">
        <f>LEFT('REPORTS PER EVALUATOR'!$R$126,1)</f>
        <v>A</v>
      </c>
      <c r="Z9" s="91">
        <f>(RIGHT('REPORTS PER EVALUATOR'!$R$126,1))*1</f>
        <v>2</v>
      </c>
      <c r="AA9" s="52" t="e">
        <f>LEFT('REPORTS PER EVALUATOR'!#REF!,1)</f>
        <v>#REF!</v>
      </c>
      <c r="AB9" s="91" t="e">
        <f>(RIGHT('REPORTS PER EVALUATOR'!#REF!,1))*1</f>
        <v>#REF!</v>
      </c>
      <c r="AC9" s="52" t="e">
        <f>LEFT('REPORTS PER EVALUATOR'!#REF!,1)</f>
        <v>#REF!</v>
      </c>
      <c r="AD9" s="91" t="e">
        <f>(RIGHT('REPORTS PER EVALUATOR'!#REF!,1))*1</f>
        <v>#REF!</v>
      </c>
      <c r="AE9" s="52" t="e">
        <f>LEFT('REPORTS PER EVALUATOR'!#REF!,1)</f>
        <v>#REF!</v>
      </c>
      <c r="AF9" s="91" t="e">
        <f>(RIGHT('REPORTS PER EVALUATOR'!#REF!,1))*1</f>
        <v>#REF!</v>
      </c>
      <c r="AG9" s="52" t="e">
        <f>LEFT('REPORTS PER EVALUATOR'!#REF!,1)</f>
        <v>#REF!</v>
      </c>
      <c r="AH9" s="91" t="e">
        <f>(RIGHT('REPORTS PER EVALUATOR'!#REF!,1))*1</f>
        <v>#REF!</v>
      </c>
      <c r="AI9" s="52" t="e">
        <f>LEFT('REPORTS PER EVALUATOR'!#REF!,1)</f>
        <v>#REF!</v>
      </c>
      <c r="AJ9" s="91" t="e">
        <f>(RIGHT('REPORTS PER EVALUATOR'!#REF!,1))*1</f>
        <v>#REF!</v>
      </c>
      <c r="AK9" s="52" t="e">
        <f>LEFT('REPORTS PER EVALUATOR'!#REF!,1)</f>
        <v>#REF!</v>
      </c>
      <c r="AL9" s="91" t="e">
        <f>(RIGHT('REPORTS PER EVALUATOR'!#REF!,1))*1</f>
        <v>#REF!</v>
      </c>
      <c r="AM9" s="52" t="e">
        <f>LEFT('REPORTS PER EVALUATOR'!#REF!,1)</f>
        <v>#REF!</v>
      </c>
      <c r="AN9" s="91" t="e">
        <f>(RIGHT('REPORTS PER EVALUATOR'!#REF!,1))*1</f>
        <v>#REF!</v>
      </c>
      <c r="AO9" s="52" t="e">
        <f>LEFT('REPORTS PER EVALUATOR'!#REF!,1)</f>
        <v>#REF!</v>
      </c>
      <c r="AP9" s="91" t="e">
        <f>(RIGHT('REPORTS PER EVALUATOR'!#REF!,1))*1</f>
        <v>#REF!</v>
      </c>
      <c r="AQ9" s="52" t="e">
        <f>LEFT('REPORTS PER EVALUATOR'!#REF!,1)</f>
        <v>#REF!</v>
      </c>
      <c r="AR9" s="91" t="e">
        <f>(RIGHT('REPORTS PER EVALUATOR'!#REF!,1))*1</f>
        <v>#REF!</v>
      </c>
      <c r="XCY9" s="7" t="s">
        <v>152</v>
      </c>
      <c r="XCZ9" s="7" t="s">
        <v>152</v>
      </c>
      <c r="XDA9" s="7" t="s">
        <v>152</v>
      </c>
      <c r="XDB9" s="7" t="s">
        <v>152</v>
      </c>
      <c r="XDC9" s="7" t="s">
        <v>152</v>
      </c>
      <c r="XDD9" s="7" t="s">
        <v>152</v>
      </c>
      <c r="XDE9" s="7" t="s">
        <v>152</v>
      </c>
      <c r="XDF9" s="7" t="s">
        <v>152</v>
      </c>
      <c r="XDG9" s="7" t="s">
        <v>152</v>
      </c>
      <c r="XDH9" s="7" t="s">
        <v>152</v>
      </c>
      <c r="XDJ9" s="7" t="s">
        <v>106</v>
      </c>
      <c r="XDK9" s="7" t="s">
        <v>107</v>
      </c>
      <c r="XDL9" s="7" t="s">
        <v>108</v>
      </c>
      <c r="XDM9" s="7" t="s">
        <v>109</v>
      </c>
      <c r="XDN9" s="7" t="s">
        <v>110</v>
      </c>
      <c r="XDO9" s="7" t="s">
        <v>111</v>
      </c>
      <c r="XDP9" s="7" t="s">
        <v>112</v>
      </c>
      <c r="XDQ9" s="7" t="s">
        <v>113</v>
      </c>
      <c r="XDR9" s="7" t="s">
        <v>134</v>
      </c>
      <c r="XDS9" s="7" t="s">
        <v>107</v>
      </c>
      <c r="XDT9" s="7" t="s">
        <v>108</v>
      </c>
      <c r="XDU9" s="7" t="s">
        <v>109</v>
      </c>
      <c r="XDV9" s="7" t="s">
        <v>110</v>
      </c>
      <c r="XDW9" s="7" t="s">
        <v>111</v>
      </c>
      <c r="XDX9" s="7" t="s">
        <v>112</v>
      </c>
      <c r="XDY9" s="7" t="s">
        <v>113</v>
      </c>
      <c r="XDZ9" s="7" t="s">
        <v>134</v>
      </c>
      <c r="XEA9" s="7" t="s">
        <v>108</v>
      </c>
      <c r="XEB9" s="7" t="s">
        <v>109</v>
      </c>
      <c r="XEC9" s="7" t="s">
        <v>110</v>
      </c>
      <c r="XED9" s="7" t="s">
        <v>111</v>
      </c>
      <c r="XEE9" s="7" t="s">
        <v>112</v>
      </c>
      <c r="XEF9" s="7" t="s">
        <v>113</v>
      </c>
      <c r="XEG9" s="7" t="s">
        <v>134</v>
      </c>
      <c r="XEH9" s="7" t="s">
        <v>109</v>
      </c>
      <c r="XEI9" s="7" t="s">
        <v>110</v>
      </c>
      <c r="XEJ9" s="7" t="s">
        <v>111</v>
      </c>
      <c r="XEK9" s="7" t="s">
        <v>112</v>
      </c>
      <c r="XEL9" s="7" t="s">
        <v>113</v>
      </c>
      <c r="XEM9" s="7" t="s">
        <v>134</v>
      </c>
      <c r="XEN9" s="7" t="s">
        <v>110</v>
      </c>
      <c r="XEO9" s="7" t="s">
        <v>111</v>
      </c>
      <c r="XEP9" s="7" t="s">
        <v>112</v>
      </c>
      <c r="XEQ9" s="7" t="s">
        <v>113</v>
      </c>
      <c r="XER9" s="7" t="s">
        <v>134</v>
      </c>
      <c r="XES9" s="7" t="s">
        <v>111</v>
      </c>
      <c r="XET9" s="7" t="s">
        <v>112</v>
      </c>
      <c r="XEU9" s="7" t="s">
        <v>113</v>
      </c>
      <c r="XEV9" s="7" t="s">
        <v>134</v>
      </c>
      <c r="XEW9" s="7" t="s">
        <v>112</v>
      </c>
      <c r="XEX9" s="7" t="s">
        <v>113</v>
      </c>
      <c r="XEY9" s="7" t="s">
        <v>134</v>
      </c>
      <c r="XEZ9" s="7" t="s">
        <v>113</v>
      </c>
      <c r="XFA9" s="7" t="s">
        <v>134</v>
      </c>
      <c r="XFB9" s="7" t="s">
        <v>134</v>
      </c>
    </row>
    <row r="10" spans="1:44 16327:16382" x14ac:dyDescent="0.2">
      <c r="A10" s="213"/>
      <c r="B10" s="53" t="str">
        <f t="shared" si="1"/>
        <v>A</v>
      </c>
      <c r="C10" s="47" t="str">
        <f t="shared" si="0"/>
        <v>L</v>
      </c>
      <c r="D10" s="47" t="s">
        <v>18</v>
      </c>
      <c r="E10" s="51" t="str">
        <f>LEFT('REPORTS PER EVALUATOR'!$S$6,1)</f>
        <v>A</v>
      </c>
      <c r="F10" s="73">
        <f>(RIGHT('REPORTS PER EVALUATOR'!$S$6,1))*1</f>
        <v>4</v>
      </c>
      <c r="G10" s="52" t="str">
        <f>LEFT('REPORTS PER EVALUATOR'!$S$18,1)</f>
        <v>A</v>
      </c>
      <c r="H10" s="81">
        <f>(RIGHT('REPORTS PER EVALUATOR'!$S$18,1))*1</f>
        <v>3</v>
      </c>
      <c r="I10" s="52" t="str">
        <f>LEFT('REPORTS PER EVALUATOR'!$S$30,1)</f>
        <v>A</v>
      </c>
      <c r="J10" s="81">
        <f>(RIGHT('REPORTS PER EVALUATOR'!$S$30,1))*1</f>
        <v>3</v>
      </c>
      <c r="K10" s="52" t="str">
        <f>LEFT('REPORTS PER EVALUATOR'!$S$42,1)</f>
        <v>A</v>
      </c>
      <c r="L10" s="81">
        <f>(RIGHT('REPORTS PER EVALUATOR'!$S$42,1))*1</f>
        <v>3</v>
      </c>
      <c r="M10" s="52" t="str">
        <f>LEFT('REPORTS PER EVALUATOR'!$S$54,1)</f>
        <v>A</v>
      </c>
      <c r="N10" s="81">
        <f>(RIGHT('REPORTS PER EVALUATOR'!$S$54,1))*1</f>
        <v>3</v>
      </c>
      <c r="O10" s="52" t="str">
        <f>LEFT('REPORTS PER EVALUATOR'!$S$66,1)</f>
        <v>1</v>
      </c>
      <c r="P10" s="81">
        <f>(RIGHT('REPORTS PER EVALUATOR'!$S$66,1))*1</f>
        <v>1</v>
      </c>
      <c r="Q10" s="52" t="str">
        <f>LEFT('REPORTS PER EVALUATOR'!$S$78,1)</f>
        <v>A</v>
      </c>
      <c r="R10" s="81">
        <f>(RIGHT('REPORTS PER EVALUATOR'!$S$78,1))*1</f>
        <v>3</v>
      </c>
      <c r="S10" s="52" t="str">
        <f>LEFT('REPORTS PER EVALUATOR'!$S$90,1)</f>
        <v>A</v>
      </c>
      <c r="T10" s="81">
        <f>(RIGHT('REPORTS PER EVALUATOR'!$S$90,1))*1</f>
        <v>3</v>
      </c>
      <c r="U10" s="52" t="str">
        <f>LEFT('REPORTS PER EVALUATOR'!$S$102,1)</f>
        <v>A</v>
      </c>
      <c r="V10" s="81">
        <f>(RIGHT('REPORTS PER EVALUATOR'!$S$102,1))*1</f>
        <v>3</v>
      </c>
      <c r="W10" s="52" t="str">
        <f>LEFT('REPORTS PER EVALUATOR'!$S$114,1)</f>
        <v>A</v>
      </c>
      <c r="X10" s="81">
        <f>(RIGHT('REPORTS PER EVALUATOR'!$S$114,1))*1</f>
        <v>4</v>
      </c>
      <c r="Y10" s="52" t="str">
        <f>LEFT('REPORTS PER EVALUATOR'!$S$126,1)</f>
        <v>A</v>
      </c>
      <c r="Z10" s="91">
        <f>(RIGHT('REPORTS PER EVALUATOR'!$S$126,1))*1</f>
        <v>3</v>
      </c>
      <c r="AA10" s="52" t="e">
        <f>LEFT('REPORTS PER EVALUATOR'!#REF!,1)</f>
        <v>#REF!</v>
      </c>
      <c r="AB10" s="91" t="e">
        <f>(RIGHT('REPORTS PER EVALUATOR'!#REF!,1))*1</f>
        <v>#REF!</v>
      </c>
      <c r="AC10" s="52" t="e">
        <f>LEFT('REPORTS PER EVALUATOR'!#REF!,1)</f>
        <v>#REF!</v>
      </c>
      <c r="AD10" s="91" t="e">
        <f>(RIGHT('REPORTS PER EVALUATOR'!#REF!,1))*1</f>
        <v>#REF!</v>
      </c>
      <c r="AE10" s="52" t="e">
        <f>LEFT('REPORTS PER EVALUATOR'!#REF!,1)</f>
        <v>#REF!</v>
      </c>
      <c r="AF10" s="91" t="e">
        <f>(RIGHT('REPORTS PER EVALUATOR'!#REF!,1))*1</f>
        <v>#REF!</v>
      </c>
      <c r="AG10" s="52" t="e">
        <f>LEFT('REPORTS PER EVALUATOR'!#REF!,1)</f>
        <v>#REF!</v>
      </c>
      <c r="AH10" s="91" t="e">
        <f>(RIGHT('REPORTS PER EVALUATOR'!#REF!,1))*1</f>
        <v>#REF!</v>
      </c>
      <c r="AI10" s="52" t="e">
        <f>LEFT('REPORTS PER EVALUATOR'!#REF!,1)</f>
        <v>#REF!</v>
      </c>
      <c r="AJ10" s="91" t="e">
        <f>(RIGHT('REPORTS PER EVALUATOR'!#REF!,1))*1</f>
        <v>#REF!</v>
      </c>
      <c r="AK10" s="52" t="e">
        <f>LEFT('REPORTS PER EVALUATOR'!#REF!,1)</f>
        <v>#REF!</v>
      </c>
      <c r="AL10" s="91" t="e">
        <f>(RIGHT('REPORTS PER EVALUATOR'!#REF!,1))*1</f>
        <v>#REF!</v>
      </c>
      <c r="AM10" s="52" t="e">
        <f>LEFT('REPORTS PER EVALUATOR'!#REF!,1)</f>
        <v>#REF!</v>
      </c>
      <c r="AN10" s="91" t="e">
        <f>(RIGHT('REPORTS PER EVALUATOR'!#REF!,1))*1</f>
        <v>#REF!</v>
      </c>
      <c r="AO10" s="52" t="e">
        <f>LEFT('REPORTS PER EVALUATOR'!#REF!,1)</f>
        <v>#REF!</v>
      </c>
      <c r="AP10" s="91" t="e">
        <f>(RIGHT('REPORTS PER EVALUATOR'!#REF!,1))*1</f>
        <v>#REF!</v>
      </c>
      <c r="AQ10" s="52" t="e">
        <f>LEFT('REPORTS PER EVALUATOR'!#REF!,1)</f>
        <v>#REF!</v>
      </c>
      <c r="AR10" s="91" t="e">
        <f>(RIGHT('REPORTS PER EVALUATOR'!#REF!,1))*1</f>
        <v>#REF!</v>
      </c>
      <c r="XCY10" s="7" t="s">
        <v>154</v>
      </c>
      <c r="XCZ10" s="7" t="s">
        <v>154</v>
      </c>
      <c r="XDA10" s="7" t="s">
        <v>154</v>
      </c>
      <c r="XDB10" s="7" t="s">
        <v>154</v>
      </c>
      <c r="XDC10" s="7" t="s">
        <v>154</v>
      </c>
      <c r="XDD10" s="7" t="s">
        <v>154</v>
      </c>
      <c r="XDE10" s="7" t="s">
        <v>154</v>
      </c>
      <c r="XDF10" s="7" t="s">
        <v>154</v>
      </c>
      <c r="XDG10" s="7" t="s">
        <v>154</v>
      </c>
      <c r="XDH10" s="7" t="s">
        <v>154</v>
      </c>
      <c r="XDJ10" s="7" t="s">
        <v>115</v>
      </c>
      <c r="XDK10" s="7" t="s">
        <v>116</v>
      </c>
      <c r="XDL10" s="7" t="s">
        <v>117</v>
      </c>
      <c r="XDM10" s="7" t="s">
        <v>118</v>
      </c>
      <c r="XDN10" s="7" t="s">
        <v>119</v>
      </c>
      <c r="XDO10" s="7" t="s">
        <v>120</v>
      </c>
      <c r="XDP10" s="7" t="s">
        <v>121</v>
      </c>
      <c r="XDQ10" s="7" t="s">
        <v>122</v>
      </c>
      <c r="XDR10" s="7" t="s">
        <v>135</v>
      </c>
      <c r="XDS10" s="7" t="s">
        <v>116</v>
      </c>
      <c r="XDT10" s="7" t="s">
        <v>117</v>
      </c>
      <c r="XDU10" s="7" t="s">
        <v>118</v>
      </c>
      <c r="XDV10" s="7" t="s">
        <v>119</v>
      </c>
      <c r="XDW10" s="7" t="s">
        <v>120</v>
      </c>
      <c r="XDX10" s="7" t="s">
        <v>121</v>
      </c>
      <c r="XDY10" s="7" t="s">
        <v>122</v>
      </c>
      <c r="XDZ10" s="7" t="s">
        <v>135</v>
      </c>
      <c r="XEA10" s="7" t="s">
        <v>117</v>
      </c>
      <c r="XEB10" s="7" t="s">
        <v>118</v>
      </c>
      <c r="XEC10" s="7" t="s">
        <v>119</v>
      </c>
      <c r="XED10" s="7" t="s">
        <v>120</v>
      </c>
      <c r="XEE10" s="7" t="s">
        <v>121</v>
      </c>
      <c r="XEF10" s="7" t="s">
        <v>122</v>
      </c>
      <c r="XEG10" s="7" t="s">
        <v>135</v>
      </c>
      <c r="XEH10" s="7" t="s">
        <v>118</v>
      </c>
      <c r="XEI10" s="7" t="s">
        <v>119</v>
      </c>
      <c r="XEJ10" s="7" t="s">
        <v>120</v>
      </c>
      <c r="XEK10" s="7" t="s">
        <v>121</v>
      </c>
      <c r="XEL10" s="7" t="s">
        <v>122</v>
      </c>
      <c r="XEM10" s="7" t="s">
        <v>135</v>
      </c>
      <c r="XEN10" s="7" t="s">
        <v>119</v>
      </c>
      <c r="XEO10" s="7" t="s">
        <v>120</v>
      </c>
      <c r="XEP10" s="7" t="s">
        <v>121</v>
      </c>
      <c r="XEQ10" s="7" t="s">
        <v>122</v>
      </c>
      <c r="XER10" s="7" t="s">
        <v>135</v>
      </c>
      <c r="XES10" s="7" t="s">
        <v>120</v>
      </c>
      <c r="XET10" s="7" t="s">
        <v>121</v>
      </c>
      <c r="XEU10" s="7" t="s">
        <v>122</v>
      </c>
      <c r="XEV10" s="7" t="s">
        <v>135</v>
      </c>
      <c r="XEW10" s="7" t="s">
        <v>121</v>
      </c>
      <c r="XEX10" s="7" t="s">
        <v>122</v>
      </c>
      <c r="XEY10" s="7" t="s">
        <v>135</v>
      </c>
      <c r="XEZ10" s="7" t="s">
        <v>122</v>
      </c>
      <c r="XFA10" s="7" t="s">
        <v>135</v>
      </c>
      <c r="XFB10" s="7" t="s">
        <v>135</v>
      </c>
    </row>
    <row r="11" spans="1:44 16327:16382" x14ac:dyDescent="0.2">
      <c r="A11" s="213"/>
      <c r="B11" s="53" t="str">
        <f t="shared" ref="B11" si="2">LEFT(D11,1)</f>
        <v>A</v>
      </c>
      <c r="C11" s="47" t="str">
        <f t="shared" ref="C11" si="3">RIGHT(D11,1)</f>
        <v>M</v>
      </c>
      <c r="D11" s="47" t="s">
        <v>157</v>
      </c>
      <c r="E11" s="51" t="str">
        <f>LEFT('REPORTS PER EVALUATOR'!$T$6,1)</f>
        <v/>
      </c>
      <c r="F11" s="73" t="e">
        <f>(RIGHT('REPORTS PER EVALUATOR'!$T$6,1))*1</f>
        <v>#VALUE!</v>
      </c>
      <c r="G11" s="52" t="str">
        <f>LEFT('REPORTS PER EVALUATOR'!$T$18,1)</f>
        <v/>
      </c>
      <c r="H11" s="81" t="e">
        <f>(RIGHT('REPORTS PER EVALUATOR'!$T$18,1))*1</f>
        <v>#VALUE!</v>
      </c>
      <c r="I11" s="52" t="str">
        <f>LEFT('REPORTS PER EVALUATOR'!$T$30,1)</f>
        <v/>
      </c>
      <c r="J11" s="81" t="e">
        <f>(RIGHT('REPORTS PER EVALUATOR'!$T$30,1))*1</f>
        <v>#VALUE!</v>
      </c>
      <c r="K11" s="52" t="str">
        <f>LEFT('REPORTS PER EVALUATOR'!$T$42,1)</f>
        <v/>
      </c>
      <c r="L11" s="81" t="e">
        <f>(RIGHT('REPORTS PER EVALUATOR'!$T$42,1))*1</f>
        <v>#VALUE!</v>
      </c>
      <c r="M11" s="52" t="str">
        <f>LEFT('REPORTS PER EVALUATOR'!$T$54,1)</f>
        <v/>
      </c>
      <c r="N11" s="81" t="e">
        <f>(RIGHT('REPORTS PER EVALUATOR'!$T$54,1))*1</f>
        <v>#VALUE!</v>
      </c>
      <c r="O11" s="52" t="str">
        <f>LEFT('REPORTS PER EVALUATOR'!$T$66,1)</f>
        <v/>
      </c>
      <c r="P11" s="81" t="e">
        <f>(RIGHT('REPORTS PER EVALUATOR'!$T$66,1))*1</f>
        <v>#VALUE!</v>
      </c>
      <c r="Q11" s="52" t="str">
        <f>LEFT('REPORTS PER EVALUATOR'!$T$78,1)</f>
        <v/>
      </c>
      <c r="R11" s="81" t="e">
        <f>(RIGHT('REPORTS PER EVALUATOR'!$T$78,1))*1</f>
        <v>#VALUE!</v>
      </c>
      <c r="S11" s="52" t="str">
        <f>LEFT('REPORTS PER EVALUATOR'!$T$90,1)</f>
        <v/>
      </c>
      <c r="T11" s="81" t="e">
        <f>(RIGHT('REPORTS PER EVALUATOR'!$T$90,1))*1</f>
        <v>#VALUE!</v>
      </c>
      <c r="U11" s="52" t="str">
        <f>LEFT('REPORTS PER EVALUATOR'!$T$102,1)</f>
        <v/>
      </c>
      <c r="V11" s="81" t="e">
        <f>(RIGHT('REPORTS PER EVALUATOR'!$T$102,1))*1</f>
        <v>#VALUE!</v>
      </c>
      <c r="W11" s="52" t="str">
        <f>LEFT('REPORTS PER EVALUATOR'!$T$114,1)</f>
        <v/>
      </c>
      <c r="X11" s="81" t="e">
        <f>(RIGHT('REPORTS PER EVALUATOR'!$T$114,1))*1</f>
        <v>#VALUE!</v>
      </c>
      <c r="Y11" s="52" t="str">
        <f>LEFT('REPORTS PER EVALUATOR'!$T$126,1)</f>
        <v/>
      </c>
      <c r="Z11" s="91" t="e">
        <f>(RIGHT('REPORTS PER EVALUATOR'!$T$126,1))*1</f>
        <v>#VALUE!</v>
      </c>
      <c r="AA11" s="52" t="e">
        <f>LEFT('REPORTS PER EVALUATOR'!#REF!,1)</f>
        <v>#REF!</v>
      </c>
      <c r="AB11" s="91" t="e">
        <f>(RIGHT('REPORTS PER EVALUATOR'!#REF!,1))*1</f>
        <v>#REF!</v>
      </c>
      <c r="AC11" s="52" t="e">
        <f>LEFT('REPORTS PER EVALUATOR'!#REF!,1)</f>
        <v>#REF!</v>
      </c>
      <c r="AD11" s="91" t="e">
        <f>(RIGHT('REPORTS PER EVALUATOR'!#REF!,1))*1</f>
        <v>#REF!</v>
      </c>
      <c r="AE11" s="52" t="e">
        <f>LEFT('REPORTS PER EVALUATOR'!#REF!,1)</f>
        <v>#REF!</v>
      </c>
      <c r="AF11" s="91" t="e">
        <f>(RIGHT('REPORTS PER EVALUATOR'!#REF!,1))*1</f>
        <v>#REF!</v>
      </c>
      <c r="AG11" s="52" t="e">
        <f>LEFT('REPORTS PER EVALUATOR'!#REF!,1)</f>
        <v>#REF!</v>
      </c>
      <c r="AH11" s="91" t="e">
        <f>(RIGHT('REPORTS PER EVALUATOR'!#REF!,1))*1</f>
        <v>#REF!</v>
      </c>
      <c r="AI11" s="52" t="e">
        <f>LEFT('REPORTS PER EVALUATOR'!#REF!,1)</f>
        <v>#REF!</v>
      </c>
      <c r="AJ11" s="91" t="e">
        <f>(RIGHT('REPORTS PER EVALUATOR'!#REF!,1))*1</f>
        <v>#REF!</v>
      </c>
      <c r="AK11" s="52" t="e">
        <f>LEFT('REPORTS PER EVALUATOR'!#REF!,1)</f>
        <v>#REF!</v>
      </c>
      <c r="AL11" s="91" t="e">
        <f>(RIGHT('REPORTS PER EVALUATOR'!#REF!,1))*1</f>
        <v>#REF!</v>
      </c>
      <c r="AM11" s="52" t="e">
        <f>LEFT('REPORTS PER EVALUATOR'!#REF!,1)</f>
        <v>#REF!</v>
      </c>
      <c r="AN11" s="91" t="e">
        <f>(RIGHT('REPORTS PER EVALUATOR'!#REF!,1))*1</f>
        <v>#REF!</v>
      </c>
      <c r="AO11" s="52" t="e">
        <f>LEFT('REPORTS PER EVALUATOR'!#REF!,1)</f>
        <v>#REF!</v>
      </c>
      <c r="AP11" s="91" t="e">
        <f>(RIGHT('REPORTS PER EVALUATOR'!#REF!,1))*1</f>
        <v>#REF!</v>
      </c>
      <c r="AQ11" s="52" t="e">
        <f>LEFT('REPORTS PER EVALUATOR'!#REF!,1)</f>
        <v>#REF!</v>
      </c>
      <c r="AR11" s="91" t="e">
        <f>(RIGHT('REPORTS PER EVALUATOR'!#REF!,1))*1</f>
        <v>#REF!</v>
      </c>
      <c r="XCY11" s="7"/>
      <c r="XCZ11" s="7"/>
      <c r="XDA11" s="7"/>
      <c r="XDB11" s="7"/>
      <c r="XDC11" s="7"/>
      <c r="XDD11" s="7"/>
      <c r="XDE11" s="7"/>
      <c r="XDF11" s="7"/>
      <c r="XDG11" s="7"/>
      <c r="XDH11" s="7"/>
      <c r="XDJ11" s="7"/>
      <c r="XDK11" s="7"/>
      <c r="XDL11" s="7"/>
      <c r="XDM11" s="7"/>
      <c r="XDN11" s="7"/>
      <c r="XDO11" s="7"/>
      <c r="XDP11" s="7"/>
      <c r="XDQ11" s="7"/>
      <c r="XDR11" s="7"/>
      <c r="XDS11" s="7"/>
      <c r="XDT11" s="7"/>
      <c r="XDU11" s="7"/>
      <c r="XDV11" s="7"/>
      <c r="XDW11" s="7"/>
      <c r="XDX11" s="7"/>
      <c r="XDY11" s="7"/>
      <c r="XDZ11" s="7"/>
      <c r="XEA11" s="7"/>
      <c r="XEB11" s="7"/>
      <c r="XEC11" s="7"/>
      <c r="XED11" s="7"/>
      <c r="XEE11" s="7"/>
      <c r="XEF11" s="7"/>
      <c r="XEG11" s="7"/>
      <c r="XEH11" s="7"/>
      <c r="XEI11" s="7"/>
      <c r="XEJ11" s="7"/>
      <c r="XEK11" s="7"/>
      <c r="XEL11" s="7"/>
      <c r="XEM11" s="7"/>
      <c r="XEN11" s="7"/>
      <c r="XEO11" s="7"/>
      <c r="XEP11" s="7"/>
      <c r="XEQ11" s="7"/>
      <c r="XER11" s="7"/>
      <c r="XES11" s="7"/>
      <c r="XET11" s="7"/>
      <c r="XEU11" s="7"/>
      <c r="XEV11" s="7"/>
      <c r="XEW11" s="7"/>
      <c r="XEX11" s="7"/>
      <c r="XEY11" s="7"/>
      <c r="XEZ11" s="7"/>
      <c r="XFA11" s="7"/>
      <c r="XFB11" s="7"/>
    </row>
    <row r="12" spans="1:44 16327:16382" x14ac:dyDescent="0.2">
      <c r="A12" s="213"/>
      <c r="B12" s="53" t="str">
        <f t="shared" si="1"/>
        <v>B</v>
      </c>
      <c r="C12" s="47" t="str">
        <f t="shared" si="0"/>
        <v>C</v>
      </c>
      <c r="D12" s="47" t="s">
        <v>20</v>
      </c>
      <c r="E12" s="54" t="str">
        <f>LEFT('REPORTS PER EVALUATOR'!$L$7,1)</f>
        <v>B</v>
      </c>
      <c r="F12" s="72">
        <f>(RIGHT('REPORTS PER EVALUATOR'!$L$7,1))*1</f>
        <v>2</v>
      </c>
      <c r="G12" s="55" t="str">
        <f>LEFT('REPORTS PER EVALUATOR'!$L$19,1)</f>
        <v>B</v>
      </c>
      <c r="H12" s="80">
        <f>(RIGHT('REPORTS PER EVALUATOR'!$L$19,1))*1</f>
        <v>4</v>
      </c>
      <c r="I12" s="55" t="str">
        <f>LEFT('REPORTS PER EVALUATOR'!$L$31,1)</f>
        <v>B</v>
      </c>
      <c r="J12" s="80">
        <f>(RIGHT('REPORTS PER EVALUATOR'!$L$31,1))*1</f>
        <v>2</v>
      </c>
      <c r="K12" s="55" t="str">
        <f>LEFT('REPORTS PER EVALUATOR'!$L$43,1)</f>
        <v>B</v>
      </c>
      <c r="L12" s="80">
        <f>(RIGHT('REPORTS PER EVALUATOR'!$L$43,1))*1</f>
        <v>3</v>
      </c>
      <c r="M12" s="55" t="str">
        <f>LEFT('REPORTS PER EVALUATOR'!$L$55,1)</f>
        <v>B</v>
      </c>
      <c r="N12" s="80">
        <f>(RIGHT('REPORTS PER EVALUATOR'!$L$55,1))*1</f>
        <v>3</v>
      </c>
      <c r="O12" s="55" t="str">
        <f>LEFT('REPORTS PER EVALUATOR'!$L$67,1)</f>
        <v>B</v>
      </c>
      <c r="P12" s="80">
        <f>(RIGHT('REPORTS PER EVALUATOR'!$L$67,1))*1</f>
        <v>3</v>
      </c>
      <c r="Q12" s="55" t="str">
        <f>LEFT('REPORTS PER EVALUATOR'!$L$79,1)</f>
        <v>B</v>
      </c>
      <c r="R12" s="80">
        <f>(RIGHT('REPORTS PER EVALUATOR'!$L$79,1))*1</f>
        <v>3</v>
      </c>
      <c r="S12" s="55" t="str">
        <f>LEFT('REPORTS PER EVALUATOR'!$L$91,1)</f>
        <v>B</v>
      </c>
      <c r="T12" s="80">
        <f>(RIGHT('REPORTS PER EVALUATOR'!$L$91,1))*1</f>
        <v>2</v>
      </c>
      <c r="U12" s="55" t="str">
        <f>LEFT('REPORTS PER EVALUATOR'!$L$103,1)</f>
        <v>B</v>
      </c>
      <c r="V12" s="80">
        <f>(RIGHT('REPORTS PER EVALUATOR'!$L$103,1))*1</f>
        <v>2</v>
      </c>
      <c r="W12" s="55" t="str">
        <f>LEFT('REPORTS PER EVALUATOR'!$L$115,1)</f>
        <v>B</v>
      </c>
      <c r="X12" s="80">
        <f>(RIGHT('REPORTS PER EVALUATOR'!$L$115,1))*1</f>
        <v>3</v>
      </c>
      <c r="Y12" s="55" t="str">
        <f>LEFT('REPORTS PER EVALUATOR'!$L$127,1)</f>
        <v>B</v>
      </c>
      <c r="Z12" s="90">
        <f>(RIGHT('REPORTS PER EVALUATOR'!$L$127,1))*1</f>
        <v>2</v>
      </c>
      <c r="AA12" s="55" t="e">
        <f>LEFT('REPORTS PER EVALUATOR'!#REF!,1)</f>
        <v>#REF!</v>
      </c>
      <c r="AB12" s="90" t="e">
        <f>(RIGHT('REPORTS PER EVALUATOR'!#REF!,1))*1</f>
        <v>#REF!</v>
      </c>
      <c r="AC12" s="55" t="e">
        <f>LEFT('REPORTS PER EVALUATOR'!#REF!,1)</f>
        <v>#REF!</v>
      </c>
      <c r="AD12" s="90" t="e">
        <f>(RIGHT('REPORTS PER EVALUATOR'!#REF!,1))*1</f>
        <v>#REF!</v>
      </c>
      <c r="AE12" s="55" t="e">
        <f>LEFT('REPORTS PER EVALUATOR'!#REF!,1)</f>
        <v>#REF!</v>
      </c>
      <c r="AF12" s="90" t="e">
        <f>(RIGHT('REPORTS PER EVALUATOR'!#REF!,1))*1</f>
        <v>#REF!</v>
      </c>
      <c r="AG12" s="55" t="e">
        <f>LEFT('REPORTS PER EVALUATOR'!#REF!,1)</f>
        <v>#REF!</v>
      </c>
      <c r="AH12" s="90" t="e">
        <f>(RIGHT('REPORTS PER EVALUATOR'!#REF!,1))*1</f>
        <v>#REF!</v>
      </c>
      <c r="AI12" s="55" t="e">
        <f>LEFT('REPORTS PER EVALUATOR'!#REF!,1)</f>
        <v>#REF!</v>
      </c>
      <c r="AJ12" s="90" t="e">
        <f>(RIGHT('REPORTS PER EVALUATOR'!#REF!,1))*1</f>
        <v>#REF!</v>
      </c>
      <c r="AK12" s="55" t="e">
        <f>LEFT('REPORTS PER EVALUATOR'!#REF!,1)</f>
        <v>#REF!</v>
      </c>
      <c r="AL12" s="90" t="e">
        <f>(RIGHT('REPORTS PER EVALUATOR'!#REF!,1))*1</f>
        <v>#REF!</v>
      </c>
      <c r="AM12" s="55" t="e">
        <f>LEFT('REPORTS PER EVALUATOR'!#REF!,1)</f>
        <v>#REF!</v>
      </c>
      <c r="AN12" s="90" t="e">
        <f>(RIGHT('REPORTS PER EVALUATOR'!#REF!,1))*1</f>
        <v>#REF!</v>
      </c>
      <c r="AO12" s="55" t="e">
        <f>LEFT('REPORTS PER EVALUATOR'!#REF!,1)</f>
        <v>#REF!</v>
      </c>
      <c r="AP12" s="90" t="e">
        <f>(RIGHT('REPORTS PER EVALUATOR'!#REF!,1))*1</f>
        <v>#REF!</v>
      </c>
      <c r="AQ12" s="55" t="e">
        <f>LEFT('REPORTS PER EVALUATOR'!#REF!,1)</f>
        <v>#REF!</v>
      </c>
      <c r="AR12" s="90" t="e">
        <f>(RIGHT('REPORTS PER EVALUATOR'!#REF!,1))*1</f>
        <v>#REF!</v>
      </c>
      <c r="XCY12" s="7" t="s">
        <v>155</v>
      </c>
      <c r="XCZ12" s="7" t="s">
        <v>155</v>
      </c>
      <c r="XDA12" s="7" t="s">
        <v>155</v>
      </c>
      <c r="XDB12" s="7" t="s">
        <v>155</v>
      </c>
      <c r="XDC12" s="7" t="s">
        <v>155</v>
      </c>
      <c r="XDD12" s="7" t="s">
        <v>155</v>
      </c>
      <c r="XDE12" s="7" t="s">
        <v>155</v>
      </c>
      <c r="XDF12" s="7" t="s">
        <v>155</v>
      </c>
      <c r="XDG12" s="7" t="s">
        <v>155</v>
      </c>
      <c r="XDH12" s="7" t="s">
        <v>155</v>
      </c>
      <c r="XDJ12" s="7" t="s">
        <v>124</v>
      </c>
      <c r="XDK12" s="7" t="s">
        <v>125</v>
      </c>
      <c r="XDL12" s="7" t="s">
        <v>126</v>
      </c>
      <c r="XDM12" s="7" t="s">
        <v>127</v>
      </c>
      <c r="XDN12" s="7" t="s">
        <v>128</v>
      </c>
      <c r="XDO12" s="7" t="s">
        <v>129</v>
      </c>
      <c r="XDP12" s="7" t="s">
        <v>130</v>
      </c>
      <c r="XDQ12" s="7" t="s">
        <v>131</v>
      </c>
      <c r="XDR12" s="7" t="s">
        <v>136</v>
      </c>
      <c r="XDS12" s="7" t="s">
        <v>125</v>
      </c>
      <c r="XDT12" s="7" t="s">
        <v>126</v>
      </c>
      <c r="XDU12" s="7" t="s">
        <v>127</v>
      </c>
      <c r="XDV12" s="7" t="s">
        <v>128</v>
      </c>
      <c r="XDW12" s="7" t="s">
        <v>129</v>
      </c>
      <c r="XDX12" s="7" t="s">
        <v>130</v>
      </c>
      <c r="XDY12" s="7" t="s">
        <v>131</v>
      </c>
      <c r="XDZ12" s="7" t="s">
        <v>136</v>
      </c>
      <c r="XEA12" s="7" t="s">
        <v>126</v>
      </c>
      <c r="XEB12" s="7" t="s">
        <v>127</v>
      </c>
      <c r="XEC12" s="7" t="s">
        <v>128</v>
      </c>
      <c r="XED12" s="7" t="s">
        <v>129</v>
      </c>
      <c r="XEE12" s="7" t="s">
        <v>130</v>
      </c>
      <c r="XEF12" s="7" t="s">
        <v>131</v>
      </c>
      <c r="XEG12" s="7" t="s">
        <v>136</v>
      </c>
      <c r="XEH12" s="7" t="s">
        <v>127</v>
      </c>
      <c r="XEI12" s="7" t="s">
        <v>128</v>
      </c>
      <c r="XEJ12" s="7" t="s">
        <v>129</v>
      </c>
      <c r="XEK12" s="7" t="s">
        <v>130</v>
      </c>
      <c r="XEL12" s="7" t="s">
        <v>131</v>
      </c>
      <c r="XEM12" s="7" t="s">
        <v>136</v>
      </c>
      <c r="XEN12" s="7" t="s">
        <v>128</v>
      </c>
      <c r="XEO12" s="7" t="s">
        <v>129</v>
      </c>
      <c r="XEP12" s="7" t="s">
        <v>130</v>
      </c>
      <c r="XEQ12" s="7" t="s">
        <v>131</v>
      </c>
      <c r="XER12" s="7" t="s">
        <v>136</v>
      </c>
      <c r="XES12" s="7" t="s">
        <v>129</v>
      </c>
      <c r="XET12" s="7" t="s">
        <v>130</v>
      </c>
      <c r="XEU12" s="7" t="s">
        <v>131</v>
      </c>
      <c r="XEV12" s="7" t="s">
        <v>136</v>
      </c>
      <c r="XEW12" s="7" t="s">
        <v>130</v>
      </c>
      <c r="XEX12" s="7" t="s">
        <v>131</v>
      </c>
      <c r="XEY12" s="7" t="s">
        <v>136</v>
      </c>
      <c r="XEZ12" s="7" t="s">
        <v>131</v>
      </c>
      <c r="XFA12" s="7" t="s">
        <v>136</v>
      </c>
      <c r="XFB12" s="7" t="s">
        <v>136</v>
      </c>
    </row>
    <row r="13" spans="1:44 16327:16382" x14ac:dyDescent="0.2">
      <c r="A13" s="213"/>
      <c r="B13" s="53" t="str">
        <f t="shared" si="1"/>
        <v>B</v>
      </c>
      <c r="C13" s="47" t="str">
        <f t="shared" si="0"/>
        <v>D</v>
      </c>
      <c r="D13" s="47" t="s">
        <v>21</v>
      </c>
      <c r="E13" s="51" t="str">
        <f>LEFT('REPORTS PER EVALUATOR'!$M$7,1)</f>
        <v>D</v>
      </c>
      <c r="F13" s="73">
        <f>(RIGHT('REPORTS PER EVALUATOR'!$M$7,1))*1</f>
        <v>2</v>
      </c>
      <c r="G13" s="52" t="str">
        <f>LEFT('REPORTS PER EVALUATOR'!$M$19,1)</f>
        <v>1</v>
      </c>
      <c r="H13" s="81">
        <f>(RIGHT('REPORTS PER EVALUATOR'!$M$19,1))*1</f>
        <v>1</v>
      </c>
      <c r="I13" s="52" t="str">
        <f>LEFT('REPORTS PER EVALUATOR'!$M$31,1)</f>
        <v>D</v>
      </c>
      <c r="J13" s="81">
        <f>(RIGHT('REPORTS PER EVALUATOR'!$M$31,1))*1</f>
        <v>2</v>
      </c>
      <c r="K13" s="52" t="str">
        <f>LEFT('REPORTS PER EVALUATOR'!$M$43,1)</f>
        <v>D</v>
      </c>
      <c r="L13" s="81">
        <f>(RIGHT('REPORTS PER EVALUATOR'!$M$43,1))*1</f>
        <v>2</v>
      </c>
      <c r="M13" s="52" t="str">
        <f>LEFT('REPORTS PER EVALUATOR'!$M$55,1)</f>
        <v>D</v>
      </c>
      <c r="N13" s="81">
        <f>(RIGHT('REPORTS PER EVALUATOR'!$M$55,1))*1</f>
        <v>2</v>
      </c>
      <c r="O13" s="52" t="str">
        <f>LEFT('REPORTS PER EVALUATOR'!$M$67,1)</f>
        <v>1</v>
      </c>
      <c r="P13" s="81">
        <f>(RIGHT('REPORTS PER EVALUATOR'!$M$67,1))*1</f>
        <v>1</v>
      </c>
      <c r="Q13" s="52" t="str">
        <f>LEFT('REPORTS PER EVALUATOR'!$M$79,1)</f>
        <v>D</v>
      </c>
      <c r="R13" s="81">
        <f>(RIGHT('REPORTS PER EVALUATOR'!$M$79,1))*1</f>
        <v>2</v>
      </c>
      <c r="S13" s="52" t="str">
        <f>LEFT('REPORTS PER EVALUATOR'!$M$91,1)</f>
        <v>D</v>
      </c>
      <c r="T13" s="81">
        <f>(RIGHT('REPORTS PER EVALUATOR'!$M$91,1))*1</f>
        <v>3</v>
      </c>
      <c r="U13" s="52" t="str">
        <f>LEFT('REPORTS PER EVALUATOR'!$M$103,1)</f>
        <v>D</v>
      </c>
      <c r="V13" s="81">
        <f>(RIGHT('REPORTS PER EVALUATOR'!$M$103,1))*1</f>
        <v>2</v>
      </c>
      <c r="W13" s="52" t="str">
        <f>LEFT('REPORTS PER EVALUATOR'!$M$115,1)</f>
        <v>1</v>
      </c>
      <c r="X13" s="81">
        <f>(RIGHT('REPORTS PER EVALUATOR'!$M$115,1))*1</f>
        <v>1</v>
      </c>
      <c r="Y13" s="52" t="str">
        <f>LEFT('REPORTS PER EVALUATOR'!$M$127,1)</f>
        <v>B</v>
      </c>
      <c r="Z13" s="91">
        <f>(RIGHT('REPORTS PER EVALUATOR'!$M$127,1))*1</f>
        <v>2</v>
      </c>
      <c r="AA13" s="52" t="e">
        <f>LEFT('REPORTS PER EVALUATOR'!#REF!,1)</f>
        <v>#REF!</v>
      </c>
      <c r="AB13" s="91" t="e">
        <f>(RIGHT('REPORTS PER EVALUATOR'!#REF!,1))*1</f>
        <v>#REF!</v>
      </c>
      <c r="AC13" s="52" t="e">
        <f>LEFT('REPORTS PER EVALUATOR'!#REF!,1)</f>
        <v>#REF!</v>
      </c>
      <c r="AD13" s="91" t="e">
        <f>(RIGHT('REPORTS PER EVALUATOR'!#REF!,1))*1</f>
        <v>#REF!</v>
      </c>
      <c r="AE13" s="52" t="e">
        <f>LEFT('REPORTS PER EVALUATOR'!#REF!,1)</f>
        <v>#REF!</v>
      </c>
      <c r="AF13" s="91" t="e">
        <f>(RIGHT('REPORTS PER EVALUATOR'!#REF!,1))*1</f>
        <v>#REF!</v>
      </c>
      <c r="AG13" s="52" t="e">
        <f>LEFT('REPORTS PER EVALUATOR'!#REF!,1)</f>
        <v>#REF!</v>
      </c>
      <c r="AH13" s="91" t="e">
        <f>(RIGHT('REPORTS PER EVALUATOR'!#REF!,1))*1</f>
        <v>#REF!</v>
      </c>
      <c r="AI13" s="52" t="e">
        <f>LEFT('REPORTS PER EVALUATOR'!#REF!,1)</f>
        <v>#REF!</v>
      </c>
      <c r="AJ13" s="91" t="e">
        <f>(RIGHT('REPORTS PER EVALUATOR'!#REF!,1))*1</f>
        <v>#REF!</v>
      </c>
      <c r="AK13" s="52" t="e">
        <f>LEFT('REPORTS PER EVALUATOR'!#REF!,1)</f>
        <v>#REF!</v>
      </c>
      <c r="AL13" s="91" t="e">
        <f>(RIGHT('REPORTS PER EVALUATOR'!#REF!,1))*1</f>
        <v>#REF!</v>
      </c>
      <c r="AM13" s="52" t="e">
        <f>LEFT('REPORTS PER EVALUATOR'!#REF!,1)</f>
        <v>#REF!</v>
      </c>
      <c r="AN13" s="91" t="e">
        <f>(RIGHT('REPORTS PER EVALUATOR'!#REF!,1))*1</f>
        <v>#REF!</v>
      </c>
      <c r="AO13" s="52" t="e">
        <f>LEFT('REPORTS PER EVALUATOR'!#REF!,1)</f>
        <v>#REF!</v>
      </c>
      <c r="AP13" s="91" t="e">
        <f>(RIGHT('REPORTS PER EVALUATOR'!#REF!,1))*1</f>
        <v>#REF!</v>
      </c>
      <c r="AQ13" s="52" t="e">
        <f>LEFT('REPORTS PER EVALUATOR'!#REF!,1)</f>
        <v>#REF!</v>
      </c>
      <c r="AR13" s="91" t="e">
        <f>(RIGHT('REPORTS PER EVALUATOR'!#REF!,1))*1</f>
        <v>#REF!</v>
      </c>
    </row>
    <row r="14" spans="1:44 16327:16382" x14ac:dyDescent="0.2">
      <c r="A14" s="213"/>
      <c r="B14" s="53" t="str">
        <f t="shared" si="1"/>
        <v>B</v>
      </c>
      <c r="C14" s="47" t="str">
        <f t="shared" si="0"/>
        <v>E</v>
      </c>
      <c r="D14" s="47" t="s">
        <v>22</v>
      </c>
      <c r="E14" s="51" t="str">
        <f>LEFT('REPORTS PER EVALUATOR'!$N$7,1)</f>
        <v>B</v>
      </c>
      <c r="F14" s="73">
        <f>(RIGHT('REPORTS PER EVALUATOR'!$N$7,1))*1</f>
        <v>2</v>
      </c>
      <c r="G14" s="52" t="str">
        <f>LEFT('REPORTS PER EVALUATOR'!$N$19,1)</f>
        <v>E</v>
      </c>
      <c r="H14" s="81">
        <f>(RIGHT('REPORTS PER EVALUATOR'!$N$19,1))*1</f>
        <v>3</v>
      </c>
      <c r="I14" s="52" t="str">
        <f>LEFT('REPORTS PER EVALUATOR'!$N$31,1)</f>
        <v>1</v>
      </c>
      <c r="J14" s="81">
        <f>(RIGHT('REPORTS PER EVALUATOR'!$N$31,1))*1</f>
        <v>1</v>
      </c>
      <c r="K14" s="52" t="str">
        <f>LEFT('REPORTS PER EVALUATOR'!$N$43,1)</f>
        <v>E</v>
      </c>
      <c r="L14" s="81">
        <f>(RIGHT('REPORTS PER EVALUATOR'!$N$43,1))*1</f>
        <v>2</v>
      </c>
      <c r="M14" s="52" t="str">
        <f>LEFT('REPORTS PER EVALUATOR'!$N$55,1)</f>
        <v>1</v>
      </c>
      <c r="N14" s="81">
        <f>(RIGHT('REPORTS PER EVALUATOR'!$N$55,1))*1</f>
        <v>1</v>
      </c>
      <c r="O14" s="52" t="str">
        <f>LEFT('REPORTS PER EVALUATOR'!$N$67,1)</f>
        <v>B</v>
      </c>
      <c r="P14" s="81">
        <f>(RIGHT('REPORTS PER EVALUATOR'!$N$67,1))*1</f>
        <v>2</v>
      </c>
      <c r="Q14" s="52" t="str">
        <f>LEFT('REPORTS PER EVALUATOR'!$N$79,1)</f>
        <v>E</v>
      </c>
      <c r="R14" s="81">
        <f>(RIGHT('REPORTS PER EVALUATOR'!$N$79,1))*1</f>
        <v>3</v>
      </c>
      <c r="S14" s="52" t="str">
        <f>LEFT('REPORTS PER EVALUATOR'!$N$91,1)</f>
        <v>1</v>
      </c>
      <c r="T14" s="81">
        <f>(RIGHT('REPORTS PER EVALUATOR'!$N$91,1))*1</f>
        <v>1</v>
      </c>
      <c r="U14" s="52" t="str">
        <f>LEFT('REPORTS PER EVALUATOR'!$N$103,1)</f>
        <v>B</v>
      </c>
      <c r="V14" s="81">
        <f>(RIGHT('REPORTS PER EVALUATOR'!$N$103,1))*1</f>
        <v>2</v>
      </c>
      <c r="W14" s="52" t="str">
        <f>LEFT('REPORTS PER EVALUATOR'!$N$115,1)</f>
        <v>1</v>
      </c>
      <c r="X14" s="81">
        <f>(RIGHT('REPORTS PER EVALUATOR'!$N$115,1))*1</f>
        <v>1</v>
      </c>
      <c r="Y14" s="52" t="str">
        <f>LEFT('REPORTS PER EVALUATOR'!$N$127,1)</f>
        <v>1</v>
      </c>
      <c r="Z14" s="91">
        <f>(RIGHT('REPORTS PER EVALUATOR'!$N$127,1))*1</f>
        <v>1</v>
      </c>
      <c r="AA14" s="52" t="e">
        <f>LEFT('REPORTS PER EVALUATOR'!#REF!,1)</f>
        <v>#REF!</v>
      </c>
      <c r="AB14" s="91" t="e">
        <f>(RIGHT('REPORTS PER EVALUATOR'!#REF!,1))*1</f>
        <v>#REF!</v>
      </c>
      <c r="AC14" s="52" t="e">
        <f>LEFT('REPORTS PER EVALUATOR'!#REF!,1)</f>
        <v>#REF!</v>
      </c>
      <c r="AD14" s="91" t="e">
        <f>(RIGHT('REPORTS PER EVALUATOR'!#REF!,1))*1</f>
        <v>#REF!</v>
      </c>
      <c r="AE14" s="52" t="e">
        <f>LEFT('REPORTS PER EVALUATOR'!#REF!,1)</f>
        <v>#REF!</v>
      </c>
      <c r="AF14" s="91" t="e">
        <f>(RIGHT('REPORTS PER EVALUATOR'!#REF!,1))*1</f>
        <v>#REF!</v>
      </c>
      <c r="AG14" s="52" t="e">
        <f>LEFT('REPORTS PER EVALUATOR'!#REF!,1)</f>
        <v>#REF!</v>
      </c>
      <c r="AH14" s="91" t="e">
        <f>(RIGHT('REPORTS PER EVALUATOR'!#REF!,1))*1</f>
        <v>#REF!</v>
      </c>
      <c r="AI14" s="52" t="e">
        <f>LEFT('REPORTS PER EVALUATOR'!#REF!,1)</f>
        <v>#REF!</v>
      </c>
      <c r="AJ14" s="91" t="e">
        <f>(RIGHT('REPORTS PER EVALUATOR'!#REF!,1))*1</f>
        <v>#REF!</v>
      </c>
      <c r="AK14" s="52" t="e">
        <f>LEFT('REPORTS PER EVALUATOR'!#REF!,1)</f>
        <v>#REF!</v>
      </c>
      <c r="AL14" s="91" t="e">
        <f>(RIGHT('REPORTS PER EVALUATOR'!#REF!,1))*1</f>
        <v>#REF!</v>
      </c>
      <c r="AM14" s="52" t="e">
        <f>LEFT('REPORTS PER EVALUATOR'!#REF!,1)</f>
        <v>#REF!</v>
      </c>
      <c r="AN14" s="91" t="e">
        <f>(RIGHT('REPORTS PER EVALUATOR'!#REF!,1))*1</f>
        <v>#REF!</v>
      </c>
      <c r="AO14" s="52" t="e">
        <f>LEFT('REPORTS PER EVALUATOR'!#REF!,1)</f>
        <v>#REF!</v>
      </c>
      <c r="AP14" s="91" t="e">
        <f>(RIGHT('REPORTS PER EVALUATOR'!#REF!,1))*1</f>
        <v>#REF!</v>
      </c>
      <c r="AQ14" s="52" t="e">
        <f>LEFT('REPORTS PER EVALUATOR'!#REF!,1)</f>
        <v>#REF!</v>
      </c>
      <c r="AR14" s="91" t="e">
        <f>(RIGHT('REPORTS PER EVALUATOR'!#REF!,1))*1</f>
        <v>#REF!</v>
      </c>
    </row>
    <row r="15" spans="1:44 16327:16382" x14ac:dyDescent="0.2">
      <c r="A15" s="213"/>
      <c r="B15" s="53" t="str">
        <f t="shared" si="1"/>
        <v>B</v>
      </c>
      <c r="C15" s="47" t="str">
        <f t="shared" si="0"/>
        <v>F</v>
      </c>
      <c r="D15" s="47" t="s">
        <v>23</v>
      </c>
      <c r="E15" s="51" t="str">
        <f>LEFT('REPORTS PER EVALUATOR'!$O$7,1)</f>
        <v>B</v>
      </c>
      <c r="F15" s="73">
        <f>(RIGHT('REPORTS PER EVALUATOR'!$O$7,1))*1</f>
        <v>2</v>
      </c>
      <c r="G15" s="52" t="str">
        <f>LEFT('REPORTS PER EVALUATOR'!$O$19,1)</f>
        <v>B</v>
      </c>
      <c r="H15" s="81">
        <f>(RIGHT('REPORTS PER EVALUATOR'!$O$19,1))*1</f>
        <v>2</v>
      </c>
      <c r="I15" s="52" t="str">
        <f>LEFT('REPORTS PER EVALUATOR'!$O$31,1)</f>
        <v>B</v>
      </c>
      <c r="J15" s="81">
        <f>(RIGHT('REPORTS PER EVALUATOR'!$O$31,1))*1</f>
        <v>2</v>
      </c>
      <c r="K15" s="52" t="str">
        <f>LEFT('REPORTS PER EVALUATOR'!$O$43,1)</f>
        <v>F</v>
      </c>
      <c r="L15" s="81">
        <f>(RIGHT('REPORTS PER EVALUATOR'!$O$43,1))*1</f>
        <v>3</v>
      </c>
      <c r="M15" s="52" t="str">
        <f>LEFT('REPORTS PER EVALUATOR'!$O$55,1)</f>
        <v>B</v>
      </c>
      <c r="N15" s="81">
        <f>(RIGHT('REPORTS PER EVALUATOR'!$O$55,1))*1</f>
        <v>2</v>
      </c>
      <c r="O15" s="52" t="str">
        <f>LEFT('REPORTS PER EVALUATOR'!$O$67,1)</f>
        <v>B</v>
      </c>
      <c r="P15" s="81">
        <f>(RIGHT('REPORTS PER EVALUATOR'!$O$67,1))*1</f>
        <v>2</v>
      </c>
      <c r="Q15" s="52" t="str">
        <f>LEFT('REPORTS PER EVALUATOR'!$O$79,1)</f>
        <v>1</v>
      </c>
      <c r="R15" s="81">
        <f>(RIGHT('REPORTS PER EVALUATOR'!$O$79,1))*1</f>
        <v>1</v>
      </c>
      <c r="S15" s="52" t="str">
        <f>LEFT('REPORTS PER EVALUATOR'!$O$91,1)</f>
        <v>B</v>
      </c>
      <c r="T15" s="81">
        <f>(RIGHT('REPORTS PER EVALUATOR'!$O$91,1))*1</f>
        <v>2</v>
      </c>
      <c r="U15" s="52" t="str">
        <f>LEFT('REPORTS PER EVALUATOR'!$O$103,1)</f>
        <v>1</v>
      </c>
      <c r="V15" s="81">
        <f>(RIGHT('REPORTS PER EVALUATOR'!$O$103,1))*1</f>
        <v>1</v>
      </c>
      <c r="W15" s="52" t="str">
        <f>LEFT('REPORTS PER EVALUATOR'!$O$115,1)</f>
        <v>B</v>
      </c>
      <c r="X15" s="81">
        <f>(RIGHT('REPORTS PER EVALUATOR'!$O$115,1))*1</f>
        <v>2</v>
      </c>
      <c r="Y15" s="52" t="str">
        <f>LEFT('REPORTS PER EVALUATOR'!$O$127,1)</f>
        <v>F</v>
      </c>
      <c r="Z15" s="91">
        <f>(RIGHT('REPORTS PER EVALUATOR'!$O$127,1))*1</f>
        <v>2</v>
      </c>
      <c r="AA15" s="52" t="e">
        <f>LEFT('REPORTS PER EVALUATOR'!#REF!,1)</f>
        <v>#REF!</v>
      </c>
      <c r="AB15" s="91" t="e">
        <f>(RIGHT('REPORTS PER EVALUATOR'!#REF!,1))*1</f>
        <v>#REF!</v>
      </c>
      <c r="AC15" s="52" t="e">
        <f>LEFT('REPORTS PER EVALUATOR'!#REF!,1)</f>
        <v>#REF!</v>
      </c>
      <c r="AD15" s="91" t="e">
        <f>(RIGHT('REPORTS PER EVALUATOR'!#REF!,1))*1</f>
        <v>#REF!</v>
      </c>
      <c r="AE15" s="52" t="e">
        <f>LEFT('REPORTS PER EVALUATOR'!#REF!,1)</f>
        <v>#REF!</v>
      </c>
      <c r="AF15" s="91" t="e">
        <f>(RIGHT('REPORTS PER EVALUATOR'!#REF!,1))*1</f>
        <v>#REF!</v>
      </c>
      <c r="AG15" s="52" t="e">
        <f>LEFT('REPORTS PER EVALUATOR'!#REF!,1)</f>
        <v>#REF!</v>
      </c>
      <c r="AH15" s="91" t="e">
        <f>(RIGHT('REPORTS PER EVALUATOR'!#REF!,1))*1</f>
        <v>#REF!</v>
      </c>
      <c r="AI15" s="52" t="e">
        <f>LEFT('REPORTS PER EVALUATOR'!#REF!,1)</f>
        <v>#REF!</v>
      </c>
      <c r="AJ15" s="91" t="e">
        <f>(RIGHT('REPORTS PER EVALUATOR'!#REF!,1))*1</f>
        <v>#REF!</v>
      </c>
      <c r="AK15" s="52" t="e">
        <f>LEFT('REPORTS PER EVALUATOR'!#REF!,1)</f>
        <v>#REF!</v>
      </c>
      <c r="AL15" s="91" t="e">
        <f>(RIGHT('REPORTS PER EVALUATOR'!#REF!,1))*1</f>
        <v>#REF!</v>
      </c>
      <c r="AM15" s="52" t="e">
        <f>LEFT('REPORTS PER EVALUATOR'!#REF!,1)</f>
        <v>#REF!</v>
      </c>
      <c r="AN15" s="91" t="e">
        <f>(RIGHT('REPORTS PER EVALUATOR'!#REF!,1))*1</f>
        <v>#REF!</v>
      </c>
      <c r="AO15" s="52" t="e">
        <f>LEFT('REPORTS PER EVALUATOR'!#REF!,1)</f>
        <v>#REF!</v>
      </c>
      <c r="AP15" s="91" t="e">
        <f>(RIGHT('REPORTS PER EVALUATOR'!#REF!,1))*1</f>
        <v>#REF!</v>
      </c>
      <c r="AQ15" s="52" t="e">
        <f>LEFT('REPORTS PER EVALUATOR'!#REF!,1)</f>
        <v>#REF!</v>
      </c>
      <c r="AR15" s="91" t="e">
        <f>(RIGHT('REPORTS PER EVALUATOR'!#REF!,1))*1</f>
        <v>#REF!</v>
      </c>
    </row>
    <row r="16" spans="1:44 16327:16382" x14ac:dyDescent="0.2">
      <c r="A16" s="213"/>
      <c r="B16" s="53" t="str">
        <f t="shared" si="1"/>
        <v>B</v>
      </c>
      <c r="C16" s="47" t="str">
        <f t="shared" si="0"/>
        <v>G</v>
      </c>
      <c r="D16" s="47" t="s">
        <v>24</v>
      </c>
      <c r="E16" s="51" t="str">
        <f>LEFT('REPORTS PER EVALUATOR'!$P$7,1)</f>
        <v>B</v>
      </c>
      <c r="F16" s="73">
        <f>(RIGHT('REPORTS PER EVALUATOR'!$P$7,1))*1</f>
        <v>3</v>
      </c>
      <c r="G16" s="52" t="str">
        <f>LEFT('REPORTS PER EVALUATOR'!$P$19,1)</f>
        <v>B</v>
      </c>
      <c r="H16" s="81">
        <f>(RIGHT('REPORTS PER EVALUATOR'!$P$19,1))*1</f>
        <v>2</v>
      </c>
      <c r="I16" s="52" t="str">
        <f>LEFT('REPORTS PER EVALUATOR'!$P$31,1)</f>
        <v>B</v>
      </c>
      <c r="J16" s="81">
        <f>(RIGHT('REPORTS PER EVALUATOR'!$P$31,1))*1</f>
        <v>2</v>
      </c>
      <c r="K16" s="52" t="str">
        <f>LEFT('REPORTS PER EVALUATOR'!$P$43,1)</f>
        <v>1</v>
      </c>
      <c r="L16" s="81">
        <f>(RIGHT('REPORTS PER EVALUATOR'!$P$43,1))*1</f>
        <v>1</v>
      </c>
      <c r="M16" s="52" t="str">
        <f>LEFT('REPORTS PER EVALUATOR'!$P$55,1)</f>
        <v>B</v>
      </c>
      <c r="N16" s="81">
        <f>(RIGHT('REPORTS PER EVALUATOR'!$P$55,1))*1</f>
        <v>2</v>
      </c>
      <c r="O16" s="52" t="str">
        <f>LEFT('REPORTS PER EVALUATOR'!$P$67,1)</f>
        <v>B</v>
      </c>
      <c r="P16" s="81">
        <f>(RIGHT('REPORTS PER EVALUATOR'!$P$67,1))*1</f>
        <v>2</v>
      </c>
      <c r="Q16" s="52" t="str">
        <f>LEFT('REPORTS PER EVALUATOR'!$P$79,1)</f>
        <v>1</v>
      </c>
      <c r="R16" s="81">
        <f>(RIGHT('REPORTS PER EVALUATOR'!$P$79,1))*1</f>
        <v>1</v>
      </c>
      <c r="S16" s="52" t="str">
        <f>LEFT('REPORTS PER EVALUATOR'!$P$91,1)</f>
        <v>B</v>
      </c>
      <c r="T16" s="81">
        <f>(RIGHT('REPORTS PER EVALUATOR'!$P$91,1))*1</f>
        <v>6</v>
      </c>
      <c r="U16" s="52" t="str">
        <f>LEFT('REPORTS PER EVALUATOR'!$P$103,1)</f>
        <v>B</v>
      </c>
      <c r="V16" s="81">
        <f>(RIGHT('REPORTS PER EVALUATOR'!$P$103,1))*1</f>
        <v>3</v>
      </c>
      <c r="W16" s="52" t="str">
        <f>LEFT('REPORTS PER EVALUATOR'!$P$115,1)</f>
        <v>B</v>
      </c>
      <c r="X16" s="81">
        <f>(RIGHT('REPORTS PER EVALUATOR'!$P$115,1))*1</f>
        <v>3</v>
      </c>
      <c r="Y16" s="52" t="str">
        <f>LEFT('REPORTS PER EVALUATOR'!$P$127,1)</f>
        <v>B</v>
      </c>
      <c r="Z16" s="91">
        <f>(RIGHT('REPORTS PER EVALUATOR'!$P$127,1))*1</f>
        <v>3</v>
      </c>
      <c r="AA16" s="52" t="e">
        <f>LEFT('REPORTS PER EVALUATOR'!#REF!,1)</f>
        <v>#REF!</v>
      </c>
      <c r="AB16" s="91" t="e">
        <f>(RIGHT('REPORTS PER EVALUATOR'!#REF!,1))*1</f>
        <v>#REF!</v>
      </c>
      <c r="AC16" s="52" t="e">
        <f>LEFT('REPORTS PER EVALUATOR'!#REF!,1)</f>
        <v>#REF!</v>
      </c>
      <c r="AD16" s="91" t="e">
        <f>(RIGHT('REPORTS PER EVALUATOR'!#REF!,1))*1</f>
        <v>#REF!</v>
      </c>
      <c r="AE16" s="52" t="e">
        <f>LEFT('REPORTS PER EVALUATOR'!#REF!,1)</f>
        <v>#REF!</v>
      </c>
      <c r="AF16" s="91" t="e">
        <f>(RIGHT('REPORTS PER EVALUATOR'!#REF!,1))*1</f>
        <v>#REF!</v>
      </c>
      <c r="AG16" s="52" t="e">
        <f>LEFT('REPORTS PER EVALUATOR'!#REF!,1)</f>
        <v>#REF!</v>
      </c>
      <c r="AH16" s="91" t="e">
        <f>(RIGHT('REPORTS PER EVALUATOR'!#REF!,1))*1</f>
        <v>#REF!</v>
      </c>
      <c r="AI16" s="52" t="e">
        <f>LEFT('REPORTS PER EVALUATOR'!#REF!,1)</f>
        <v>#REF!</v>
      </c>
      <c r="AJ16" s="91" t="e">
        <f>(RIGHT('REPORTS PER EVALUATOR'!#REF!,1))*1</f>
        <v>#REF!</v>
      </c>
      <c r="AK16" s="52" t="e">
        <f>LEFT('REPORTS PER EVALUATOR'!#REF!,1)</f>
        <v>#REF!</v>
      </c>
      <c r="AL16" s="91" t="e">
        <f>(RIGHT('REPORTS PER EVALUATOR'!#REF!,1))*1</f>
        <v>#REF!</v>
      </c>
      <c r="AM16" s="52" t="e">
        <f>LEFT('REPORTS PER EVALUATOR'!#REF!,1)</f>
        <v>#REF!</v>
      </c>
      <c r="AN16" s="91" t="e">
        <f>(RIGHT('REPORTS PER EVALUATOR'!#REF!,1))*1</f>
        <v>#REF!</v>
      </c>
      <c r="AO16" s="52" t="e">
        <f>LEFT('REPORTS PER EVALUATOR'!#REF!,1)</f>
        <v>#REF!</v>
      </c>
      <c r="AP16" s="91" t="e">
        <f>(RIGHT('REPORTS PER EVALUATOR'!#REF!,1))*1</f>
        <v>#REF!</v>
      </c>
      <c r="AQ16" s="52" t="e">
        <f>LEFT('REPORTS PER EVALUATOR'!#REF!,1)</f>
        <v>#REF!</v>
      </c>
      <c r="AR16" s="91" t="e">
        <f>(RIGHT('REPORTS PER EVALUATOR'!#REF!,1))*1</f>
        <v>#REF!</v>
      </c>
    </row>
    <row r="17" spans="1:44" x14ac:dyDescent="0.2">
      <c r="A17" s="213"/>
      <c r="B17" s="53" t="str">
        <f t="shared" si="1"/>
        <v>B</v>
      </c>
      <c r="C17" s="47" t="str">
        <f t="shared" si="0"/>
        <v>H</v>
      </c>
      <c r="D17" s="47" t="s">
        <v>25</v>
      </c>
      <c r="E17" s="51" t="str">
        <f>LEFT('REPORTS PER EVALUATOR'!$Q$7,1)</f>
        <v>1</v>
      </c>
      <c r="F17" s="73">
        <f>(RIGHT('REPORTS PER EVALUATOR'!$Q$7,1))*1</f>
        <v>1</v>
      </c>
      <c r="G17" s="52" t="str">
        <f>LEFT('REPORTS PER EVALUATOR'!$Q$19,1)</f>
        <v>B</v>
      </c>
      <c r="H17" s="81">
        <f>(RIGHT('REPORTS PER EVALUATOR'!$Q$19,1))*1</f>
        <v>2</v>
      </c>
      <c r="I17" s="52" t="str">
        <f>LEFT('REPORTS PER EVALUATOR'!$Q$31,1)</f>
        <v>B</v>
      </c>
      <c r="J17" s="81">
        <f>(RIGHT('REPORTS PER EVALUATOR'!$Q$31,1))*1</f>
        <v>3</v>
      </c>
      <c r="K17" s="52" t="str">
        <f>LEFT('REPORTS PER EVALUATOR'!$Q$43,1)</f>
        <v>B</v>
      </c>
      <c r="L17" s="81">
        <f>(RIGHT('REPORTS PER EVALUATOR'!$Q$43,1))*1</f>
        <v>3</v>
      </c>
      <c r="M17" s="52" t="str">
        <f>LEFT('REPORTS PER EVALUATOR'!$Q$55,1)</f>
        <v>1</v>
      </c>
      <c r="N17" s="81">
        <f>(RIGHT('REPORTS PER EVALUATOR'!$Q$55,1))*1</f>
        <v>1</v>
      </c>
      <c r="O17" s="52" t="str">
        <f>LEFT('REPORTS PER EVALUATOR'!$Q$67,1)</f>
        <v>1</v>
      </c>
      <c r="P17" s="81">
        <f>(RIGHT('REPORTS PER EVALUATOR'!$Q$67,1))*1</f>
        <v>1</v>
      </c>
      <c r="Q17" s="52" t="str">
        <f>LEFT('REPORTS PER EVALUATOR'!$Q$79,1)</f>
        <v>B</v>
      </c>
      <c r="R17" s="81">
        <f>(RIGHT('REPORTS PER EVALUATOR'!$Q$79,1))*1</f>
        <v>3</v>
      </c>
      <c r="S17" s="52" t="str">
        <f>LEFT('REPORTS PER EVALUATOR'!$Q$91,1)</f>
        <v>B</v>
      </c>
      <c r="T17" s="81">
        <f>(RIGHT('REPORTS PER EVALUATOR'!$Q$91,1))*1</f>
        <v>2</v>
      </c>
      <c r="U17" s="52" t="str">
        <f>LEFT('REPORTS PER EVALUATOR'!$Q$103,1)</f>
        <v>H</v>
      </c>
      <c r="V17" s="81">
        <f>(RIGHT('REPORTS PER EVALUATOR'!$Q$103,1))*1</f>
        <v>2</v>
      </c>
      <c r="W17" s="52" t="str">
        <f>LEFT('REPORTS PER EVALUATOR'!$Q$115,1)</f>
        <v>H</v>
      </c>
      <c r="X17" s="81">
        <f>(RIGHT('REPORTS PER EVALUATOR'!$Q$115,1))*1</f>
        <v>2</v>
      </c>
      <c r="Y17" s="52" t="str">
        <f>LEFT('REPORTS PER EVALUATOR'!$Q$127,1)</f>
        <v>B</v>
      </c>
      <c r="Z17" s="91">
        <f>(RIGHT('REPORTS PER EVALUATOR'!$Q$127,1))*1</f>
        <v>2</v>
      </c>
      <c r="AA17" s="52" t="e">
        <f>LEFT('REPORTS PER EVALUATOR'!#REF!,1)</f>
        <v>#REF!</v>
      </c>
      <c r="AB17" s="91" t="e">
        <f>(RIGHT('REPORTS PER EVALUATOR'!#REF!,1))*1</f>
        <v>#REF!</v>
      </c>
      <c r="AC17" s="52" t="e">
        <f>LEFT('REPORTS PER EVALUATOR'!#REF!,1)</f>
        <v>#REF!</v>
      </c>
      <c r="AD17" s="91" t="e">
        <f>(RIGHT('REPORTS PER EVALUATOR'!#REF!,1))*1</f>
        <v>#REF!</v>
      </c>
      <c r="AE17" s="52" t="e">
        <f>LEFT('REPORTS PER EVALUATOR'!#REF!,1)</f>
        <v>#REF!</v>
      </c>
      <c r="AF17" s="91" t="e">
        <f>(RIGHT('REPORTS PER EVALUATOR'!#REF!,1))*1</f>
        <v>#REF!</v>
      </c>
      <c r="AG17" s="52" t="e">
        <f>LEFT('REPORTS PER EVALUATOR'!#REF!,1)</f>
        <v>#REF!</v>
      </c>
      <c r="AH17" s="91" t="e">
        <f>(RIGHT('REPORTS PER EVALUATOR'!#REF!,1))*1</f>
        <v>#REF!</v>
      </c>
      <c r="AI17" s="52" t="e">
        <f>LEFT('REPORTS PER EVALUATOR'!#REF!,1)</f>
        <v>#REF!</v>
      </c>
      <c r="AJ17" s="91" t="e">
        <f>(RIGHT('REPORTS PER EVALUATOR'!#REF!,1))*1</f>
        <v>#REF!</v>
      </c>
      <c r="AK17" s="52" t="e">
        <f>LEFT('REPORTS PER EVALUATOR'!#REF!,1)</f>
        <v>#REF!</v>
      </c>
      <c r="AL17" s="91" t="e">
        <f>(RIGHT('REPORTS PER EVALUATOR'!#REF!,1))*1</f>
        <v>#REF!</v>
      </c>
      <c r="AM17" s="52" t="e">
        <f>LEFT('REPORTS PER EVALUATOR'!#REF!,1)</f>
        <v>#REF!</v>
      </c>
      <c r="AN17" s="91" t="e">
        <f>(RIGHT('REPORTS PER EVALUATOR'!#REF!,1))*1</f>
        <v>#REF!</v>
      </c>
      <c r="AO17" s="52" t="e">
        <f>LEFT('REPORTS PER EVALUATOR'!#REF!,1)</f>
        <v>#REF!</v>
      </c>
      <c r="AP17" s="91" t="e">
        <f>(RIGHT('REPORTS PER EVALUATOR'!#REF!,1))*1</f>
        <v>#REF!</v>
      </c>
      <c r="AQ17" s="52" t="e">
        <f>LEFT('REPORTS PER EVALUATOR'!#REF!,1)</f>
        <v>#REF!</v>
      </c>
      <c r="AR17" s="91" t="e">
        <f>(RIGHT('REPORTS PER EVALUATOR'!#REF!,1))*1</f>
        <v>#REF!</v>
      </c>
    </row>
    <row r="18" spans="1:44" x14ac:dyDescent="0.2">
      <c r="A18" s="213"/>
      <c r="B18" s="53" t="str">
        <f t="shared" si="1"/>
        <v>B</v>
      </c>
      <c r="C18" s="47" t="str">
        <f t="shared" si="0"/>
        <v>I</v>
      </c>
      <c r="D18" s="47" t="s">
        <v>26</v>
      </c>
      <c r="E18" s="51" t="str">
        <f>LEFT('REPORTS PER EVALUATOR'!$R$7,1)</f>
        <v>B</v>
      </c>
      <c r="F18" s="73">
        <f>(RIGHT('REPORTS PER EVALUATOR'!$R$7,1))*1</f>
        <v>2</v>
      </c>
      <c r="G18" s="52" t="str">
        <f>LEFT('REPORTS PER EVALUATOR'!$R$19,1)</f>
        <v>B</v>
      </c>
      <c r="H18" s="81">
        <f>(RIGHT('REPORTS PER EVALUATOR'!$R$19,1))*1</f>
        <v>2</v>
      </c>
      <c r="I18" s="52" t="str">
        <f>LEFT('REPORTS PER EVALUATOR'!$R$31,1)</f>
        <v>I</v>
      </c>
      <c r="J18" s="81">
        <f>(RIGHT('REPORTS PER EVALUATOR'!$R$31,1))*1</f>
        <v>2</v>
      </c>
      <c r="K18" s="52" t="str">
        <f>LEFT('REPORTS PER EVALUATOR'!$R$43,1)</f>
        <v>B</v>
      </c>
      <c r="L18" s="81">
        <f>(RIGHT('REPORTS PER EVALUATOR'!$R$43,1))*1</f>
        <v>3</v>
      </c>
      <c r="M18" s="52" t="str">
        <f>LEFT('REPORTS PER EVALUATOR'!$R$55,1)</f>
        <v>1</v>
      </c>
      <c r="N18" s="81">
        <f>(RIGHT('REPORTS PER EVALUATOR'!$R$55,1))*1</f>
        <v>1</v>
      </c>
      <c r="O18" s="52" t="str">
        <f>LEFT('REPORTS PER EVALUATOR'!$R$67,1)</f>
        <v>1</v>
      </c>
      <c r="P18" s="81">
        <f>(RIGHT('REPORTS PER EVALUATOR'!$R$67,1))*1</f>
        <v>1</v>
      </c>
      <c r="Q18" s="52" t="str">
        <f>LEFT('REPORTS PER EVALUATOR'!$R$79,1)</f>
        <v>B</v>
      </c>
      <c r="R18" s="81">
        <f>(RIGHT('REPORTS PER EVALUATOR'!$R$79,1))*1</f>
        <v>2</v>
      </c>
      <c r="S18" s="52" t="str">
        <f>LEFT('REPORTS PER EVALUATOR'!$R$91,1)</f>
        <v>1</v>
      </c>
      <c r="T18" s="81">
        <f>(RIGHT('REPORTS PER EVALUATOR'!$R$91,1))*1</f>
        <v>1</v>
      </c>
      <c r="U18" s="52" t="str">
        <f>LEFT('REPORTS PER EVALUATOR'!$R$103,1)</f>
        <v>B</v>
      </c>
      <c r="V18" s="81">
        <f>(RIGHT('REPORTS PER EVALUATOR'!$R$103,1))*1</f>
        <v>2</v>
      </c>
      <c r="W18" s="52" t="str">
        <f>LEFT('REPORTS PER EVALUATOR'!$R$115,1)</f>
        <v>1</v>
      </c>
      <c r="X18" s="81">
        <f>(RIGHT('REPORTS PER EVALUATOR'!$R$115,1))*1</f>
        <v>1</v>
      </c>
      <c r="Y18" s="52" t="str">
        <f>LEFT('REPORTS PER EVALUATOR'!$R$127,1)</f>
        <v>B</v>
      </c>
      <c r="Z18" s="91">
        <f>(RIGHT('REPORTS PER EVALUATOR'!$R$127,1))*1</f>
        <v>2</v>
      </c>
      <c r="AA18" s="52" t="e">
        <f>LEFT('REPORTS PER EVALUATOR'!#REF!,1)</f>
        <v>#REF!</v>
      </c>
      <c r="AB18" s="91" t="e">
        <f>(RIGHT('REPORTS PER EVALUATOR'!#REF!,1))*1</f>
        <v>#REF!</v>
      </c>
      <c r="AC18" s="52" t="e">
        <f>LEFT('REPORTS PER EVALUATOR'!#REF!,1)</f>
        <v>#REF!</v>
      </c>
      <c r="AD18" s="91" t="e">
        <f>(RIGHT('REPORTS PER EVALUATOR'!#REF!,1))*1</f>
        <v>#REF!</v>
      </c>
      <c r="AE18" s="52" t="e">
        <f>LEFT('REPORTS PER EVALUATOR'!#REF!,1)</f>
        <v>#REF!</v>
      </c>
      <c r="AF18" s="91" t="e">
        <f>(RIGHT('REPORTS PER EVALUATOR'!#REF!,1))*1</f>
        <v>#REF!</v>
      </c>
      <c r="AG18" s="52" t="e">
        <f>LEFT('REPORTS PER EVALUATOR'!#REF!,1)</f>
        <v>#REF!</v>
      </c>
      <c r="AH18" s="91" t="e">
        <f>(RIGHT('REPORTS PER EVALUATOR'!#REF!,1))*1</f>
        <v>#REF!</v>
      </c>
      <c r="AI18" s="52" t="e">
        <f>LEFT('REPORTS PER EVALUATOR'!#REF!,1)</f>
        <v>#REF!</v>
      </c>
      <c r="AJ18" s="91" t="e">
        <f>(RIGHT('REPORTS PER EVALUATOR'!#REF!,1))*1</f>
        <v>#REF!</v>
      </c>
      <c r="AK18" s="52" t="e">
        <f>LEFT('REPORTS PER EVALUATOR'!#REF!,1)</f>
        <v>#REF!</v>
      </c>
      <c r="AL18" s="91" t="e">
        <f>(RIGHT('REPORTS PER EVALUATOR'!#REF!,1))*1</f>
        <v>#REF!</v>
      </c>
      <c r="AM18" s="52" t="e">
        <f>LEFT('REPORTS PER EVALUATOR'!#REF!,1)</f>
        <v>#REF!</v>
      </c>
      <c r="AN18" s="91" t="e">
        <f>(RIGHT('REPORTS PER EVALUATOR'!#REF!,1))*1</f>
        <v>#REF!</v>
      </c>
      <c r="AO18" s="52" t="e">
        <f>LEFT('REPORTS PER EVALUATOR'!#REF!,1)</f>
        <v>#REF!</v>
      </c>
      <c r="AP18" s="91" t="e">
        <f>(RIGHT('REPORTS PER EVALUATOR'!#REF!,1))*1</f>
        <v>#REF!</v>
      </c>
      <c r="AQ18" s="52" t="e">
        <f>LEFT('REPORTS PER EVALUATOR'!#REF!,1)</f>
        <v>#REF!</v>
      </c>
      <c r="AR18" s="91" t="e">
        <f>(RIGHT('REPORTS PER EVALUATOR'!#REF!,1))*1</f>
        <v>#REF!</v>
      </c>
    </row>
    <row r="19" spans="1:44" x14ac:dyDescent="0.2">
      <c r="B19" s="19" t="str">
        <f t="shared" si="1"/>
        <v>B</v>
      </c>
      <c r="C19" s="18" t="str">
        <f t="shared" si="0"/>
        <v>L</v>
      </c>
      <c r="D19" s="18" t="s">
        <v>27</v>
      </c>
      <c r="E19" s="26" t="str">
        <f>LEFT('REPORTS PER EVALUATOR'!$S$7,1)</f>
        <v>B</v>
      </c>
      <c r="F19" s="73">
        <f>(RIGHT('REPORTS PER EVALUATOR'!$S$7,1))*1</f>
        <v>3</v>
      </c>
      <c r="G19" s="11" t="str">
        <f>LEFT('REPORTS PER EVALUATOR'!$S$19,1)</f>
        <v>B</v>
      </c>
      <c r="H19" s="81">
        <f>(RIGHT('REPORTS PER EVALUATOR'!$S$19,1))*1</f>
        <v>3</v>
      </c>
      <c r="I19" s="11" t="str">
        <f>LEFT('REPORTS PER EVALUATOR'!$S$31,1)</f>
        <v>B</v>
      </c>
      <c r="J19" s="81">
        <f>(RIGHT('REPORTS PER EVALUATOR'!$S$31,1))*1</f>
        <v>3</v>
      </c>
      <c r="K19" s="11" t="str">
        <f>LEFT('REPORTS PER EVALUATOR'!$S$43,1)</f>
        <v>B</v>
      </c>
      <c r="L19" s="81">
        <f>(RIGHT('REPORTS PER EVALUATOR'!$S$43,1))*1</f>
        <v>2</v>
      </c>
      <c r="M19" s="11" t="str">
        <f>LEFT('REPORTS PER EVALUATOR'!$S$55,1)</f>
        <v>B</v>
      </c>
      <c r="N19" s="81">
        <f>(RIGHT('REPORTS PER EVALUATOR'!$S$55,1))*1</f>
        <v>2</v>
      </c>
      <c r="O19" s="11" t="str">
        <f>LEFT('REPORTS PER EVALUATOR'!$S$67,1)</f>
        <v>B</v>
      </c>
      <c r="P19" s="81">
        <f>(RIGHT('REPORTS PER EVALUATOR'!$S$67,1))*1</f>
        <v>2</v>
      </c>
      <c r="Q19" s="11" t="str">
        <f>LEFT('REPORTS PER EVALUATOR'!$S$79,1)</f>
        <v>B</v>
      </c>
      <c r="R19" s="81">
        <f>(RIGHT('REPORTS PER EVALUATOR'!$S$79,1))*1</f>
        <v>2</v>
      </c>
      <c r="S19" s="11" t="str">
        <f>LEFT('REPORTS PER EVALUATOR'!$S$91,1)</f>
        <v>B</v>
      </c>
      <c r="T19" s="81">
        <f>(RIGHT('REPORTS PER EVALUATOR'!$S$91,1))*1</f>
        <v>2</v>
      </c>
      <c r="U19" s="11" t="str">
        <f>LEFT('REPORTS PER EVALUATOR'!$S$103,1)</f>
        <v>B</v>
      </c>
      <c r="V19" s="81">
        <f>(RIGHT('REPORTS PER EVALUATOR'!$S$103,1))*1</f>
        <v>2</v>
      </c>
      <c r="W19" s="11" t="str">
        <f>LEFT('REPORTS PER EVALUATOR'!$S$115,1)</f>
        <v>B</v>
      </c>
      <c r="X19" s="81">
        <f>(RIGHT('REPORTS PER EVALUATOR'!$S$115,1))*1</f>
        <v>3</v>
      </c>
      <c r="Y19" s="11" t="str">
        <f>LEFT('REPORTS PER EVALUATOR'!$S$127,1)</f>
        <v>B</v>
      </c>
      <c r="Z19" s="92">
        <f>(RIGHT('REPORTS PER EVALUATOR'!$S$127,1))*1</f>
        <v>3</v>
      </c>
      <c r="AA19" s="11" t="e">
        <f>LEFT('REPORTS PER EVALUATOR'!#REF!,1)</f>
        <v>#REF!</v>
      </c>
      <c r="AB19" s="92" t="e">
        <f>(RIGHT('REPORTS PER EVALUATOR'!#REF!,1))*1</f>
        <v>#REF!</v>
      </c>
      <c r="AC19" s="11" t="e">
        <f>LEFT('REPORTS PER EVALUATOR'!#REF!,1)</f>
        <v>#REF!</v>
      </c>
      <c r="AD19" s="92" t="e">
        <f>(RIGHT('REPORTS PER EVALUATOR'!#REF!,1))*1</f>
        <v>#REF!</v>
      </c>
      <c r="AE19" s="11" t="e">
        <f>LEFT('REPORTS PER EVALUATOR'!#REF!,1)</f>
        <v>#REF!</v>
      </c>
      <c r="AF19" s="92" t="e">
        <f>(RIGHT('REPORTS PER EVALUATOR'!#REF!,1))*1</f>
        <v>#REF!</v>
      </c>
      <c r="AG19" s="11" t="e">
        <f>LEFT('REPORTS PER EVALUATOR'!#REF!,1)</f>
        <v>#REF!</v>
      </c>
      <c r="AH19" s="92" t="e">
        <f>(RIGHT('REPORTS PER EVALUATOR'!#REF!,1))*1</f>
        <v>#REF!</v>
      </c>
      <c r="AI19" s="11" t="e">
        <f>LEFT('REPORTS PER EVALUATOR'!#REF!,1)</f>
        <v>#REF!</v>
      </c>
      <c r="AJ19" s="92" t="e">
        <f>(RIGHT('REPORTS PER EVALUATOR'!#REF!,1))*1</f>
        <v>#REF!</v>
      </c>
      <c r="AK19" s="11" t="e">
        <f>LEFT('REPORTS PER EVALUATOR'!#REF!,1)</f>
        <v>#REF!</v>
      </c>
      <c r="AL19" s="92" t="e">
        <f>(RIGHT('REPORTS PER EVALUATOR'!#REF!,1))*1</f>
        <v>#REF!</v>
      </c>
      <c r="AM19" s="11" t="e">
        <f>LEFT('REPORTS PER EVALUATOR'!#REF!,1)</f>
        <v>#REF!</v>
      </c>
      <c r="AN19" s="92" t="e">
        <f>(RIGHT('REPORTS PER EVALUATOR'!#REF!,1))*1</f>
        <v>#REF!</v>
      </c>
      <c r="AO19" s="11" t="e">
        <f>LEFT('REPORTS PER EVALUATOR'!#REF!,1)</f>
        <v>#REF!</v>
      </c>
      <c r="AP19" s="92" t="e">
        <f>(RIGHT('REPORTS PER EVALUATOR'!#REF!,1))*1</f>
        <v>#REF!</v>
      </c>
      <c r="AQ19" s="11" t="e">
        <f>LEFT('REPORTS PER EVALUATOR'!#REF!,1)</f>
        <v>#REF!</v>
      </c>
      <c r="AR19" s="92" t="e">
        <f>(RIGHT('REPORTS PER EVALUATOR'!#REF!,1))*1</f>
        <v>#REF!</v>
      </c>
    </row>
    <row r="20" spans="1:44" x14ac:dyDescent="0.2">
      <c r="B20" s="19" t="str">
        <f t="shared" si="1"/>
        <v>B</v>
      </c>
      <c r="C20" s="18" t="str">
        <f t="shared" si="0"/>
        <v>M</v>
      </c>
      <c r="D20" s="18" t="s">
        <v>158</v>
      </c>
      <c r="E20" s="26" t="str">
        <f>LEFT('REPORTS PER EVALUATOR'!$T$7,1)</f>
        <v/>
      </c>
      <c r="F20" s="73" t="e">
        <f>(RIGHT('REPORTS PER EVALUATOR'!$T$7,1))*1</f>
        <v>#VALUE!</v>
      </c>
      <c r="G20" s="11" t="str">
        <f>LEFT('REPORTS PER EVALUATOR'!$T$19,1)</f>
        <v/>
      </c>
      <c r="H20" s="81" t="e">
        <f>(RIGHT('REPORTS PER EVALUATOR'!$T$19,1))*1</f>
        <v>#VALUE!</v>
      </c>
      <c r="I20" s="11" t="str">
        <f>LEFT('REPORTS PER EVALUATOR'!$T$31,1)</f>
        <v/>
      </c>
      <c r="J20" s="81" t="e">
        <f>(RIGHT('REPORTS PER EVALUATOR'!$T$31,1))*1</f>
        <v>#VALUE!</v>
      </c>
      <c r="K20" s="11" t="str">
        <f>LEFT('REPORTS PER EVALUATOR'!$T$43,1)</f>
        <v/>
      </c>
      <c r="L20" s="81" t="e">
        <f>(RIGHT('REPORTS PER EVALUATOR'!$T$43,1))*1</f>
        <v>#VALUE!</v>
      </c>
      <c r="M20" s="11" t="str">
        <f>LEFT('REPORTS PER EVALUATOR'!$T$55,1)</f>
        <v/>
      </c>
      <c r="N20" s="81" t="e">
        <f>(RIGHT('REPORTS PER EVALUATOR'!$T$55,1))*1</f>
        <v>#VALUE!</v>
      </c>
      <c r="O20" s="11" t="str">
        <f>LEFT('REPORTS PER EVALUATOR'!$T$67,1)</f>
        <v/>
      </c>
      <c r="P20" s="81" t="e">
        <f>(RIGHT('REPORTS PER EVALUATOR'!$T$67,1))*1</f>
        <v>#VALUE!</v>
      </c>
      <c r="Q20" s="11" t="str">
        <f>LEFT('REPORTS PER EVALUATOR'!$T$79,1)</f>
        <v/>
      </c>
      <c r="R20" s="81" t="e">
        <f>(RIGHT('REPORTS PER EVALUATOR'!$T$79,1))*1</f>
        <v>#VALUE!</v>
      </c>
      <c r="S20" s="11" t="str">
        <f>LEFT('REPORTS PER EVALUATOR'!$T$91,1)</f>
        <v/>
      </c>
      <c r="T20" s="81" t="e">
        <f>(RIGHT('REPORTS PER EVALUATOR'!$T$91,1))*1</f>
        <v>#VALUE!</v>
      </c>
      <c r="U20" s="11" t="str">
        <f>LEFT('REPORTS PER EVALUATOR'!$T$103,1)</f>
        <v/>
      </c>
      <c r="V20" s="81" t="e">
        <f>(RIGHT('REPORTS PER EVALUATOR'!$T$103,1))*1</f>
        <v>#VALUE!</v>
      </c>
      <c r="W20" s="11" t="str">
        <f>LEFT('REPORTS PER EVALUATOR'!$T$115,1)</f>
        <v/>
      </c>
      <c r="X20" s="81" t="e">
        <f>(RIGHT('REPORTS PER EVALUATOR'!$T$115,1))*1</f>
        <v>#VALUE!</v>
      </c>
      <c r="Y20" s="11" t="str">
        <f>LEFT('REPORTS PER EVALUATOR'!$T$127,1)</f>
        <v/>
      </c>
      <c r="Z20" s="92" t="e">
        <f>(RIGHT('REPORTS PER EVALUATOR'!$T$127,1))*1</f>
        <v>#VALUE!</v>
      </c>
      <c r="AA20" s="11" t="e">
        <f>LEFT('REPORTS PER EVALUATOR'!#REF!,1)</f>
        <v>#REF!</v>
      </c>
      <c r="AB20" s="92" t="e">
        <f>(RIGHT('REPORTS PER EVALUATOR'!#REF!,1))*1</f>
        <v>#REF!</v>
      </c>
      <c r="AC20" s="11" t="e">
        <f>LEFT('REPORTS PER EVALUATOR'!#REF!,1)</f>
        <v>#REF!</v>
      </c>
      <c r="AD20" s="92" t="e">
        <f>(RIGHT('REPORTS PER EVALUATOR'!#REF!,1))*1</f>
        <v>#REF!</v>
      </c>
      <c r="AE20" s="11" t="e">
        <f>LEFT('REPORTS PER EVALUATOR'!#REF!,1)</f>
        <v>#REF!</v>
      </c>
      <c r="AF20" s="92" t="e">
        <f>(RIGHT('REPORTS PER EVALUATOR'!#REF!,1))*1</f>
        <v>#REF!</v>
      </c>
      <c r="AG20" s="11" t="e">
        <f>LEFT('REPORTS PER EVALUATOR'!#REF!,1)</f>
        <v>#REF!</v>
      </c>
      <c r="AH20" s="92" t="e">
        <f>(RIGHT('REPORTS PER EVALUATOR'!#REF!,1))*1</f>
        <v>#REF!</v>
      </c>
      <c r="AI20" s="11" t="e">
        <f>LEFT('REPORTS PER EVALUATOR'!#REF!,1)</f>
        <v>#REF!</v>
      </c>
      <c r="AJ20" s="92" t="e">
        <f>(RIGHT('REPORTS PER EVALUATOR'!#REF!,1))*1</f>
        <v>#REF!</v>
      </c>
      <c r="AK20" s="11" t="e">
        <f>LEFT('REPORTS PER EVALUATOR'!#REF!,1)</f>
        <v>#REF!</v>
      </c>
      <c r="AL20" s="92" t="e">
        <f>(RIGHT('REPORTS PER EVALUATOR'!#REF!,1))*1</f>
        <v>#REF!</v>
      </c>
      <c r="AM20" s="11" t="e">
        <f>LEFT('REPORTS PER EVALUATOR'!#REF!,1)</f>
        <v>#REF!</v>
      </c>
      <c r="AN20" s="92" t="e">
        <f>(RIGHT('REPORTS PER EVALUATOR'!#REF!,1))*1</f>
        <v>#REF!</v>
      </c>
      <c r="AO20" s="11" t="e">
        <f>LEFT('REPORTS PER EVALUATOR'!#REF!,1)</f>
        <v>#REF!</v>
      </c>
      <c r="AP20" s="92" t="e">
        <f>(RIGHT('REPORTS PER EVALUATOR'!#REF!,1))*1</f>
        <v>#REF!</v>
      </c>
      <c r="AQ20" s="11" t="e">
        <f>LEFT('REPORTS PER EVALUATOR'!#REF!,1)</f>
        <v>#REF!</v>
      </c>
      <c r="AR20" s="92" t="e">
        <f>(RIGHT('REPORTS PER EVALUATOR'!#REF!,1))*1</f>
        <v>#REF!</v>
      </c>
    </row>
    <row r="21" spans="1:44" x14ac:dyDescent="0.2">
      <c r="B21" s="19" t="str">
        <f t="shared" si="1"/>
        <v>C</v>
      </c>
      <c r="C21" s="18" t="str">
        <f t="shared" si="0"/>
        <v>D</v>
      </c>
      <c r="D21" s="18" t="s">
        <v>28</v>
      </c>
      <c r="E21" s="56" t="str">
        <f>LEFT('REPORTS PER EVALUATOR'!$M$8,1)</f>
        <v>D</v>
      </c>
      <c r="F21" s="72">
        <f>(RIGHT('REPORTS PER EVALUATOR'!$M$8,1))*1</f>
        <v>4</v>
      </c>
      <c r="G21" s="57" t="str">
        <f>LEFT('REPORTS PER EVALUATOR'!$M$20,1)</f>
        <v>D</v>
      </c>
      <c r="H21" s="80">
        <f>(RIGHT('REPORTS PER EVALUATOR'!$M$20,1))*1</f>
        <v>4</v>
      </c>
      <c r="I21" s="57" t="str">
        <f>LEFT('REPORTS PER EVALUATOR'!$M$32,1)</f>
        <v>D</v>
      </c>
      <c r="J21" s="80">
        <f>(RIGHT('REPORTS PER EVALUATOR'!$M$32,1))*1</f>
        <v>5</v>
      </c>
      <c r="K21" s="57" t="str">
        <f>LEFT('REPORTS PER EVALUATOR'!$M$44,1)</f>
        <v>D</v>
      </c>
      <c r="L21" s="80">
        <f>(RIGHT('REPORTS PER EVALUATOR'!$M$44,1))*1</f>
        <v>3</v>
      </c>
      <c r="M21" s="57" t="str">
        <f>LEFT('REPORTS PER EVALUATOR'!$M$56,1)</f>
        <v>D</v>
      </c>
      <c r="N21" s="80">
        <f>(RIGHT('REPORTS PER EVALUATOR'!$M$56,1))*1</f>
        <v>5</v>
      </c>
      <c r="O21" s="57" t="str">
        <f>LEFT('REPORTS PER EVALUATOR'!$M$68,1)</f>
        <v>D</v>
      </c>
      <c r="P21" s="80">
        <f>(RIGHT('REPORTS PER EVALUATOR'!$M$68,1))*1</f>
        <v>3</v>
      </c>
      <c r="Q21" s="57" t="str">
        <f>LEFT('REPORTS PER EVALUATOR'!$M$80,1)</f>
        <v>D</v>
      </c>
      <c r="R21" s="80">
        <f>(RIGHT('REPORTS PER EVALUATOR'!$M$80,1))*1</f>
        <v>3</v>
      </c>
      <c r="S21" s="57" t="str">
        <f>LEFT('REPORTS PER EVALUATOR'!$M$92,1)</f>
        <v>D</v>
      </c>
      <c r="T21" s="80">
        <f>(RIGHT('REPORTS PER EVALUATOR'!$M$92,1))*1</f>
        <v>3</v>
      </c>
      <c r="U21" s="57" t="str">
        <f>LEFT('REPORTS PER EVALUATOR'!$M$104,1)</f>
        <v>D</v>
      </c>
      <c r="V21" s="80">
        <f>(RIGHT('REPORTS PER EVALUATOR'!$M$104,1))*1</f>
        <v>2</v>
      </c>
      <c r="W21" s="57" t="str">
        <f>LEFT('REPORTS PER EVALUATOR'!$M$116,1)</f>
        <v>D</v>
      </c>
      <c r="X21" s="80">
        <f>(RIGHT('REPORTS PER EVALUATOR'!$M$116,1))*1</f>
        <v>3</v>
      </c>
      <c r="Y21" s="57" t="str">
        <f>LEFT('REPORTS PER EVALUATOR'!$M$128,1)</f>
        <v>D</v>
      </c>
      <c r="Z21" s="93">
        <f>(RIGHT('REPORTS PER EVALUATOR'!$M$128,1))*1</f>
        <v>2</v>
      </c>
      <c r="AA21" s="57" t="e">
        <f>LEFT('REPORTS PER EVALUATOR'!#REF!,1)</f>
        <v>#REF!</v>
      </c>
      <c r="AB21" s="93" t="e">
        <f>(RIGHT('REPORTS PER EVALUATOR'!#REF!,1))*1</f>
        <v>#REF!</v>
      </c>
      <c r="AC21" s="57" t="e">
        <f>LEFT('REPORTS PER EVALUATOR'!#REF!,1)</f>
        <v>#REF!</v>
      </c>
      <c r="AD21" s="93" t="e">
        <f>(RIGHT('REPORTS PER EVALUATOR'!#REF!,1))*1</f>
        <v>#REF!</v>
      </c>
      <c r="AE21" s="57" t="e">
        <f>LEFT('REPORTS PER EVALUATOR'!#REF!,1)</f>
        <v>#REF!</v>
      </c>
      <c r="AF21" s="93" t="e">
        <f>(RIGHT('REPORTS PER EVALUATOR'!#REF!,1))*1</f>
        <v>#REF!</v>
      </c>
      <c r="AG21" s="57" t="e">
        <f>LEFT('REPORTS PER EVALUATOR'!#REF!,1)</f>
        <v>#REF!</v>
      </c>
      <c r="AH21" s="93" t="e">
        <f>(RIGHT('REPORTS PER EVALUATOR'!#REF!,1))*1</f>
        <v>#REF!</v>
      </c>
      <c r="AI21" s="57" t="e">
        <f>LEFT('REPORTS PER EVALUATOR'!#REF!,1)</f>
        <v>#REF!</v>
      </c>
      <c r="AJ21" s="93" t="e">
        <f>(RIGHT('REPORTS PER EVALUATOR'!#REF!,1))*1</f>
        <v>#REF!</v>
      </c>
      <c r="AK21" s="57" t="e">
        <f>LEFT('REPORTS PER EVALUATOR'!#REF!,1)</f>
        <v>#REF!</v>
      </c>
      <c r="AL21" s="93" t="e">
        <f>(RIGHT('REPORTS PER EVALUATOR'!#REF!,1))*1</f>
        <v>#REF!</v>
      </c>
      <c r="AM21" s="57" t="e">
        <f>LEFT('REPORTS PER EVALUATOR'!#REF!,1)</f>
        <v>#REF!</v>
      </c>
      <c r="AN21" s="93" t="e">
        <f>(RIGHT('REPORTS PER EVALUATOR'!#REF!,1))*1</f>
        <v>#REF!</v>
      </c>
      <c r="AO21" s="57" t="e">
        <f>LEFT('REPORTS PER EVALUATOR'!#REF!,1)</f>
        <v>#REF!</v>
      </c>
      <c r="AP21" s="93" t="e">
        <f>(RIGHT('REPORTS PER EVALUATOR'!#REF!,1))*1</f>
        <v>#REF!</v>
      </c>
      <c r="AQ21" s="57" t="e">
        <f>LEFT('REPORTS PER EVALUATOR'!#REF!,1)</f>
        <v>#REF!</v>
      </c>
      <c r="AR21" s="93" t="e">
        <f>(RIGHT('REPORTS PER EVALUATOR'!#REF!,1))*1</f>
        <v>#REF!</v>
      </c>
    </row>
    <row r="22" spans="1:44" x14ac:dyDescent="0.2">
      <c r="B22" s="19" t="str">
        <f t="shared" si="1"/>
        <v>C</v>
      </c>
      <c r="C22" s="18" t="str">
        <f t="shared" si="0"/>
        <v>E</v>
      </c>
      <c r="D22" s="18" t="s">
        <v>29</v>
      </c>
      <c r="E22" s="26" t="str">
        <f>LEFT('REPORTS PER EVALUATOR'!$N$8,1)</f>
        <v>E</v>
      </c>
      <c r="F22" s="73">
        <f>(RIGHT('REPORTS PER EVALUATOR'!$N$8,1))*1</f>
        <v>3</v>
      </c>
      <c r="G22" s="11" t="str">
        <f>LEFT('REPORTS PER EVALUATOR'!$N$20,1)</f>
        <v>E</v>
      </c>
      <c r="H22" s="81">
        <f>(RIGHT('REPORTS PER EVALUATOR'!$N$20,1))*1</f>
        <v>4</v>
      </c>
      <c r="I22" s="11" t="str">
        <f>LEFT('REPORTS PER EVALUATOR'!$N$32,1)</f>
        <v>E</v>
      </c>
      <c r="J22" s="81">
        <f>(RIGHT('REPORTS PER EVALUATOR'!$N$32,1))*1</f>
        <v>3</v>
      </c>
      <c r="K22" s="11" t="str">
        <f>LEFT('REPORTS PER EVALUATOR'!$N$44,1)</f>
        <v>E</v>
      </c>
      <c r="L22" s="81">
        <f>(RIGHT('REPORTS PER EVALUATOR'!$N$44,1))*1</f>
        <v>2</v>
      </c>
      <c r="M22" s="11" t="str">
        <f>LEFT('REPORTS PER EVALUATOR'!$N$56,1)</f>
        <v>E</v>
      </c>
      <c r="N22" s="81">
        <f>(RIGHT('REPORTS PER EVALUATOR'!$N$56,1))*1</f>
        <v>3</v>
      </c>
      <c r="O22" s="11" t="str">
        <f>LEFT('REPORTS PER EVALUATOR'!$N$68,1)</f>
        <v>E</v>
      </c>
      <c r="P22" s="81">
        <f>(RIGHT('REPORTS PER EVALUATOR'!$N$68,1))*1</f>
        <v>3</v>
      </c>
      <c r="Q22" s="11" t="str">
        <f>LEFT('REPORTS PER EVALUATOR'!$N$80,1)</f>
        <v>E</v>
      </c>
      <c r="R22" s="81">
        <f>(RIGHT('REPORTS PER EVALUATOR'!$N$80,1))*1</f>
        <v>4</v>
      </c>
      <c r="S22" s="11" t="str">
        <f>LEFT('REPORTS PER EVALUATOR'!$N$92,1)</f>
        <v>E</v>
      </c>
      <c r="T22" s="81">
        <f>(RIGHT('REPORTS PER EVALUATOR'!$N$92,1))*1</f>
        <v>2</v>
      </c>
      <c r="U22" s="11" t="str">
        <f>LEFT('REPORTS PER EVALUATOR'!$N$104,1)</f>
        <v>1</v>
      </c>
      <c r="V22" s="81">
        <f>(RIGHT('REPORTS PER EVALUATOR'!$N$104,1))*1</f>
        <v>1</v>
      </c>
      <c r="W22" s="11" t="str">
        <f>LEFT('REPORTS PER EVALUATOR'!$N$116,1)</f>
        <v>E</v>
      </c>
      <c r="X22" s="81">
        <f>(RIGHT('REPORTS PER EVALUATOR'!$N$116,1))*1</f>
        <v>2</v>
      </c>
      <c r="Y22" s="11" t="str">
        <f>LEFT('REPORTS PER EVALUATOR'!$N$128,1)</f>
        <v>E</v>
      </c>
      <c r="Z22" s="92">
        <f>(RIGHT('REPORTS PER EVALUATOR'!$N$128,1))*1</f>
        <v>2</v>
      </c>
      <c r="AA22" s="11" t="e">
        <f>LEFT('REPORTS PER EVALUATOR'!#REF!,1)</f>
        <v>#REF!</v>
      </c>
      <c r="AB22" s="92" t="e">
        <f>(RIGHT('REPORTS PER EVALUATOR'!#REF!,1))*1</f>
        <v>#REF!</v>
      </c>
      <c r="AC22" s="11" t="e">
        <f>LEFT('REPORTS PER EVALUATOR'!#REF!,1)</f>
        <v>#REF!</v>
      </c>
      <c r="AD22" s="92" t="e">
        <f>(RIGHT('REPORTS PER EVALUATOR'!#REF!,1))*1</f>
        <v>#REF!</v>
      </c>
      <c r="AE22" s="11" t="e">
        <f>LEFT('REPORTS PER EVALUATOR'!#REF!,1)</f>
        <v>#REF!</v>
      </c>
      <c r="AF22" s="92" t="e">
        <f>(RIGHT('REPORTS PER EVALUATOR'!#REF!,1))*1</f>
        <v>#REF!</v>
      </c>
      <c r="AG22" s="11" t="e">
        <f>LEFT('REPORTS PER EVALUATOR'!#REF!,1)</f>
        <v>#REF!</v>
      </c>
      <c r="AH22" s="92" t="e">
        <f>(RIGHT('REPORTS PER EVALUATOR'!#REF!,1))*1</f>
        <v>#REF!</v>
      </c>
      <c r="AI22" s="11" t="e">
        <f>LEFT('REPORTS PER EVALUATOR'!#REF!,1)</f>
        <v>#REF!</v>
      </c>
      <c r="AJ22" s="92" t="e">
        <f>(RIGHT('REPORTS PER EVALUATOR'!#REF!,1))*1</f>
        <v>#REF!</v>
      </c>
      <c r="AK22" s="11" t="e">
        <f>LEFT('REPORTS PER EVALUATOR'!#REF!,1)</f>
        <v>#REF!</v>
      </c>
      <c r="AL22" s="92" t="e">
        <f>(RIGHT('REPORTS PER EVALUATOR'!#REF!,1))*1</f>
        <v>#REF!</v>
      </c>
      <c r="AM22" s="11" t="e">
        <f>LEFT('REPORTS PER EVALUATOR'!#REF!,1)</f>
        <v>#REF!</v>
      </c>
      <c r="AN22" s="92" t="e">
        <f>(RIGHT('REPORTS PER EVALUATOR'!#REF!,1))*1</f>
        <v>#REF!</v>
      </c>
      <c r="AO22" s="11" t="e">
        <f>LEFT('REPORTS PER EVALUATOR'!#REF!,1)</f>
        <v>#REF!</v>
      </c>
      <c r="AP22" s="92" t="e">
        <f>(RIGHT('REPORTS PER EVALUATOR'!#REF!,1))*1</f>
        <v>#REF!</v>
      </c>
      <c r="AQ22" s="11" t="e">
        <f>LEFT('REPORTS PER EVALUATOR'!#REF!,1)</f>
        <v>#REF!</v>
      </c>
      <c r="AR22" s="92" t="e">
        <f>(RIGHT('REPORTS PER EVALUATOR'!#REF!,1))*1</f>
        <v>#REF!</v>
      </c>
    </row>
    <row r="23" spans="1:44" x14ac:dyDescent="0.2">
      <c r="B23" s="19" t="str">
        <f t="shared" si="1"/>
        <v>C</v>
      </c>
      <c r="C23" s="18" t="str">
        <f t="shared" si="0"/>
        <v>F</v>
      </c>
      <c r="D23" s="18" t="s">
        <v>30</v>
      </c>
      <c r="E23" s="26" t="str">
        <f>LEFT('REPORTS PER EVALUATOR'!$O$8,1)</f>
        <v>F</v>
      </c>
      <c r="F23" s="73">
        <f>(RIGHT('REPORTS PER EVALUATOR'!$O$8,1))*1</f>
        <v>3</v>
      </c>
      <c r="G23" s="11" t="str">
        <f>LEFT('REPORTS PER EVALUATOR'!$O$20,1)</f>
        <v>F</v>
      </c>
      <c r="H23" s="81">
        <f>(RIGHT('REPORTS PER EVALUATOR'!$O$20,1))*1</f>
        <v>4</v>
      </c>
      <c r="I23" s="11" t="str">
        <f>LEFT('REPORTS PER EVALUATOR'!$O$32,1)</f>
        <v>F</v>
      </c>
      <c r="J23" s="81">
        <f>(RIGHT('REPORTS PER EVALUATOR'!$O$32,1))*1</f>
        <v>3</v>
      </c>
      <c r="K23" s="11" t="str">
        <f>LEFT('REPORTS PER EVALUATOR'!$O$44,1)</f>
        <v>F</v>
      </c>
      <c r="L23" s="81">
        <f>(RIGHT('REPORTS PER EVALUATOR'!$O$44,1))*1</f>
        <v>4</v>
      </c>
      <c r="M23" s="11" t="str">
        <f>LEFT('REPORTS PER EVALUATOR'!$O$56,1)</f>
        <v>F</v>
      </c>
      <c r="N23" s="81">
        <f>(RIGHT('REPORTS PER EVALUATOR'!$O$56,1))*1</f>
        <v>3</v>
      </c>
      <c r="O23" s="11" t="str">
        <f>LEFT('REPORTS PER EVALUATOR'!$O$68,1)</f>
        <v>F</v>
      </c>
      <c r="P23" s="81">
        <f>(RIGHT('REPORTS PER EVALUATOR'!$O$68,1))*1</f>
        <v>3</v>
      </c>
      <c r="Q23" s="11" t="str">
        <f>LEFT('REPORTS PER EVALUATOR'!$O$80,1)</f>
        <v>F</v>
      </c>
      <c r="R23" s="81">
        <f>(RIGHT('REPORTS PER EVALUATOR'!$O$80,1))*1</f>
        <v>2</v>
      </c>
      <c r="S23" s="11" t="str">
        <f>LEFT('REPORTS PER EVALUATOR'!$O$92,1)</f>
        <v>1</v>
      </c>
      <c r="T23" s="81">
        <f>(RIGHT('REPORTS PER EVALUATOR'!$O$92,1))*1</f>
        <v>1</v>
      </c>
      <c r="U23" s="11" t="str">
        <f>LEFT('REPORTS PER EVALUATOR'!$O$104,1)</f>
        <v>F</v>
      </c>
      <c r="V23" s="81">
        <f>(RIGHT('REPORTS PER EVALUATOR'!$O$104,1))*1</f>
        <v>2</v>
      </c>
      <c r="W23" s="11" t="str">
        <f>LEFT('REPORTS PER EVALUATOR'!$O$116,1)</f>
        <v>F</v>
      </c>
      <c r="X23" s="81">
        <f>(RIGHT('REPORTS PER EVALUATOR'!$O$116,1))*1</f>
        <v>3</v>
      </c>
      <c r="Y23" s="11" t="str">
        <f>LEFT('REPORTS PER EVALUATOR'!$O$128,1)</f>
        <v>F</v>
      </c>
      <c r="Z23" s="92">
        <f>(RIGHT('REPORTS PER EVALUATOR'!$O$128,1))*1</f>
        <v>3</v>
      </c>
      <c r="AA23" s="11" t="e">
        <f>LEFT('REPORTS PER EVALUATOR'!#REF!,1)</f>
        <v>#REF!</v>
      </c>
      <c r="AB23" s="92" t="e">
        <f>(RIGHT('REPORTS PER EVALUATOR'!#REF!,1))*1</f>
        <v>#REF!</v>
      </c>
      <c r="AC23" s="11" t="e">
        <f>LEFT('REPORTS PER EVALUATOR'!#REF!,1)</f>
        <v>#REF!</v>
      </c>
      <c r="AD23" s="92" t="e">
        <f>(RIGHT('REPORTS PER EVALUATOR'!#REF!,1))*1</f>
        <v>#REF!</v>
      </c>
      <c r="AE23" s="11" t="e">
        <f>LEFT('REPORTS PER EVALUATOR'!#REF!,1)</f>
        <v>#REF!</v>
      </c>
      <c r="AF23" s="92" t="e">
        <f>(RIGHT('REPORTS PER EVALUATOR'!#REF!,1))*1</f>
        <v>#REF!</v>
      </c>
      <c r="AG23" s="11" t="e">
        <f>LEFT('REPORTS PER EVALUATOR'!#REF!,1)</f>
        <v>#REF!</v>
      </c>
      <c r="AH23" s="92" t="e">
        <f>(RIGHT('REPORTS PER EVALUATOR'!#REF!,1))*1</f>
        <v>#REF!</v>
      </c>
      <c r="AI23" s="11" t="e">
        <f>LEFT('REPORTS PER EVALUATOR'!#REF!,1)</f>
        <v>#REF!</v>
      </c>
      <c r="AJ23" s="92" t="e">
        <f>(RIGHT('REPORTS PER EVALUATOR'!#REF!,1))*1</f>
        <v>#REF!</v>
      </c>
      <c r="AK23" s="11" t="e">
        <f>LEFT('REPORTS PER EVALUATOR'!#REF!,1)</f>
        <v>#REF!</v>
      </c>
      <c r="AL23" s="92" t="e">
        <f>(RIGHT('REPORTS PER EVALUATOR'!#REF!,1))*1</f>
        <v>#REF!</v>
      </c>
      <c r="AM23" s="11" t="e">
        <f>LEFT('REPORTS PER EVALUATOR'!#REF!,1)</f>
        <v>#REF!</v>
      </c>
      <c r="AN23" s="92" t="e">
        <f>(RIGHT('REPORTS PER EVALUATOR'!#REF!,1))*1</f>
        <v>#REF!</v>
      </c>
      <c r="AO23" s="11" t="e">
        <f>LEFT('REPORTS PER EVALUATOR'!#REF!,1)</f>
        <v>#REF!</v>
      </c>
      <c r="AP23" s="92" t="e">
        <f>(RIGHT('REPORTS PER EVALUATOR'!#REF!,1))*1</f>
        <v>#REF!</v>
      </c>
      <c r="AQ23" s="11" t="e">
        <f>LEFT('REPORTS PER EVALUATOR'!#REF!,1)</f>
        <v>#REF!</v>
      </c>
      <c r="AR23" s="92" t="e">
        <f>(RIGHT('REPORTS PER EVALUATOR'!#REF!,1))*1</f>
        <v>#REF!</v>
      </c>
    </row>
    <row r="24" spans="1:44" x14ac:dyDescent="0.2">
      <c r="B24" s="19" t="str">
        <f t="shared" si="1"/>
        <v>C</v>
      </c>
      <c r="C24" s="18" t="str">
        <f t="shared" si="0"/>
        <v>G</v>
      </c>
      <c r="D24" s="18" t="s">
        <v>31</v>
      </c>
      <c r="E24" s="26" t="str">
        <f>LEFT('REPORTS PER EVALUATOR'!$P$8,1)</f>
        <v>G</v>
      </c>
      <c r="F24" s="73">
        <f>(RIGHT('REPORTS PER EVALUATOR'!$P$8,1))*1</f>
        <v>2</v>
      </c>
      <c r="G24" s="11" t="str">
        <f>LEFT('REPORTS PER EVALUATOR'!$P$20,1)</f>
        <v>G</v>
      </c>
      <c r="H24" s="81">
        <f>(RIGHT('REPORTS PER EVALUATOR'!$P$20,1))*1</f>
        <v>4</v>
      </c>
      <c r="I24" s="11" t="str">
        <f>LEFT('REPORTS PER EVALUATOR'!$P$32,1)</f>
        <v>G</v>
      </c>
      <c r="J24" s="81">
        <f>(RIGHT('REPORTS PER EVALUATOR'!$P$32,1))*1</f>
        <v>2</v>
      </c>
      <c r="K24" s="11" t="str">
        <f>LEFT('REPORTS PER EVALUATOR'!$P$44,1)</f>
        <v>G</v>
      </c>
      <c r="L24" s="81">
        <f>(RIGHT('REPORTS PER EVALUATOR'!$P$44,1))*1</f>
        <v>3</v>
      </c>
      <c r="M24" s="11" t="str">
        <f>LEFT('REPORTS PER EVALUATOR'!$P$56,1)</f>
        <v>G</v>
      </c>
      <c r="N24" s="81">
        <f>(RIGHT('REPORTS PER EVALUATOR'!$P$56,1))*1</f>
        <v>2</v>
      </c>
      <c r="O24" s="11" t="str">
        <f>LEFT('REPORTS PER EVALUATOR'!$P$68,1)</f>
        <v>G</v>
      </c>
      <c r="P24" s="81">
        <f>(RIGHT('REPORTS PER EVALUATOR'!$P$68,1))*1</f>
        <v>2</v>
      </c>
      <c r="Q24" s="11" t="str">
        <f>LEFT('REPORTS PER EVALUATOR'!$P$80,1)</f>
        <v>G</v>
      </c>
      <c r="R24" s="81">
        <f>(RIGHT('REPORTS PER EVALUATOR'!$P$80,1))*1</f>
        <v>2</v>
      </c>
      <c r="S24" s="11" t="str">
        <f>LEFT('REPORTS PER EVALUATOR'!$P$92,1)</f>
        <v>C</v>
      </c>
      <c r="T24" s="81">
        <f>(RIGHT('REPORTS PER EVALUATOR'!$P$92,1))*1</f>
        <v>6</v>
      </c>
      <c r="U24" s="11" t="str">
        <f>LEFT('REPORTS PER EVALUATOR'!$P$104,1)</f>
        <v>C</v>
      </c>
      <c r="V24" s="81">
        <f>(RIGHT('REPORTS PER EVALUATOR'!$P$104,1))*1</f>
        <v>3</v>
      </c>
      <c r="W24" s="11" t="str">
        <f>LEFT('REPORTS PER EVALUATOR'!$P$116,1)</f>
        <v>G</v>
      </c>
      <c r="X24" s="81">
        <f>(RIGHT('REPORTS PER EVALUATOR'!$P$116,1))*1</f>
        <v>2</v>
      </c>
      <c r="Y24" s="11" t="str">
        <f>LEFT('REPORTS PER EVALUATOR'!$P$128,1)</f>
        <v>C</v>
      </c>
      <c r="Z24" s="92">
        <f>(RIGHT('REPORTS PER EVALUATOR'!$P$128,1))*1</f>
        <v>3</v>
      </c>
      <c r="AA24" s="11" t="e">
        <f>LEFT('REPORTS PER EVALUATOR'!#REF!,1)</f>
        <v>#REF!</v>
      </c>
      <c r="AB24" s="92" t="e">
        <f>(RIGHT('REPORTS PER EVALUATOR'!#REF!,1))*1</f>
        <v>#REF!</v>
      </c>
      <c r="AC24" s="11" t="e">
        <f>LEFT('REPORTS PER EVALUATOR'!#REF!,1)</f>
        <v>#REF!</v>
      </c>
      <c r="AD24" s="92" t="e">
        <f>(RIGHT('REPORTS PER EVALUATOR'!#REF!,1))*1</f>
        <v>#REF!</v>
      </c>
      <c r="AE24" s="11" t="e">
        <f>LEFT('REPORTS PER EVALUATOR'!#REF!,1)</f>
        <v>#REF!</v>
      </c>
      <c r="AF24" s="92" t="e">
        <f>(RIGHT('REPORTS PER EVALUATOR'!#REF!,1))*1</f>
        <v>#REF!</v>
      </c>
      <c r="AG24" s="11" t="e">
        <f>LEFT('REPORTS PER EVALUATOR'!#REF!,1)</f>
        <v>#REF!</v>
      </c>
      <c r="AH24" s="92" t="e">
        <f>(RIGHT('REPORTS PER EVALUATOR'!#REF!,1))*1</f>
        <v>#REF!</v>
      </c>
      <c r="AI24" s="11" t="e">
        <f>LEFT('REPORTS PER EVALUATOR'!#REF!,1)</f>
        <v>#REF!</v>
      </c>
      <c r="AJ24" s="92" t="e">
        <f>(RIGHT('REPORTS PER EVALUATOR'!#REF!,1))*1</f>
        <v>#REF!</v>
      </c>
      <c r="AK24" s="11" t="e">
        <f>LEFT('REPORTS PER EVALUATOR'!#REF!,1)</f>
        <v>#REF!</v>
      </c>
      <c r="AL24" s="92" t="e">
        <f>(RIGHT('REPORTS PER EVALUATOR'!#REF!,1))*1</f>
        <v>#REF!</v>
      </c>
      <c r="AM24" s="11" t="e">
        <f>LEFT('REPORTS PER EVALUATOR'!#REF!,1)</f>
        <v>#REF!</v>
      </c>
      <c r="AN24" s="92" t="e">
        <f>(RIGHT('REPORTS PER EVALUATOR'!#REF!,1))*1</f>
        <v>#REF!</v>
      </c>
      <c r="AO24" s="11" t="e">
        <f>LEFT('REPORTS PER EVALUATOR'!#REF!,1)</f>
        <v>#REF!</v>
      </c>
      <c r="AP24" s="92" t="e">
        <f>(RIGHT('REPORTS PER EVALUATOR'!#REF!,1))*1</f>
        <v>#REF!</v>
      </c>
      <c r="AQ24" s="11" t="e">
        <f>LEFT('REPORTS PER EVALUATOR'!#REF!,1)</f>
        <v>#REF!</v>
      </c>
      <c r="AR24" s="92" t="e">
        <f>(RIGHT('REPORTS PER EVALUATOR'!#REF!,1))*1</f>
        <v>#REF!</v>
      </c>
    </row>
    <row r="25" spans="1:44" x14ac:dyDescent="0.2">
      <c r="B25" s="19" t="str">
        <f t="shared" si="1"/>
        <v>C</v>
      </c>
      <c r="C25" s="18" t="str">
        <f t="shared" si="0"/>
        <v>H</v>
      </c>
      <c r="D25" s="18" t="s">
        <v>32</v>
      </c>
      <c r="E25" s="26" t="str">
        <f>LEFT('REPORTS PER EVALUATOR'!$Q$8,1)</f>
        <v>H</v>
      </c>
      <c r="F25" s="73">
        <f>(RIGHT('REPORTS PER EVALUATOR'!$Q$8,1))*1</f>
        <v>4</v>
      </c>
      <c r="G25" s="11" t="str">
        <f>LEFT('REPORTS PER EVALUATOR'!$Q$20,1)</f>
        <v>H</v>
      </c>
      <c r="H25" s="81">
        <f>(RIGHT('REPORTS PER EVALUATOR'!$Q$20,1))*1</f>
        <v>4</v>
      </c>
      <c r="I25" s="11" t="str">
        <f>LEFT('REPORTS PER EVALUATOR'!$Q$32,1)</f>
        <v>H</v>
      </c>
      <c r="J25" s="81">
        <f>(RIGHT('REPORTS PER EVALUATOR'!$Q$32,1))*1</f>
        <v>2</v>
      </c>
      <c r="K25" s="11" t="str">
        <f>LEFT('REPORTS PER EVALUATOR'!$Q$44,1)</f>
        <v>C</v>
      </c>
      <c r="L25" s="81">
        <f>(RIGHT('REPORTS PER EVALUATOR'!$Q$44,1))*1</f>
        <v>2</v>
      </c>
      <c r="M25" s="11" t="str">
        <f>LEFT('REPORTS PER EVALUATOR'!$Q$56,1)</f>
        <v>H</v>
      </c>
      <c r="N25" s="81">
        <f>(RIGHT('REPORTS PER EVALUATOR'!$Q$56,1))*1</f>
        <v>3</v>
      </c>
      <c r="O25" s="11" t="str">
        <f>LEFT('REPORTS PER EVALUATOR'!$Q$68,1)</f>
        <v>H</v>
      </c>
      <c r="P25" s="81">
        <f>(RIGHT('REPORTS PER EVALUATOR'!$Q$68,1))*1</f>
        <v>4</v>
      </c>
      <c r="Q25" s="11" t="str">
        <f>LEFT('REPORTS PER EVALUATOR'!$Q$80,1)</f>
        <v>1</v>
      </c>
      <c r="R25" s="81">
        <f>(RIGHT('REPORTS PER EVALUATOR'!$Q$80,1))*1</f>
        <v>1</v>
      </c>
      <c r="S25" s="11" t="str">
        <f>LEFT('REPORTS PER EVALUATOR'!$Q$92,1)</f>
        <v>1</v>
      </c>
      <c r="T25" s="81">
        <f>(RIGHT('REPORTS PER EVALUATOR'!$Q$92,1))*1</f>
        <v>1</v>
      </c>
      <c r="U25" s="11" t="str">
        <f>LEFT('REPORTS PER EVALUATOR'!$Q$104,1)</f>
        <v>H</v>
      </c>
      <c r="V25" s="81">
        <f>(RIGHT('REPORTS PER EVALUATOR'!$Q$104,1))*1</f>
        <v>2</v>
      </c>
      <c r="W25" s="11" t="str">
        <f>LEFT('REPORTS PER EVALUATOR'!$Q$116,1)</f>
        <v>H</v>
      </c>
      <c r="X25" s="81">
        <f>(RIGHT('REPORTS PER EVALUATOR'!$Q$116,1))*1</f>
        <v>3</v>
      </c>
      <c r="Y25" s="11" t="str">
        <f>LEFT('REPORTS PER EVALUATOR'!$Q$128,1)</f>
        <v>1</v>
      </c>
      <c r="Z25" s="92">
        <f>(RIGHT('REPORTS PER EVALUATOR'!$Q$128,1))*1</f>
        <v>1</v>
      </c>
      <c r="AA25" s="11" t="e">
        <f>LEFT('REPORTS PER EVALUATOR'!#REF!,1)</f>
        <v>#REF!</v>
      </c>
      <c r="AB25" s="92" t="e">
        <f>(RIGHT('REPORTS PER EVALUATOR'!#REF!,1))*1</f>
        <v>#REF!</v>
      </c>
      <c r="AC25" s="11" t="e">
        <f>LEFT('REPORTS PER EVALUATOR'!#REF!,1)</f>
        <v>#REF!</v>
      </c>
      <c r="AD25" s="92" t="e">
        <f>(RIGHT('REPORTS PER EVALUATOR'!#REF!,1))*1</f>
        <v>#REF!</v>
      </c>
      <c r="AE25" s="11" t="e">
        <f>LEFT('REPORTS PER EVALUATOR'!#REF!,1)</f>
        <v>#REF!</v>
      </c>
      <c r="AF25" s="92" t="e">
        <f>(RIGHT('REPORTS PER EVALUATOR'!#REF!,1))*1</f>
        <v>#REF!</v>
      </c>
      <c r="AG25" s="11" t="e">
        <f>LEFT('REPORTS PER EVALUATOR'!#REF!,1)</f>
        <v>#REF!</v>
      </c>
      <c r="AH25" s="92" t="e">
        <f>(RIGHT('REPORTS PER EVALUATOR'!#REF!,1))*1</f>
        <v>#REF!</v>
      </c>
      <c r="AI25" s="11" t="e">
        <f>LEFT('REPORTS PER EVALUATOR'!#REF!,1)</f>
        <v>#REF!</v>
      </c>
      <c r="AJ25" s="92" t="e">
        <f>(RIGHT('REPORTS PER EVALUATOR'!#REF!,1))*1</f>
        <v>#REF!</v>
      </c>
      <c r="AK25" s="11" t="e">
        <f>LEFT('REPORTS PER EVALUATOR'!#REF!,1)</f>
        <v>#REF!</v>
      </c>
      <c r="AL25" s="92" t="e">
        <f>(RIGHT('REPORTS PER EVALUATOR'!#REF!,1))*1</f>
        <v>#REF!</v>
      </c>
      <c r="AM25" s="11" t="e">
        <f>LEFT('REPORTS PER EVALUATOR'!#REF!,1)</f>
        <v>#REF!</v>
      </c>
      <c r="AN25" s="92" t="e">
        <f>(RIGHT('REPORTS PER EVALUATOR'!#REF!,1))*1</f>
        <v>#REF!</v>
      </c>
      <c r="AO25" s="11" t="e">
        <f>LEFT('REPORTS PER EVALUATOR'!#REF!,1)</f>
        <v>#REF!</v>
      </c>
      <c r="AP25" s="92" t="e">
        <f>(RIGHT('REPORTS PER EVALUATOR'!#REF!,1))*1</f>
        <v>#REF!</v>
      </c>
      <c r="AQ25" s="11" t="e">
        <f>LEFT('REPORTS PER EVALUATOR'!#REF!,1)</f>
        <v>#REF!</v>
      </c>
      <c r="AR25" s="92" t="e">
        <f>(RIGHT('REPORTS PER EVALUATOR'!#REF!,1))*1</f>
        <v>#REF!</v>
      </c>
    </row>
    <row r="26" spans="1:44" x14ac:dyDescent="0.2">
      <c r="B26" s="19" t="str">
        <f t="shared" si="1"/>
        <v>C</v>
      </c>
      <c r="C26" s="18" t="str">
        <f t="shared" si="0"/>
        <v>I</v>
      </c>
      <c r="D26" s="18" t="s">
        <v>33</v>
      </c>
      <c r="E26" s="26" t="str">
        <f>LEFT('REPORTS PER EVALUATOR'!$R$8,1)</f>
        <v>I</v>
      </c>
      <c r="F26" s="73">
        <f>(RIGHT('REPORTS PER EVALUATOR'!$R$8,1))*1</f>
        <v>3</v>
      </c>
      <c r="G26" s="11" t="str">
        <f>LEFT('REPORTS PER EVALUATOR'!$R$20,1)</f>
        <v>I</v>
      </c>
      <c r="H26" s="81">
        <f>(RIGHT('REPORTS PER EVALUATOR'!$R$20,1))*1</f>
        <v>5</v>
      </c>
      <c r="I26" s="11" t="str">
        <f>LEFT('REPORTS PER EVALUATOR'!$R$32,1)</f>
        <v>I</v>
      </c>
      <c r="J26" s="81">
        <f>(RIGHT('REPORTS PER EVALUATOR'!$R$32,1))*1</f>
        <v>4</v>
      </c>
      <c r="K26" s="11" t="str">
        <f>LEFT('REPORTS PER EVALUATOR'!$R$44,1)</f>
        <v>1</v>
      </c>
      <c r="L26" s="81">
        <f>(RIGHT('REPORTS PER EVALUATOR'!$R$44,1))*1</f>
        <v>1</v>
      </c>
      <c r="M26" s="11" t="str">
        <f>LEFT('REPORTS PER EVALUATOR'!$R$56,1)</f>
        <v>I</v>
      </c>
      <c r="N26" s="81">
        <f>(RIGHT('REPORTS PER EVALUATOR'!$R$56,1))*1</f>
        <v>3</v>
      </c>
      <c r="O26" s="11" t="str">
        <f>LEFT('REPORTS PER EVALUATOR'!$R$68,1)</f>
        <v>I</v>
      </c>
      <c r="P26" s="81">
        <f>(RIGHT('REPORTS PER EVALUATOR'!$R$68,1))*1</f>
        <v>3</v>
      </c>
      <c r="Q26" s="11" t="str">
        <f>LEFT('REPORTS PER EVALUATOR'!$R$80,1)</f>
        <v>1</v>
      </c>
      <c r="R26" s="81">
        <f>(RIGHT('REPORTS PER EVALUATOR'!$R$80,1))*1</f>
        <v>1</v>
      </c>
      <c r="S26" s="11" t="str">
        <f>LEFT('REPORTS PER EVALUATOR'!$R$92,1)</f>
        <v>C</v>
      </c>
      <c r="T26" s="81">
        <f>(RIGHT('REPORTS PER EVALUATOR'!$R$92,1))*1</f>
        <v>2</v>
      </c>
      <c r="U26" s="11" t="str">
        <f>LEFT('REPORTS PER EVALUATOR'!$R$104,1)</f>
        <v>C</v>
      </c>
      <c r="V26" s="81">
        <f>(RIGHT('REPORTS PER EVALUATOR'!$R$104,1))*1</f>
        <v>4</v>
      </c>
      <c r="W26" s="11" t="str">
        <f>LEFT('REPORTS PER EVALUATOR'!$R$116,1)</f>
        <v>I</v>
      </c>
      <c r="X26" s="81">
        <f>(RIGHT('REPORTS PER EVALUATOR'!$R$116,1))*1</f>
        <v>2</v>
      </c>
      <c r="Y26" s="11" t="str">
        <f>LEFT('REPORTS PER EVALUATOR'!$R$128,1)</f>
        <v>1</v>
      </c>
      <c r="Z26" s="92">
        <f>(RIGHT('REPORTS PER EVALUATOR'!$R$128,1))*1</f>
        <v>1</v>
      </c>
      <c r="AA26" s="11" t="e">
        <f>LEFT('REPORTS PER EVALUATOR'!#REF!,1)</f>
        <v>#REF!</v>
      </c>
      <c r="AB26" s="92" t="e">
        <f>(RIGHT('REPORTS PER EVALUATOR'!#REF!,1))*1</f>
        <v>#REF!</v>
      </c>
      <c r="AC26" s="11" t="e">
        <f>LEFT('REPORTS PER EVALUATOR'!#REF!,1)</f>
        <v>#REF!</v>
      </c>
      <c r="AD26" s="92" t="e">
        <f>(RIGHT('REPORTS PER EVALUATOR'!#REF!,1))*1</f>
        <v>#REF!</v>
      </c>
      <c r="AE26" s="11" t="e">
        <f>LEFT('REPORTS PER EVALUATOR'!#REF!,1)</f>
        <v>#REF!</v>
      </c>
      <c r="AF26" s="92" t="e">
        <f>(RIGHT('REPORTS PER EVALUATOR'!#REF!,1))*1</f>
        <v>#REF!</v>
      </c>
      <c r="AG26" s="11" t="e">
        <f>LEFT('REPORTS PER EVALUATOR'!#REF!,1)</f>
        <v>#REF!</v>
      </c>
      <c r="AH26" s="92" t="e">
        <f>(RIGHT('REPORTS PER EVALUATOR'!#REF!,1))*1</f>
        <v>#REF!</v>
      </c>
      <c r="AI26" s="11" t="e">
        <f>LEFT('REPORTS PER EVALUATOR'!#REF!,1)</f>
        <v>#REF!</v>
      </c>
      <c r="AJ26" s="92" t="e">
        <f>(RIGHT('REPORTS PER EVALUATOR'!#REF!,1))*1</f>
        <v>#REF!</v>
      </c>
      <c r="AK26" s="11" t="e">
        <f>LEFT('REPORTS PER EVALUATOR'!#REF!,1)</f>
        <v>#REF!</v>
      </c>
      <c r="AL26" s="92" t="e">
        <f>(RIGHT('REPORTS PER EVALUATOR'!#REF!,1))*1</f>
        <v>#REF!</v>
      </c>
      <c r="AM26" s="11" t="e">
        <f>LEFT('REPORTS PER EVALUATOR'!#REF!,1)</f>
        <v>#REF!</v>
      </c>
      <c r="AN26" s="92" t="e">
        <f>(RIGHT('REPORTS PER EVALUATOR'!#REF!,1))*1</f>
        <v>#REF!</v>
      </c>
      <c r="AO26" s="11" t="e">
        <f>LEFT('REPORTS PER EVALUATOR'!#REF!,1)</f>
        <v>#REF!</v>
      </c>
      <c r="AP26" s="92" t="e">
        <f>(RIGHT('REPORTS PER EVALUATOR'!#REF!,1))*1</f>
        <v>#REF!</v>
      </c>
      <c r="AQ26" s="11" t="e">
        <f>LEFT('REPORTS PER EVALUATOR'!#REF!,1)</f>
        <v>#REF!</v>
      </c>
      <c r="AR26" s="92" t="e">
        <f>(RIGHT('REPORTS PER EVALUATOR'!#REF!,1))*1</f>
        <v>#REF!</v>
      </c>
    </row>
    <row r="27" spans="1:44" x14ac:dyDescent="0.2">
      <c r="B27" s="19" t="str">
        <f t="shared" si="1"/>
        <v>C</v>
      </c>
      <c r="C27" s="18" t="str">
        <f t="shared" si="0"/>
        <v>L</v>
      </c>
      <c r="D27" s="18" t="s">
        <v>34</v>
      </c>
      <c r="E27" s="26" t="str">
        <f>LEFT('REPORTS PER EVALUATOR'!$S$8,1)</f>
        <v>C</v>
      </c>
      <c r="F27" s="73">
        <f>(RIGHT('REPORTS PER EVALUATOR'!$S$8,1))*1</f>
        <v>2</v>
      </c>
      <c r="G27" s="11" t="str">
        <f>LEFT('REPORTS PER EVALUATOR'!$S$20,1)</f>
        <v>L</v>
      </c>
      <c r="H27" s="81">
        <f>(RIGHT('REPORTS PER EVALUATOR'!$S$20,1))*1</f>
        <v>4</v>
      </c>
      <c r="I27" s="11" t="str">
        <f>LEFT('REPORTS PER EVALUATOR'!$S$32,1)</f>
        <v>1</v>
      </c>
      <c r="J27" s="81">
        <f>(RIGHT('REPORTS PER EVALUATOR'!$S$32,1))*1</f>
        <v>1</v>
      </c>
      <c r="K27" s="11" t="str">
        <f>LEFT('REPORTS PER EVALUATOR'!$S$44,1)</f>
        <v>L</v>
      </c>
      <c r="L27" s="81">
        <f>(RIGHT('REPORTS PER EVALUATOR'!$S$44,1))*1</f>
        <v>2</v>
      </c>
      <c r="M27" s="11" t="str">
        <f>LEFT('REPORTS PER EVALUATOR'!$S$56,1)</f>
        <v>L</v>
      </c>
      <c r="N27" s="81">
        <f>(RIGHT('REPORTS PER EVALUATOR'!$S$56,1))*1</f>
        <v>2</v>
      </c>
      <c r="O27" s="11" t="str">
        <f>LEFT('REPORTS PER EVALUATOR'!$S$68,1)</f>
        <v>L</v>
      </c>
      <c r="P27" s="81">
        <f>(RIGHT('REPORTS PER EVALUATOR'!$S$68,1))*1</f>
        <v>3</v>
      </c>
      <c r="Q27" s="11" t="str">
        <f>LEFT('REPORTS PER EVALUATOR'!$S$80,1)</f>
        <v>1</v>
      </c>
      <c r="R27" s="81">
        <f>(RIGHT('REPORTS PER EVALUATOR'!$S$80,1))*1</f>
        <v>1</v>
      </c>
      <c r="S27" s="11" t="str">
        <f>LEFT('REPORTS PER EVALUATOR'!$S$92,1)</f>
        <v>C</v>
      </c>
      <c r="T27" s="81">
        <f>(RIGHT('REPORTS PER EVALUATOR'!$S$92,1))*1</f>
        <v>2</v>
      </c>
      <c r="U27" s="11" t="str">
        <f>LEFT('REPORTS PER EVALUATOR'!$S$104,1)</f>
        <v>C</v>
      </c>
      <c r="V27" s="81">
        <f>(RIGHT('REPORTS PER EVALUATOR'!$S$104,1))*1</f>
        <v>3</v>
      </c>
      <c r="W27" s="11" t="str">
        <f>LEFT('REPORTS PER EVALUATOR'!$S$116,1)</f>
        <v>C</v>
      </c>
      <c r="X27" s="81">
        <f>(RIGHT('REPORTS PER EVALUATOR'!$S$116,1))*1</f>
        <v>2</v>
      </c>
      <c r="Y27" s="11" t="str">
        <f>LEFT('REPORTS PER EVALUATOR'!$S$128,1)</f>
        <v>C</v>
      </c>
      <c r="Z27" s="92">
        <f>(RIGHT('REPORTS PER EVALUATOR'!$S$128,1))*1</f>
        <v>3</v>
      </c>
      <c r="AA27" s="11" t="e">
        <f>LEFT('REPORTS PER EVALUATOR'!#REF!,1)</f>
        <v>#REF!</v>
      </c>
      <c r="AB27" s="92" t="e">
        <f>(RIGHT('REPORTS PER EVALUATOR'!#REF!,1))*1</f>
        <v>#REF!</v>
      </c>
      <c r="AC27" s="11" t="e">
        <f>LEFT('REPORTS PER EVALUATOR'!#REF!,1)</f>
        <v>#REF!</v>
      </c>
      <c r="AD27" s="92" t="e">
        <f>(RIGHT('REPORTS PER EVALUATOR'!#REF!,1))*1</f>
        <v>#REF!</v>
      </c>
      <c r="AE27" s="11" t="e">
        <f>LEFT('REPORTS PER EVALUATOR'!#REF!,1)</f>
        <v>#REF!</v>
      </c>
      <c r="AF27" s="92" t="e">
        <f>(RIGHT('REPORTS PER EVALUATOR'!#REF!,1))*1</f>
        <v>#REF!</v>
      </c>
      <c r="AG27" s="11" t="e">
        <f>LEFT('REPORTS PER EVALUATOR'!#REF!,1)</f>
        <v>#REF!</v>
      </c>
      <c r="AH27" s="92" t="e">
        <f>(RIGHT('REPORTS PER EVALUATOR'!#REF!,1))*1</f>
        <v>#REF!</v>
      </c>
      <c r="AI27" s="11" t="e">
        <f>LEFT('REPORTS PER EVALUATOR'!#REF!,1)</f>
        <v>#REF!</v>
      </c>
      <c r="AJ27" s="92" t="e">
        <f>(RIGHT('REPORTS PER EVALUATOR'!#REF!,1))*1</f>
        <v>#REF!</v>
      </c>
      <c r="AK27" s="11" t="e">
        <f>LEFT('REPORTS PER EVALUATOR'!#REF!,1)</f>
        <v>#REF!</v>
      </c>
      <c r="AL27" s="92" t="e">
        <f>(RIGHT('REPORTS PER EVALUATOR'!#REF!,1))*1</f>
        <v>#REF!</v>
      </c>
      <c r="AM27" s="11" t="e">
        <f>LEFT('REPORTS PER EVALUATOR'!#REF!,1)</f>
        <v>#REF!</v>
      </c>
      <c r="AN27" s="92" t="e">
        <f>(RIGHT('REPORTS PER EVALUATOR'!#REF!,1))*1</f>
        <v>#REF!</v>
      </c>
      <c r="AO27" s="11" t="e">
        <f>LEFT('REPORTS PER EVALUATOR'!#REF!,1)</f>
        <v>#REF!</v>
      </c>
      <c r="AP27" s="92" t="e">
        <f>(RIGHT('REPORTS PER EVALUATOR'!#REF!,1))*1</f>
        <v>#REF!</v>
      </c>
      <c r="AQ27" s="11" t="e">
        <f>LEFT('REPORTS PER EVALUATOR'!#REF!,1)</f>
        <v>#REF!</v>
      </c>
      <c r="AR27" s="92" t="e">
        <f>(RIGHT('REPORTS PER EVALUATOR'!#REF!,1))*1</f>
        <v>#REF!</v>
      </c>
    </row>
    <row r="28" spans="1:44" x14ac:dyDescent="0.2">
      <c r="B28" s="19" t="str">
        <f t="shared" si="1"/>
        <v>C</v>
      </c>
      <c r="C28" s="18" t="str">
        <f t="shared" si="0"/>
        <v>M</v>
      </c>
      <c r="D28" s="18" t="s">
        <v>159</v>
      </c>
      <c r="E28" s="26" t="str">
        <f>LEFT('REPORTS PER EVALUATOR'!$T$8,1)</f>
        <v/>
      </c>
      <c r="F28" s="73" t="e">
        <f>(RIGHT('REPORTS PER EVALUATOR'!$T$8,1))*1</f>
        <v>#VALUE!</v>
      </c>
      <c r="G28" s="11" t="str">
        <f>LEFT('REPORTS PER EVALUATOR'!$T$20,1)</f>
        <v/>
      </c>
      <c r="H28" s="81" t="e">
        <f>(RIGHT('REPORTS PER EVALUATOR'!$T$20,1))*1</f>
        <v>#VALUE!</v>
      </c>
      <c r="I28" s="11" t="str">
        <f>LEFT('REPORTS PER EVALUATOR'!$T$32,1)</f>
        <v/>
      </c>
      <c r="J28" s="81" t="e">
        <f>(RIGHT('REPORTS PER EVALUATOR'!$T$32,1))*1</f>
        <v>#VALUE!</v>
      </c>
      <c r="K28" s="11" t="str">
        <f>LEFT('REPORTS PER EVALUATOR'!$T$44,1)</f>
        <v/>
      </c>
      <c r="L28" s="81" t="e">
        <f>(RIGHT('REPORTS PER EVALUATOR'!$T$44,1))*1</f>
        <v>#VALUE!</v>
      </c>
      <c r="M28" s="11" t="str">
        <f>LEFT('REPORTS PER EVALUATOR'!$T$56,1)</f>
        <v/>
      </c>
      <c r="N28" s="81" t="e">
        <f>(RIGHT('REPORTS PER EVALUATOR'!$T$56,1))*1</f>
        <v>#VALUE!</v>
      </c>
      <c r="O28" s="11" t="str">
        <f>LEFT('REPORTS PER EVALUATOR'!$T$68,1)</f>
        <v/>
      </c>
      <c r="P28" s="81" t="e">
        <f>(RIGHT('REPORTS PER EVALUATOR'!$T$68,1))*1</f>
        <v>#VALUE!</v>
      </c>
      <c r="Q28" s="11" t="str">
        <f>LEFT('REPORTS PER EVALUATOR'!$T$80,1)</f>
        <v/>
      </c>
      <c r="R28" s="81" t="e">
        <f>(RIGHT('REPORTS PER EVALUATOR'!$T$80,1))*1</f>
        <v>#VALUE!</v>
      </c>
      <c r="S28" s="11" t="str">
        <f>LEFT('REPORTS PER EVALUATOR'!$T$92,1)</f>
        <v/>
      </c>
      <c r="T28" s="81" t="e">
        <f>(RIGHT('REPORTS PER EVALUATOR'!$T$92,1))*1</f>
        <v>#VALUE!</v>
      </c>
      <c r="U28" s="11" t="str">
        <f>LEFT('REPORTS PER EVALUATOR'!$T$104,1)</f>
        <v/>
      </c>
      <c r="V28" s="81" t="e">
        <f>(RIGHT('REPORTS PER EVALUATOR'!$T$104,1))*1</f>
        <v>#VALUE!</v>
      </c>
      <c r="W28" s="11" t="str">
        <f>LEFT('REPORTS PER EVALUATOR'!$T$116,1)</f>
        <v/>
      </c>
      <c r="X28" s="81" t="e">
        <f>(RIGHT('REPORTS PER EVALUATOR'!$T$116,1))*1</f>
        <v>#VALUE!</v>
      </c>
      <c r="Y28" s="11" t="str">
        <f>LEFT('REPORTS PER EVALUATOR'!$T$128,1)</f>
        <v/>
      </c>
      <c r="Z28" s="92" t="e">
        <f>(RIGHT('REPORTS PER EVALUATOR'!$T$128,1))*1</f>
        <v>#VALUE!</v>
      </c>
      <c r="AA28" s="11" t="e">
        <f>LEFT('REPORTS PER EVALUATOR'!#REF!,1)</f>
        <v>#REF!</v>
      </c>
      <c r="AB28" s="92" t="e">
        <f>(RIGHT('REPORTS PER EVALUATOR'!#REF!,1))*1</f>
        <v>#REF!</v>
      </c>
      <c r="AC28" s="11" t="e">
        <f>LEFT('REPORTS PER EVALUATOR'!#REF!,1)</f>
        <v>#REF!</v>
      </c>
      <c r="AD28" s="92" t="e">
        <f>(RIGHT('REPORTS PER EVALUATOR'!#REF!,1))*1</f>
        <v>#REF!</v>
      </c>
      <c r="AE28" s="11" t="e">
        <f>LEFT('REPORTS PER EVALUATOR'!#REF!,1)</f>
        <v>#REF!</v>
      </c>
      <c r="AF28" s="92" t="e">
        <f>(RIGHT('REPORTS PER EVALUATOR'!#REF!,1))*1</f>
        <v>#REF!</v>
      </c>
      <c r="AG28" s="11" t="e">
        <f>LEFT('REPORTS PER EVALUATOR'!#REF!,1)</f>
        <v>#REF!</v>
      </c>
      <c r="AH28" s="92" t="e">
        <f>(RIGHT('REPORTS PER EVALUATOR'!#REF!,1))*1</f>
        <v>#REF!</v>
      </c>
      <c r="AI28" s="11" t="e">
        <f>LEFT('REPORTS PER EVALUATOR'!#REF!,1)</f>
        <v>#REF!</v>
      </c>
      <c r="AJ28" s="92" t="e">
        <f>(RIGHT('REPORTS PER EVALUATOR'!#REF!,1))*1</f>
        <v>#REF!</v>
      </c>
      <c r="AK28" s="11" t="e">
        <f>LEFT('REPORTS PER EVALUATOR'!#REF!,1)</f>
        <v>#REF!</v>
      </c>
      <c r="AL28" s="92" t="e">
        <f>(RIGHT('REPORTS PER EVALUATOR'!#REF!,1))*1</f>
        <v>#REF!</v>
      </c>
      <c r="AM28" s="11" t="e">
        <f>LEFT('REPORTS PER EVALUATOR'!#REF!,1)</f>
        <v>#REF!</v>
      </c>
      <c r="AN28" s="92" t="e">
        <f>(RIGHT('REPORTS PER EVALUATOR'!#REF!,1))*1</f>
        <v>#REF!</v>
      </c>
      <c r="AO28" s="11" t="e">
        <f>LEFT('REPORTS PER EVALUATOR'!#REF!,1)</f>
        <v>#REF!</v>
      </c>
      <c r="AP28" s="92" t="e">
        <f>(RIGHT('REPORTS PER EVALUATOR'!#REF!,1))*1</f>
        <v>#REF!</v>
      </c>
      <c r="AQ28" s="11" t="e">
        <f>LEFT('REPORTS PER EVALUATOR'!#REF!,1)</f>
        <v>#REF!</v>
      </c>
      <c r="AR28" s="92" t="e">
        <f>(RIGHT('REPORTS PER EVALUATOR'!#REF!,1))*1</f>
        <v>#REF!</v>
      </c>
    </row>
    <row r="29" spans="1:44" x14ac:dyDescent="0.2">
      <c r="B29" s="19" t="str">
        <f t="shared" si="1"/>
        <v>D</v>
      </c>
      <c r="C29" s="18" t="str">
        <f t="shared" si="0"/>
        <v>E</v>
      </c>
      <c r="D29" s="18" t="s">
        <v>35</v>
      </c>
      <c r="E29" s="56" t="str">
        <f>LEFT('REPORTS PER EVALUATOR'!$N$9,1)</f>
        <v>D</v>
      </c>
      <c r="F29" s="72">
        <f>(RIGHT('REPORTS PER EVALUATOR'!$N$9,1))*1</f>
        <v>2</v>
      </c>
      <c r="G29" s="57" t="str">
        <f>LEFT('REPORTS PER EVALUATOR'!$N$21,1)</f>
        <v>1</v>
      </c>
      <c r="H29" s="80">
        <f>(RIGHT('REPORTS PER EVALUATOR'!$N$21,1))*1</f>
        <v>1</v>
      </c>
      <c r="I29" s="57" t="str">
        <f>LEFT('REPORTS PER EVALUATOR'!$N$33,1)</f>
        <v>D</v>
      </c>
      <c r="J29" s="80">
        <f>(RIGHT('REPORTS PER EVALUATOR'!$N$33,1))*1</f>
        <v>3</v>
      </c>
      <c r="K29" s="57" t="str">
        <f>LEFT('REPORTS PER EVALUATOR'!$N$45,1)</f>
        <v>1</v>
      </c>
      <c r="L29" s="80">
        <f>(RIGHT('REPORTS PER EVALUATOR'!$N$45,1))*1</f>
        <v>1</v>
      </c>
      <c r="M29" s="57" t="str">
        <f>LEFT('REPORTS PER EVALUATOR'!$N$57,1)</f>
        <v>D</v>
      </c>
      <c r="N29" s="80">
        <f>(RIGHT('REPORTS PER EVALUATOR'!$N$57,1))*1</f>
        <v>2</v>
      </c>
      <c r="O29" s="57" t="str">
        <f>LEFT('REPORTS PER EVALUATOR'!$N$69,1)</f>
        <v>D</v>
      </c>
      <c r="P29" s="80">
        <f>(RIGHT('REPORTS PER EVALUATOR'!$N$69,1))*1</f>
        <v>2</v>
      </c>
      <c r="Q29" s="57" t="str">
        <f>LEFT('REPORTS PER EVALUATOR'!$N$81,1)</f>
        <v>E</v>
      </c>
      <c r="R29" s="80">
        <f>(RIGHT('REPORTS PER EVALUATOR'!$N$81,1))*1</f>
        <v>2</v>
      </c>
      <c r="S29" s="57" t="str">
        <f>LEFT('REPORTS PER EVALUATOR'!$N$93,1)</f>
        <v>D</v>
      </c>
      <c r="T29" s="80">
        <f>(RIGHT('REPORTS PER EVALUATOR'!$N$93,1))*1</f>
        <v>3</v>
      </c>
      <c r="U29" s="57" t="str">
        <f>LEFT('REPORTS PER EVALUATOR'!$N$105,1)</f>
        <v>D</v>
      </c>
      <c r="V29" s="80">
        <f>(RIGHT('REPORTS PER EVALUATOR'!$N$105,1))*1</f>
        <v>2</v>
      </c>
      <c r="W29" s="57" t="str">
        <f>LEFT('REPORTS PER EVALUATOR'!$N$117,1)</f>
        <v>1</v>
      </c>
      <c r="X29" s="80">
        <f>(RIGHT('REPORTS PER EVALUATOR'!$N$117,1))*1</f>
        <v>1</v>
      </c>
      <c r="Y29" s="57" t="str">
        <f>LEFT('REPORTS PER EVALUATOR'!$N$129,1)</f>
        <v>E</v>
      </c>
      <c r="Z29" s="93">
        <f>(RIGHT('REPORTS PER EVALUATOR'!$N$129,1))*1</f>
        <v>2</v>
      </c>
      <c r="AA29" s="57" t="e">
        <f>LEFT('REPORTS PER EVALUATOR'!#REF!,1)</f>
        <v>#REF!</v>
      </c>
      <c r="AB29" s="93" t="e">
        <f>(RIGHT('REPORTS PER EVALUATOR'!#REF!,1))*1</f>
        <v>#REF!</v>
      </c>
      <c r="AC29" s="57" t="e">
        <f>LEFT('REPORTS PER EVALUATOR'!#REF!,1)</f>
        <v>#REF!</v>
      </c>
      <c r="AD29" s="93" t="e">
        <f>(RIGHT('REPORTS PER EVALUATOR'!#REF!,1))*1</f>
        <v>#REF!</v>
      </c>
      <c r="AE29" s="57" t="e">
        <f>LEFT('REPORTS PER EVALUATOR'!#REF!,1)</f>
        <v>#REF!</v>
      </c>
      <c r="AF29" s="93" t="e">
        <f>(RIGHT('REPORTS PER EVALUATOR'!#REF!,1))*1</f>
        <v>#REF!</v>
      </c>
      <c r="AG29" s="57" t="e">
        <f>LEFT('REPORTS PER EVALUATOR'!#REF!,1)</f>
        <v>#REF!</v>
      </c>
      <c r="AH29" s="93" t="e">
        <f>(RIGHT('REPORTS PER EVALUATOR'!#REF!,1))*1</f>
        <v>#REF!</v>
      </c>
      <c r="AI29" s="57" t="e">
        <f>LEFT('REPORTS PER EVALUATOR'!#REF!,1)</f>
        <v>#REF!</v>
      </c>
      <c r="AJ29" s="93" t="e">
        <f>(RIGHT('REPORTS PER EVALUATOR'!#REF!,1))*1</f>
        <v>#REF!</v>
      </c>
      <c r="AK29" s="57" t="e">
        <f>LEFT('REPORTS PER EVALUATOR'!#REF!,1)</f>
        <v>#REF!</v>
      </c>
      <c r="AL29" s="93" t="e">
        <f>(RIGHT('REPORTS PER EVALUATOR'!#REF!,1))*1</f>
        <v>#REF!</v>
      </c>
      <c r="AM29" s="57" t="e">
        <f>LEFT('REPORTS PER EVALUATOR'!#REF!,1)</f>
        <v>#REF!</v>
      </c>
      <c r="AN29" s="93" t="e">
        <f>(RIGHT('REPORTS PER EVALUATOR'!#REF!,1))*1</f>
        <v>#REF!</v>
      </c>
      <c r="AO29" s="57" t="e">
        <f>LEFT('REPORTS PER EVALUATOR'!#REF!,1)</f>
        <v>#REF!</v>
      </c>
      <c r="AP29" s="93" t="e">
        <f>(RIGHT('REPORTS PER EVALUATOR'!#REF!,1))*1</f>
        <v>#REF!</v>
      </c>
      <c r="AQ29" s="57" t="e">
        <f>LEFT('REPORTS PER EVALUATOR'!#REF!,1)</f>
        <v>#REF!</v>
      </c>
      <c r="AR29" s="93" t="e">
        <f>(RIGHT('REPORTS PER EVALUATOR'!#REF!,1))*1</f>
        <v>#REF!</v>
      </c>
    </row>
    <row r="30" spans="1:44" x14ac:dyDescent="0.2">
      <c r="B30" s="19" t="str">
        <f t="shared" si="1"/>
        <v>D</v>
      </c>
      <c r="C30" s="18" t="str">
        <f t="shared" si="0"/>
        <v>F</v>
      </c>
      <c r="D30" s="18" t="s">
        <v>36</v>
      </c>
      <c r="E30" s="26" t="str">
        <f>LEFT('REPORTS PER EVALUATOR'!$O$9,1)</f>
        <v>D</v>
      </c>
      <c r="F30" s="73">
        <f>(RIGHT('REPORTS PER EVALUATOR'!$O$9,1))*1</f>
        <v>3</v>
      </c>
      <c r="G30" s="11" t="str">
        <f>LEFT('REPORTS PER EVALUATOR'!$O$21,1)</f>
        <v>1</v>
      </c>
      <c r="H30" s="81">
        <f>(RIGHT('REPORTS PER EVALUATOR'!$O$21,1))*1</f>
        <v>1</v>
      </c>
      <c r="I30" s="11" t="str">
        <f>LEFT('REPORTS PER EVALUATOR'!$O$33,1)</f>
        <v>D</v>
      </c>
      <c r="J30" s="81">
        <f>(RIGHT('REPORTS PER EVALUATOR'!$O$33,1))*1</f>
        <v>3</v>
      </c>
      <c r="K30" s="11" t="str">
        <f>LEFT('REPORTS PER EVALUATOR'!$O$45,1)</f>
        <v>F</v>
      </c>
      <c r="L30" s="81">
        <f>(RIGHT('REPORTS PER EVALUATOR'!$O$45,1))*1</f>
        <v>2</v>
      </c>
      <c r="M30" s="11" t="str">
        <f>LEFT('REPORTS PER EVALUATOR'!$O$57,1)</f>
        <v>D</v>
      </c>
      <c r="N30" s="81">
        <f>(RIGHT('REPORTS PER EVALUATOR'!$O$57,1))*1</f>
        <v>2</v>
      </c>
      <c r="O30" s="11" t="str">
        <f>LEFT('REPORTS PER EVALUATOR'!$O$69,1)</f>
        <v>D</v>
      </c>
      <c r="P30" s="81">
        <f>(RIGHT('REPORTS PER EVALUATOR'!$O$69,1))*1</f>
        <v>2</v>
      </c>
      <c r="Q30" s="11" t="str">
        <f>LEFT('REPORTS PER EVALUATOR'!$O$81,1)</f>
        <v>D</v>
      </c>
      <c r="R30" s="81">
        <f>(RIGHT('REPORTS PER EVALUATOR'!$O$81,1))*1</f>
        <v>2</v>
      </c>
      <c r="S30" s="11" t="str">
        <f>LEFT('REPORTS PER EVALUATOR'!$O$93,1)</f>
        <v>D</v>
      </c>
      <c r="T30" s="81">
        <f>(RIGHT('REPORTS PER EVALUATOR'!$O$93,1))*1</f>
        <v>3</v>
      </c>
      <c r="U30" s="11" t="str">
        <f>LEFT('REPORTS PER EVALUATOR'!$O$105,1)</f>
        <v>1</v>
      </c>
      <c r="V30" s="81">
        <f>(RIGHT('REPORTS PER EVALUATOR'!$O$105,1))*1</f>
        <v>1</v>
      </c>
      <c r="W30" s="11" t="str">
        <f>LEFT('REPORTS PER EVALUATOR'!$O$117,1)</f>
        <v>D</v>
      </c>
      <c r="X30" s="81">
        <f>(RIGHT('REPORTS PER EVALUATOR'!$O$117,1))*1</f>
        <v>2</v>
      </c>
      <c r="Y30" s="11" t="str">
        <f>LEFT('REPORTS PER EVALUATOR'!$O$129,1)</f>
        <v>F</v>
      </c>
      <c r="Z30" s="92">
        <f>(RIGHT('REPORTS PER EVALUATOR'!$O$129,1))*1</f>
        <v>2</v>
      </c>
      <c r="AA30" s="11" t="e">
        <f>LEFT('REPORTS PER EVALUATOR'!#REF!,1)</f>
        <v>#REF!</v>
      </c>
      <c r="AB30" s="92" t="e">
        <f>(RIGHT('REPORTS PER EVALUATOR'!#REF!,1))*1</f>
        <v>#REF!</v>
      </c>
      <c r="AC30" s="11" t="e">
        <f>LEFT('REPORTS PER EVALUATOR'!#REF!,1)</f>
        <v>#REF!</v>
      </c>
      <c r="AD30" s="92" t="e">
        <f>(RIGHT('REPORTS PER EVALUATOR'!#REF!,1))*1</f>
        <v>#REF!</v>
      </c>
      <c r="AE30" s="11" t="e">
        <f>LEFT('REPORTS PER EVALUATOR'!#REF!,1)</f>
        <v>#REF!</v>
      </c>
      <c r="AF30" s="92" t="e">
        <f>(RIGHT('REPORTS PER EVALUATOR'!#REF!,1))*1</f>
        <v>#REF!</v>
      </c>
      <c r="AG30" s="11" t="e">
        <f>LEFT('REPORTS PER EVALUATOR'!#REF!,1)</f>
        <v>#REF!</v>
      </c>
      <c r="AH30" s="92" t="e">
        <f>(RIGHT('REPORTS PER EVALUATOR'!#REF!,1))*1</f>
        <v>#REF!</v>
      </c>
      <c r="AI30" s="11" t="e">
        <f>LEFT('REPORTS PER EVALUATOR'!#REF!,1)</f>
        <v>#REF!</v>
      </c>
      <c r="AJ30" s="92" t="e">
        <f>(RIGHT('REPORTS PER EVALUATOR'!#REF!,1))*1</f>
        <v>#REF!</v>
      </c>
      <c r="AK30" s="11" t="e">
        <f>LEFT('REPORTS PER EVALUATOR'!#REF!,1)</f>
        <v>#REF!</v>
      </c>
      <c r="AL30" s="92" t="e">
        <f>(RIGHT('REPORTS PER EVALUATOR'!#REF!,1))*1</f>
        <v>#REF!</v>
      </c>
      <c r="AM30" s="11" t="e">
        <f>LEFT('REPORTS PER EVALUATOR'!#REF!,1)</f>
        <v>#REF!</v>
      </c>
      <c r="AN30" s="92" t="e">
        <f>(RIGHT('REPORTS PER EVALUATOR'!#REF!,1))*1</f>
        <v>#REF!</v>
      </c>
      <c r="AO30" s="11" t="e">
        <f>LEFT('REPORTS PER EVALUATOR'!#REF!,1)</f>
        <v>#REF!</v>
      </c>
      <c r="AP30" s="92" t="e">
        <f>(RIGHT('REPORTS PER EVALUATOR'!#REF!,1))*1</f>
        <v>#REF!</v>
      </c>
      <c r="AQ30" s="11" t="e">
        <f>LEFT('REPORTS PER EVALUATOR'!#REF!,1)</f>
        <v>#REF!</v>
      </c>
      <c r="AR30" s="92" t="e">
        <f>(RIGHT('REPORTS PER EVALUATOR'!#REF!,1))*1</f>
        <v>#REF!</v>
      </c>
    </row>
    <row r="31" spans="1:44" x14ac:dyDescent="0.2">
      <c r="B31" s="19" t="str">
        <f t="shared" si="1"/>
        <v>D</v>
      </c>
      <c r="C31" s="18" t="str">
        <f t="shared" si="0"/>
        <v>G</v>
      </c>
      <c r="D31" s="18" t="s">
        <v>37</v>
      </c>
      <c r="E31" s="26" t="str">
        <f>LEFT('REPORTS PER EVALUATOR'!$P$9,1)</f>
        <v>D</v>
      </c>
      <c r="F31" s="73">
        <f>(RIGHT('REPORTS PER EVALUATOR'!$P$9,1))*1</f>
        <v>4</v>
      </c>
      <c r="G31" s="11" t="str">
        <f>LEFT('REPORTS PER EVALUATOR'!$P$21,1)</f>
        <v>D</v>
      </c>
      <c r="H31" s="81">
        <f>(RIGHT('REPORTS PER EVALUATOR'!$P$21,1))*1</f>
        <v>2</v>
      </c>
      <c r="I31" s="11" t="str">
        <f>LEFT('REPORTS PER EVALUATOR'!$P$33,1)</f>
        <v>D</v>
      </c>
      <c r="J31" s="81">
        <f>(RIGHT('REPORTS PER EVALUATOR'!$P$33,1))*1</f>
        <v>4</v>
      </c>
      <c r="K31" s="11" t="str">
        <f>LEFT('REPORTS PER EVALUATOR'!$P$45,1)</f>
        <v>D</v>
      </c>
      <c r="L31" s="81">
        <f>(RIGHT('REPORTS PER EVALUATOR'!$P$45,1))*1</f>
        <v>2</v>
      </c>
      <c r="M31" s="11" t="str">
        <f>LEFT('REPORTS PER EVALUATOR'!$P$57,1)</f>
        <v>D</v>
      </c>
      <c r="N31" s="81">
        <f>(RIGHT('REPORTS PER EVALUATOR'!$P$57,1))*1</f>
        <v>3</v>
      </c>
      <c r="O31" s="11" t="str">
        <f>LEFT('REPORTS PER EVALUATOR'!$P$69,1)</f>
        <v>D</v>
      </c>
      <c r="P31" s="81">
        <f>(RIGHT('REPORTS PER EVALUATOR'!$P$69,1))*1</f>
        <v>3</v>
      </c>
      <c r="Q31" s="11" t="str">
        <f>LEFT('REPORTS PER EVALUATOR'!$P$81,1)</f>
        <v>D</v>
      </c>
      <c r="R31" s="81">
        <f>(RIGHT('REPORTS PER EVALUATOR'!$P$81,1))*1</f>
        <v>3</v>
      </c>
      <c r="S31" s="11" t="str">
        <f>LEFT('REPORTS PER EVALUATOR'!$P$93,1)</f>
        <v>D</v>
      </c>
      <c r="T31" s="81">
        <f>(RIGHT('REPORTS PER EVALUATOR'!$P$93,1))*1</f>
        <v>6</v>
      </c>
      <c r="U31" s="11" t="str">
        <f>LEFT('REPORTS PER EVALUATOR'!$P$105,1)</f>
        <v>D</v>
      </c>
      <c r="V31" s="81">
        <f>(RIGHT('REPORTS PER EVALUATOR'!$P$105,1))*1</f>
        <v>3</v>
      </c>
      <c r="W31" s="11" t="str">
        <f>LEFT('REPORTS PER EVALUATOR'!$P$117,1)</f>
        <v>D</v>
      </c>
      <c r="X31" s="81">
        <f>(RIGHT('REPORTS PER EVALUATOR'!$P$117,1))*1</f>
        <v>2</v>
      </c>
      <c r="Y31" s="11" t="str">
        <f>LEFT('REPORTS PER EVALUATOR'!$P$129,1)</f>
        <v>D</v>
      </c>
      <c r="Z31" s="92">
        <f>(RIGHT('REPORTS PER EVALUATOR'!$P$129,1))*1</f>
        <v>4</v>
      </c>
      <c r="AA31" s="11" t="e">
        <f>LEFT('REPORTS PER EVALUATOR'!#REF!,1)</f>
        <v>#REF!</v>
      </c>
      <c r="AB31" s="92" t="e">
        <f>(RIGHT('REPORTS PER EVALUATOR'!#REF!,1))*1</f>
        <v>#REF!</v>
      </c>
      <c r="AC31" s="11" t="e">
        <f>LEFT('REPORTS PER EVALUATOR'!#REF!,1)</f>
        <v>#REF!</v>
      </c>
      <c r="AD31" s="92" t="e">
        <f>(RIGHT('REPORTS PER EVALUATOR'!#REF!,1))*1</f>
        <v>#REF!</v>
      </c>
      <c r="AE31" s="11" t="e">
        <f>LEFT('REPORTS PER EVALUATOR'!#REF!,1)</f>
        <v>#REF!</v>
      </c>
      <c r="AF31" s="92" t="e">
        <f>(RIGHT('REPORTS PER EVALUATOR'!#REF!,1))*1</f>
        <v>#REF!</v>
      </c>
      <c r="AG31" s="11" t="e">
        <f>LEFT('REPORTS PER EVALUATOR'!#REF!,1)</f>
        <v>#REF!</v>
      </c>
      <c r="AH31" s="92" t="e">
        <f>(RIGHT('REPORTS PER EVALUATOR'!#REF!,1))*1</f>
        <v>#REF!</v>
      </c>
      <c r="AI31" s="11" t="e">
        <f>LEFT('REPORTS PER EVALUATOR'!#REF!,1)</f>
        <v>#REF!</v>
      </c>
      <c r="AJ31" s="92" t="e">
        <f>(RIGHT('REPORTS PER EVALUATOR'!#REF!,1))*1</f>
        <v>#REF!</v>
      </c>
      <c r="AK31" s="11" t="e">
        <f>LEFT('REPORTS PER EVALUATOR'!#REF!,1)</f>
        <v>#REF!</v>
      </c>
      <c r="AL31" s="92" t="e">
        <f>(RIGHT('REPORTS PER EVALUATOR'!#REF!,1))*1</f>
        <v>#REF!</v>
      </c>
      <c r="AM31" s="11" t="e">
        <f>LEFT('REPORTS PER EVALUATOR'!#REF!,1)</f>
        <v>#REF!</v>
      </c>
      <c r="AN31" s="92" t="e">
        <f>(RIGHT('REPORTS PER EVALUATOR'!#REF!,1))*1</f>
        <v>#REF!</v>
      </c>
      <c r="AO31" s="11" t="e">
        <f>LEFT('REPORTS PER EVALUATOR'!#REF!,1)</f>
        <v>#REF!</v>
      </c>
      <c r="AP31" s="92" t="e">
        <f>(RIGHT('REPORTS PER EVALUATOR'!#REF!,1))*1</f>
        <v>#REF!</v>
      </c>
      <c r="AQ31" s="11" t="e">
        <f>LEFT('REPORTS PER EVALUATOR'!#REF!,1)</f>
        <v>#REF!</v>
      </c>
      <c r="AR31" s="92" t="e">
        <f>(RIGHT('REPORTS PER EVALUATOR'!#REF!,1))*1</f>
        <v>#REF!</v>
      </c>
    </row>
    <row r="32" spans="1:44" x14ac:dyDescent="0.2">
      <c r="B32" s="19" t="str">
        <f t="shared" si="1"/>
        <v>D</v>
      </c>
      <c r="C32" s="18" t="str">
        <f t="shared" si="0"/>
        <v>H</v>
      </c>
      <c r="D32" s="18" t="s">
        <v>38</v>
      </c>
      <c r="E32" s="26" t="str">
        <f>LEFT('REPORTS PER EVALUATOR'!$Q$9,1)</f>
        <v>D</v>
      </c>
      <c r="F32" s="73">
        <f>(RIGHT('REPORTS PER EVALUATOR'!$Q$9,1))*1</f>
        <v>2</v>
      </c>
      <c r="G32" s="11" t="str">
        <f>LEFT('REPORTS PER EVALUATOR'!$Q$21,1)</f>
        <v>D</v>
      </c>
      <c r="H32" s="81">
        <f>(RIGHT('REPORTS PER EVALUATOR'!$Q$21,1))*1</f>
        <v>3</v>
      </c>
      <c r="I32" s="11" t="str">
        <f>LEFT('REPORTS PER EVALUATOR'!$Q$33,1)</f>
        <v>D</v>
      </c>
      <c r="J32" s="81">
        <f>(RIGHT('REPORTS PER EVALUATOR'!$Q$33,1))*1</f>
        <v>4</v>
      </c>
      <c r="K32" s="11" t="str">
        <f>LEFT('REPORTS PER EVALUATOR'!$Q$45,1)</f>
        <v>D</v>
      </c>
      <c r="L32" s="81">
        <f>(RIGHT('REPORTS PER EVALUATOR'!$Q$45,1))*1</f>
        <v>4</v>
      </c>
      <c r="M32" s="11" t="str">
        <f>LEFT('REPORTS PER EVALUATOR'!$Q$57,1)</f>
        <v>D</v>
      </c>
      <c r="N32" s="81">
        <f>(RIGHT('REPORTS PER EVALUATOR'!$Q$57,1))*1</f>
        <v>2</v>
      </c>
      <c r="O32" s="11" t="str">
        <f>LEFT('REPORTS PER EVALUATOR'!$Q$69,1)</f>
        <v>H</v>
      </c>
      <c r="P32" s="81">
        <f>(RIGHT('REPORTS PER EVALUATOR'!$Q$69,1))*1</f>
        <v>2</v>
      </c>
      <c r="Q32" s="11" t="str">
        <f>LEFT('REPORTS PER EVALUATOR'!$Q$81,1)</f>
        <v>D</v>
      </c>
      <c r="R32" s="81">
        <f>(RIGHT('REPORTS PER EVALUATOR'!$Q$81,1))*1</f>
        <v>3</v>
      </c>
      <c r="S32" s="11" t="str">
        <f>LEFT('REPORTS PER EVALUATOR'!$Q$93,1)</f>
        <v>D</v>
      </c>
      <c r="T32" s="81">
        <f>(RIGHT('REPORTS PER EVALUATOR'!$Q$93,1))*1</f>
        <v>3</v>
      </c>
      <c r="U32" s="11" t="str">
        <f>LEFT('REPORTS PER EVALUATOR'!$Q$105,1)</f>
        <v>H</v>
      </c>
      <c r="V32" s="81">
        <f>(RIGHT('REPORTS PER EVALUATOR'!$Q$105,1))*1</f>
        <v>2</v>
      </c>
      <c r="W32" s="11" t="str">
        <f>LEFT('REPORTS PER EVALUATOR'!$Q$117,1)</f>
        <v>H</v>
      </c>
      <c r="X32" s="81">
        <f>(RIGHT('REPORTS PER EVALUATOR'!$Q$117,1))*1</f>
        <v>2</v>
      </c>
      <c r="Y32" s="11" t="str">
        <f>LEFT('REPORTS PER EVALUATOR'!$Q$129,1)</f>
        <v>D</v>
      </c>
      <c r="Z32" s="92">
        <f>(RIGHT('REPORTS PER EVALUATOR'!$Q$129,1))*1</f>
        <v>2</v>
      </c>
      <c r="AA32" s="11" t="e">
        <f>LEFT('REPORTS PER EVALUATOR'!#REF!,1)</f>
        <v>#REF!</v>
      </c>
      <c r="AB32" s="92" t="e">
        <f>(RIGHT('REPORTS PER EVALUATOR'!#REF!,1))*1</f>
        <v>#REF!</v>
      </c>
      <c r="AC32" s="11" t="e">
        <f>LEFT('REPORTS PER EVALUATOR'!#REF!,1)</f>
        <v>#REF!</v>
      </c>
      <c r="AD32" s="92" t="e">
        <f>(RIGHT('REPORTS PER EVALUATOR'!#REF!,1))*1</f>
        <v>#REF!</v>
      </c>
      <c r="AE32" s="11" t="e">
        <f>LEFT('REPORTS PER EVALUATOR'!#REF!,1)</f>
        <v>#REF!</v>
      </c>
      <c r="AF32" s="92" t="e">
        <f>(RIGHT('REPORTS PER EVALUATOR'!#REF!,1))*1</f>
        <v>#REF!</v>
      </c>
      <c r="AG32" s="11" t="e">
        <f>LEFT('REPORTS PER EVALUATOR'!#REF!,1)</f>
        <v>#REF!</v>
      </c>
      <c r="AH32" s="92" t="e">
        <f>(RIGHT('REPORTS PER EVALUATOR'!#REF!,1))*1</f>
        <v>#REF!</v>
      </c>
      <c r="AI32" s="11" t="e">
        <f>LEFT('REPORTS PER EVALUATOR'!#REF!,1)</f>
        <v>#REF!</v>
      </c>
      <c r="AJ32" s="92" t="e">
        <f>(RIGHT('REPORTS PER EVALUATOR'!#REF!,1))*1</f>
        <v>#REF!</v>
      </c>
      <c r="AK32" s="11" t="e">
        <f>LEFT('REPORTS PER EVALUATOR'!#REF!,1)</f>
        <v>#REF!</v>
      </c>
      <c r="AL32" s="92" t="e">
        <f>(RIGHT('REPORTS PER EVALUATOR'!#REF!,1))*1</f>
        <v>#REF!</v>
      </c>
      <c r="AM32" s="11" t="e">
        <f>LEFT('REPORTS PER EVALUATOR'!#REF!,1)</f>
        <v>#REF!</v>
      </c>
      <c r="AN32" s="92" t="e">
        <f>(RIGHT('REPORTS PER EVALUATOR'!#REF!,1))*1</f>
        <v>#REF!</v>
      </c>
      <c r="AO32" s="11" t="e">
        <f>LEFT('REPORTS PER EVALUATOR'!#REF!,1)</f>
        <v>#REF!</v>
      </c>
      <c r="AP32" s="92" t="e">
        <f>(RIGHT('REPORTS PER EVALUATOR'!#REF!,1))*1</f>
        <v>#REF!</v>
      </c>
      <c r="AQ32" s="11" t="e">
        <f>LEFT('REPORTS PER EVALUATOR'!#REF!,1)</f>
        <v>#REF!</v>
      </c>
      <c r="AR32" s="92" t="e">
        <f>(RIGHT('REPORTS PER EVALUATOR'!#REF!,1))*1</f>
        <v>#REF!</v>
      </c>
    </row>
    <row r="33" spans="2:44" x14ac:dyDescent="0.2">
      <c r="B33" s="19" t="str">
        <f t="shared" si="1"/>
        <v>D</v>
      </c>
      <c r="C33" s="18" t="str">
        <f t="shared" si="0"/>
        <v>I</v>
      </c>
      <c r="D33" s="18" t="s">
        <v>39</v>
      </c>
      <c r="E33" s="26" t="str">
        <f>LEFT('REPORTS PER EVALUATOR'!$R$9,1)</f>
        <v>D</v>
      </c>
      <c r="F33" s="73">
        <f>(RIGHT('REPORTS PER EVALUATOR'!$R$9,1))*1</f>
        <v>2</v>
      </c>
      <c r="G33" s="11" t="str">
        <f>LEFT('REPORTS PER EVALUATOR'!$R$21,1)</f>
        <v>D</v>
      </c>
      <c r="H33" s="81">
        <f>(RIGHT('REPORTS PER EVALUATOR'!$R$21,1))*1</f>
        <v>4</v>
      </c>
      <c r="I33" s="11" t="str">
        <f>LEFT('REPORTS PER EVALUATOR'!$R$33,1)</f>
        <v>1</v>
      </c>
      <c r="J33" s="81">
        <f>(RIGHT('REPORTS PER EVALUATOR'!$R$33,1))*1</f>
        <v>1</v>
      </c>
      <c r="K33" s="11" t="str">
        <f>LEFT('REPORTS PER EVALUATOR'!$R$45,1)</f>
        <v>D</v>
      </c>
      <c r="L33" s="81">
        <f>(RIGHT('REPORTS PER EVALUATOR'!$R$45,1))*1</f>
        <v>3</v>
      </c>
      <c r="M33" s="11" t="str">
        <f>LEFT('REPORTS PER EVALUATOR'!$R$57,1)</f>
        <v>D</v>
      </c>
      <c r="N33" s="81">
        <f>(RIGHT('REPORTS PER EVALUATOR'!$R$57,1))*1</f>
        <v>4</v>
      </c>
      <c r="O33" s="11" t="str">
        <f>LEFT('REPORTS PER EVALUATOR'!$R$69,1)</f>
        <v>D</v>
      </c>
      <c r="P33" s="81">
        <f>(RIGHT('REPORTS PER EVALUATOR'!$R$69,1))*1</f>
        <v>2</v>
      </c>
      <c r="Q33" s="11" t="str">
        <f>LEFT('REPORTS PER EVALUATOR'!$R$81,1)</f>
        <v>D</v>
      </c>
      <c r="R33" s="81">
        <f>(RIGHT('REPORTS PER EVALUATOR'!$R$81,1))*1</f>
        <v>3</v>
      </c>
      <c r="S33" s="11" t="str">
        <f>LEFT('REPORTS PER EVALUATOR'!$R$93,1)</f>
        <v>D</v>
      </c>
      <c r="T33" s="81">
        <f>(RIGHT('REPORTS PER EVALUATOR'!$R$93,1))*1</f>
        <v>4</v>
      </c>
      <c r="U33" s="11" t="str">
        <f>LEFT('REPORTS PER EVALUATOR'!$R$105,1)</f>
        <v>D</v>
      </c>
      <c r="V33" s="81">
        <f>(RIGHT('REPORTS PER EVALUATOR'!$R$105,1))*1</f>
        <v>4</v>
      </c>
      <c r="W33" s="11" t="str">
        <f>LEFT('REPORTS PER EVALUATOR'!$R$117,1)</f>
        <v>1</v>
      </c>
      <c r="X33" s="81">
        <f>(RIGHT('REPORTS PER EVALUATOR'!$R$117,1))*1</f>
        <v>1</v>
      </c>
      <c r="Y33" s="11" t="str">
        <f>LEFT('REPORTS PER EVALUATOR'!$R$129,1)</f>
        <v>D</v>
      </c>
      <c r="Z33" s="92">
        <f>(RIGHT('REPORTS PER EVALUATOR'!$R$129,1))*1</f>
        <v>2</v>
      </c>
      <c r="AA33" s="11" t="e">
        <f>LEFT('REPORTS PER EVALUATOR'!#REF!,1)</f>
        <v>#REF!</v>
      </c>
      <c r="AB33" s="92" t="e">
        <f>(RIGHT('REPORTS PER EVALUATOR'!#REF!,1))*1</f>
        <v>#REF!</v>
      </c>
      <c r="AC33" s="11" t="e">
        <f>LEFT('REPORTS PER EVALUATOR'!#REF!,1)</f>
        <v>#REF!</v>
      </c>
      <c r="AD33" s="92" t="e">
        <f>(RIGHT('REPORTS PER EVALUATOR'!#REF!,1))*1</f>
        <v>#REF!</v>
      </c>
      <c r="AE33" s="11" t="e">
        <f>LEFT('REPORTS PER EVALUATOR'!#REF!,1)</f>
        <v>#REF!</v>
      </c>
      <c r="AF33" s="92" t="e">
        <f>(RIGHT('REPORTS PER EVALUATOR'!#REF!,1))*1</f>
        <v>#REF!</v>
      </c>
      <c r="AG33" s="11" t="e">
        <f>LEFT('REPORTS PER EVALUATOR'!#REF!,1)</f>
        <v>#REF!</v>
      </c>
      <c r="AH33" s="92" t="e">
        <f>(RIGHT('REPORTS PER EVALUATOR'!#REF!,1))*1</f>
        <v>#REF!</v>
      </c>
      <c r="AI33" s="11" t="e">
        <f>LEFT('REPORTS PER EVALUATOR'!#REF!,1)</f>
        <v>#REF!</v>
      </c>
      <c r="AJ33" s="92" t="e">
        <f>(RIGHT('REPORTS PER EVALUATOR'!#REF!,1))*1</f>
        <v>#REF!</v>
      </c>
      <c r="AK33" s="11" t="e">
        <f>LEFT('REPORTS PER EVALUATOR'!#REF!,1)</f>
        <v>#REF!</v>
      </c>
      <c r="AL33" s="92" t="e">
        <f>(RIGHT('REPORTS PER EVALUATOR'!#REF!,1))*1</f>
        <v>#REF!</v>
      </c>
      <c r="AM33" s="11" t="e">
        <f>LEFT('REPORTS PER EVALUATOR'!#REF!,1)</f>
        <v>#REF!</v>
      </c>
      <c r="AN33" s="92" t="e">
        <f>(RIGHT('REPORTS PER EVALUATOR'!#REF!,1))*1</f>
        <v>#REF!</v>
      </c>
      <c r="AO33" s="11" t="e">
        <f>LEFT('REPORTS PER EVALUATOR'!#REF!,1)</f>
        <v>#REF!</v>
      </c>
      <c r="AP33" s="92" t="e">
        <f>(RIGHT('REPORTS PER EVALUATOR'!#REF!,1))*1</f>
        <v>#REF!</v>
      </c>
      <c r="AQ33" s="11" t="e">
        <f>LEFT('REPORTS PER EVALUATOR'!#REF!,1)</f>
        <v>#REF!</v>
      </c>
      <c r="AR33" s="92" t="e">
        <f>(RIGHT('REPORTS PER EVALUATOR'!#REF!,1))*1</f>
        <v>#REF!</v>
      </c>
    </row>
    <row r="34" spans="2:44" x14ac:dyDescent="0.2">
      <c r="B34" s="19" t="str">
        <f t="shared" si="1"/>
        <v>D</v>
      </c>
      <c r="C34" s="18" t="str">
        <f t="shared" si="0"/>
        <v>L</v>
      </c>
      <c r="D34" s="18" t="s">
        <v>40</v>
      </c>
      <c r="E34" s="26" t="str">
        <f>LEFT('REPORTS PER EVALUATOR'!$S$9,1)</f>
        <v>D</v>
      </c>
      <c r="F34" s="73">
        <f>(RIGHT('REPORTS PER EVALUATOR'!$S$9,1))*1</f>
        <v>5</v>
      </c>
      <c r="G34" s="11" t="str">
        <f>LEFT('REPORTS PER EVALUATOR'!$S$21,1)</f>
        <v>D</v>
      </c>
      <c r="H34" s="81">
        <f>(RIGHT('REPORTS PER EVALUATOR'!$S$21,1))*1</f>
        <v>4</v>
      </c>
      <c r="I34" s="11" t="str">
        <f>LEFT('REPORTS PER EVALUATOR'!$S$33,1)</f>
        <v>D</v>
      </c>
      <c r="J34" s="81">
        <f>(RIGHT('REPORTS PER EVALUATOR'!$S$33,1))*1</f>
        <v>5</v>
      </c>
      <c r="K34" s="11" t="str">
        <f>LEFT('REPORTS PER EVALUATOR'!$S$45,1)</f>
        <v>D</v>
      </c>
      <c r="L34" s="81">
        <f>(RIGHT('REPORTS PER EVALUATOR'!$S$45,1))*1</f>
        <v>4</v>
      </c>
      <c r="M34" s="11" t="str">
        <f>LEFT('REPORTS PER EVALUATOR'!$S$57,1)</f>
        <v>D</v>
      </c>
      <c r="N34" s="81">
        <f>(RIGHT('REPORTS PER EVALUATOR'!$S$57,1))*1</f>
        <v>3</v>
      </c>
      <c r="O34" s="11" t="str">
        <f>LEFT('REPORTS PER EVALUATOR'!$S$69,1)</f>
        <v>1</v>
      </c>
      <c r="P34" s="81">
        <f>(RIGHT('REPORTS PER EVALUATOR'!$S$69,1))*1</f>
        <v>1</v>
      </c>
      <c r="Q34" s="11" t="str">
        <f>LEFT('REPORTS PER EVALUATOR'!$S$81,1)</f>
        <v>D</v>
      </c>
      <c r="R34" s="81">
        <f>(RIGHT('REPORTS PER EVALUATOR'!$S$81,1))*1</f>
        <v>3</v>
      </c>
      <c r="S34" s="11" t="str">
        <f>LEFT('REPORTS PER EVALUATOR'!$S$93,1)</f>
        <v>D</v>
      </c>
      <c r="T34" s="81">
        <f>(RIGHT('REPORTS PER EVALUATOR'!$S$93,1))*1</f>
        <v>4</v>
      </c>
      <c r="U34" s="11" t="str">
        <f>LEFT('REPORTS PER EVALUATOR'!$S$105,1)</f>
        <v>D</v>
      </c>
      <c r="V34" s="81">
        <f>(RIGHT('REPORTS PER EVALUATOR'!$S$105,1))*1</f>
        <v>3</v>
      </c>
      <c r="W34" s="11" t="str">
        <f>LEFT('REPORTS PER EVALUATOR'!$S$117,1)</f>
        <v>D</v>
      </c>
      <c r="X34" s="81">
        <f>(RIGHT('REPORTS PER EVALUATOR'!$S$117,1))*1</f>
        <v>3</v>
      </c>
      <c r="Y34" s="11" t="str">
        <f>LEFT('REPORTS PER EVALUATOR'!$S$129,1)</f>
        <v>D</v>
      </c>
      <c r="Z34" s="92">
        <f>(RIGHT('REPORTS PER EVALUATOR'!$S$129,1))*1</f>
        <v>3</v>
      </c>
      <c r="AA34" s="11" t="e">
        <f>LEFT('REPORTS PER EVALUATOR'!#REF!,1)</f>
        <v>#REF!</v>
      </c>
      <c r="AB34" s="92" t="e">
        <f>(RIGHT('REPORTS PER EVALUATOR'!#REF!,1))*1</f>
        <v>#REF!</v>
      </c>
      <c r="AC34" s="11" t="e">
        <f>LEFT('REPORTS PER EVALUATOR'!#REF!,1)</f>
        <v>#REF!</v>
      </c>
      <c r="AD34" s="92" t="e">
        <f>(RIGHT('REPORTS PER EVALUATOR'!#REF!,1))*1</f>
        <v>#REF!</v>
      </c>
      <c r="AE34" s="11" t="e">
        <f>LEFT('REPORTS PER EVALUATOR'!#REF!,1)</f>
        <v>#REF!</v>
      </c>
      <c r="AF34" s="92" t="e">
        <f>(RIGHT('REPORTS PER EVALUATOR'!#REF!,1))*1</f>
        <v>#REF!</v>
      </c>
      <c r="AG34" s="11" t="e">
        <f>LEFT('REPORTS PER EVALUATOR'!#REF!,1)</f>
        <v>#REF!</v>
      </c>
      <c r="AH34" s="92" t="e">
        <f>(RIGHT('REPORTS PER EVALUATOR'!#REF!,1))*1</f>
        <v>#REF!</v>
      </c>
      <c r="AI34" s="11" t="e">
        <f>LEFT('REPORTS PER EVALUATOR'!#REF!,1)</f>
        <v>#REF!</v>
      </c>
      <c r="AJ34" s="92" t="e">
        <f>(RIGHT('REPORTS PER EVALUATOR'!#REF!,1))*1</f>
        <v>#REF!</v>
      </c>
      <c r="AK34" s="11" t="e">
        <f>LEFT('REPORTS PER EVALUATOR'!#REF!,1)</f>
        <v>#REF!</v>
      </c>
      <c r="AL34" s="92" t="e">
        <f>(RIGHT('REPORTS PER EVALUATOR'!#REF!,1))*1</f>
        <v>#REF!</v>
      </c>
      <c r="AM34" s="11" t="e">
        <f>LEFT('REPORTS PER EVALUATOR'!#REF!,1)</f>
        <v>#REF!</v>
      </c>
      <c r="AN34" s="92" t="e">
        <f>(RIGHT('REPORTS PER EVALUATOR'!#REF!,1))*1</f>
        <v>#REF!</v>
      </c>
      <c r="AO34" s="11" t="e">
        <f>LEFT('REPORTS PER EVALUATOR'!#REF!,1)</f>
        <v>#REF!</v>
      </c>
      <c r="AP34" s="92" t="e">
        <f>(RIGHT('REPORTS PER EVALUATOR'!#REF!,1))*1</f>
        <v>#REF!</v>
      </c>
      <c r="AQ34" s="11" t="e">
        <f>LEFT('REPORTS PER EVALUATOR'!#REF!,1)</f>
        <v>#REF!</v>
      </c>
      <c r="AR34" s="92" t="e">
        <f>(RIGHT('REPORTS PER EVALUATOR'!#REF!,1))*1</f>
        <v>#REF!</v>
      </c>
    </row>
    <row r="35" spans="2:44" x14ac:dyDescent="0.2">
      <c r="B35" s="19" t="str">
        <f t="shared" si="1"/>
        <v>D</v>
      </c>
      <c r="C35" s="18" t="str">
        <f t="shared" si="0"/>
        <v>M</v>
      </c>
      <c r="D35" s="18" t="s">
        <v>160</v>
      </c>
      <c r="E35" s="26" t="str">
        <f>LEFT('REPORTS PER EVALUATOR'!$T$9,1)</f>
        <v/>
      </c>
      <c r="F35" s="73" t="e">
        <f>(RIGHT('REPORTS PER EVALUATOR'!$T$9,1))*1</f>
        <v>#VALUE!</v>
      </c>
      <c r="G35" s="11" t="str">
        <f>LEFT('REPORTS PER EVALUATOR'!$T$21,1)</f>
        <v/>
      </c>
      <c r="H35" s="81" t="e">
        <f>(RIGHT('REPORTS PER EVALUATOR'!$T$21,1))*1</f>
        <v>#VALUE!</v>
      </c>
      <c r="I35" s="11" t="str">
        <f>LEFT('REPORTS PER EVALUATOR'!$T$33,1)</f>
        <v/>
      </c>
      <c r="J35" s="81" t="e">
        <f>(RIGHT('REPORTS PER EVALUATOR'!$T$33,1))*1</f>
        <v>#VALUE!</v>
      </c>
      <c r="K35" s="11" t="str">
        <f>LEFT('REPORTS PER EVALUATOR'!$T$45,1)</f>
        <v/>
      </c>
      <c r="L35" s="81" t="e">
        <f>(RIGHT('REPORTS PER EVALUATOR'!$T$45,1))*1</f>
        <v>#VALUE!</v>
      </c>
      <c r="M35" s="11" t="str">
        <f>LEFT('REPORTS PER EVALUATOR'!$T$57,1)</f>
        <v/>
      </c>
      <c r="N35" s="81" t="e">
        <f>(RIGHT('REPORTS PER EVALUATOR'!$T$57,1))*1</f>
        <v>#VALUE!</v>
      </c>
      <c r="O35" s="11" t="str">
        <f>LEFT('REPORTS PER EVALUATOR'!$T$69,1)</f>
        <v/>
      </c>
      <c r="P35" s="81" t="e">
        <f>(RIGHT('REPORTS PER EVALUATOR'!$T$69,1))*1</f>
        <v>#VALUE!</v>
      </c>
      <c r="Q35" s="11" t="str">
        <f>LEFT('REPORTS PER EVALUATOR'!$T$81,1)</f>
        <v/>
      </c>
      <c r="R35" s="81" t="e">
        <f>(RIGHT('REPORTS PER EVALUATOR'!$T$81,1))*1</f>
        <v>#VALUE!</v>
      </c>
      <c r="S35" s="11" t="str">
        <f>LEFT('REPORTS PER EVALUATOR'!$T$93,1)</f>
        <v/>
      </c>
      <c r="T35" s="81" t="e">
        <f>(RIGHT('REPORTS PER EVALUATOR'!$T$93,1))*1</f>
        <v>#VALUE!</v>
      </c>
      <c r="U35" s="11" t="str">
        <f>LEFT('REPORTS PER EVALUATOR'!$T$105,1)</f>
        <v/>
      </c>
      <c r="V35" s="81" t="e">
        <f>(RIGHT('REPORTS PER EVALUATOR'!$T$105,1))*1</f>
        <v>#VALUE!</v>
      </c>
      <c r="W35" s="11" t="str">
        <f>LEFT('REPORTS PER EVALUATOR'!$T$117,1)</f>
        <v/>
      </c>
      <c r="X35" s="81" t="e">
        <f>(RIGHT('REPORTS PER EVALUATOR'!$T$117,1))*1</f>
        <v>#VALUE!</v>
      </c>
      <c r="Y35" s="11" t="str">
        <f>LEFT('REPORTS PER EVALUATOR'!$T$129,1)</f>
        <v/>
      </c>
      <c r="Z35" s="92" t="e">
        <f>(RIGHT('REPORTS PER EVALUATOR'!$T$129,1))*1</f>
        <v>#VALUE!</v>
      </c>
      <c r="AA35" s="11" t="e">
        <f>LEFT('REPORTS PER EVALUATOR'!#REF!,1)</f>
        <v>#REF!</v>
      </c>
      <c r="AB35" s="92" t="e">
        <f>(RIGHT('REPORTS PER EVALUATOR'!#REF!,1))*1</f>
        <v>#REF!</v>
      </c>
      <c r="AC35" s="11" t="e">
        <f>LEFT('REPORTS PER EVALUATOR'!#REF!,1)</f>
        <v>#REF!</v>
      </c>
      <c r="AD35" s="92" t="e">
        <f>(RIGHT('REPORTS PER EVALUATOR'!#REF!,1))*1</f>
        <v>#REF!</v>
      </c>
      <c r="AE35" s="11" t="e">
        <f>LEFT('REPORTS PER EVALUATOR'!#REF!,1)</f>
        <v>#REF!</v>
      </c>
      <c r="AF35" s="92" t="e">
        <f>(RIGHT('REPORTS PER EVALUATOR'!#REF!,1))*1</f>
        <v>#REF!</v>
      </c>
      <c r="AG35" s="11" t="e">
        <f>LEFT('REPORTS PER EVALUATOR'!#REF!,1)</f>
        <v>#REF!</v>
      </c>
      <c r="AH35" s="92" t="e">
        <f>(RIGHT('REPORTS PER EVALUATOR'!#REF!,1))*1</f>
        <v>#REF!</v>
      </c>
      <c r="AI35" s="11" t="e">
        <f>LEFT('REPORTS PER EVALUATOR'!#REF!,1)</f>
        <v>#REF!</v>
      </c>
      <c r="AJ35" s="92" t="e">
        <f>(RIGHT('REPORTS PER EVALUATOR'!#REF!,1))*1</f>
        <v>#REF!</v>
      </c>
      <c r="AK35" s="11" t="e">
        <f>LEFT('REPORTS PER EVALUATOR'!#REF!,1)</f>
        <v>#REF!</v>
      </c>
      <c r="AL35" s="92" t="e">
        <f>(RIGHT('REPORTS PER EVALUATOR'!#REF!,1))*1</f>
        <v>#REF!</v>
      </c>
      <c r="AM35" s="11" t="e">
        <f>LEFT('REPORTS PER EVALUATOR'!#REF!,1)</f>
        <v>#REF!</v>
      </c>
      <c r="AN35" s="92" t="e">
        <f>(RIGHT('REPORTS PER EVALUATOR'!#REF!,1))*1</f>
        <v>#REF!</v>
      </c>
      <c r="AO35" s="11" t="e">
        <f>LEFT('REPORTS PER EVALUATOR'!#REF!,1)</f>
        <v>#REF!</v>
      </c>
      <c r="AP35" s="92" t="e">
        <f>(RIGHT('REPORTS PER EVALUATOR'!#REF!,1))*1</f>
        <v>#REF!</v>
      </c>
      <c r="AQ35" s="11" t="e">
        <f>LEFT('REPORTS PER EVALUATOR'!#REF!,1)</f>
        <v>#REF!</v>
      </c>
      <c r="AR35" s="92" t="e">
        <f>(RIGHT('REPORTS PER EVALUATOR'!#REF!,1))*1</f>
        <v>#REF!</v>
      </c>
    </row>
    <row r="36" spans="2:44" x14ac:dyDescent="0.2">
      <c r="B36" s="19" t="str">
        <f t="shared" si="1"/>
        <v>E</v>
      </c>
      <c r="C36" s="18" t="str">
        <f t="shared" si="0"/>
        <v>F</v>
      </c>
      <c r="D36" s="18" t="s">
        <v>41</v>
      </c>
      <c r="E36" s="56" t="str">
        <f>LEFT('REPORTS PER EVALUATOR'!$O$10,1)</f>
        <v>E</v>
      </c>
      <c r="F36" s="72">
        <f>(RIGHT('REPORTS PER EVALUATOR'!$O$10,1))*1</f>
        <v>2</v>
      </c>
      <c r="G36" s="57" t="str">
        <f>LEFT('REPORTS PER EVALUATOR'!$O$22,1)</f>
        <v>E</v>
      </c>
      <c r="H36" s="80">
        <f>(RIGHT('REPORTS PER EVALUATOR'!$O$22,1))*1</f>
        <v>3</v>
      </c>
      <c r="I36" s="57" t="str">
        <f>LEFT('REPORTS PER EVALUATOR'!$O$34,1)</f>
        <v>E</v>
      </c>
      <c r="J36" s="80">
        <f>(RIGHT('REPORTS PER EVALUATOR'!$O$34,1))*1</f>
        <v>2</v>
      </c>
      <c r="K36" s="57" t="str">
        <f>LEFT('REPORTS PER EVALUATOR'!$O$46,1)</f>
        <v>1</v>
      </c>
      <c r="L36" s="80">
        <f>(RIGHT('REPORTS PER EVALUATOR'!$O$46,1))*1</f>
        <v>1</v>
      </c>
      <c r="M36" s="57" t="str">
        <f>LEFT('REPORTS PER EVALUATOR'!$O$58,1)</f>
        <v>E</v>
      </c>
      <c r="N36" s="80">
        <f>(RIGHT('REPORTS PER EVALUATOR'!$O$58,1))*1</f>
        <v>2</v>
      </c>
      <c r="O36" s="57" t="str">
        <f>LEFT('REPORTS PER EVALUATOR'!$O$70,1)</f>
        <v>1</v>
      </c>
      <c r="P36" s="80">
        <f>(RIGHT('REPORTS PER EVALUATOR'!$O$70,1))*1</f>
        <v>1</v>
      </c>
      <c r="Q36" s="57" t="str">
        <f>LEFT('REPORTS PER EVALUATOR'!$O$82,1)</f>
        <v>E</v>
      </c>
      <c r="R36" s="80">
        <f>(RIGHT('REPORTS PER EVALUATOR'!$O$82,1))*1</f>
        <v>3</v>
      </c>
      <c r="S36" s="57" t="str">
        <f>LEFT('REPORTS PER EVALUATOR'!$O$94,1)</f>
        <v>E</v>
      </c>
      <c r="T36" s="80">
        <f>(RIGHT('REPORTS PER EVALUATOR'!$O$94,1))*1</f>
        <v>2</v>
      </c>
      <c r="U36" s="57" t="str">
        <f>LEFT('REPORTS PER EVALUATOR'!$O$106,1)</f>
        <v>F</v>
      </c>
      <c r="V36" s="80">
        <f>(RIGHT('REPORTS PER EVALUATOR'!$O$106,1))*1</f>
        <v>2</v>
      </c>
      <c r="W36" s="57" t="str">
        <f>LEFT('REPORTS PER EVALUATOR'!$O$118,1)</f>
        <v>E</v>
      </c>
      <c r="X36" s="80">
        <f>(RIGHT('REPORTS PER EVALUATOR'!$O$118,1))*1</f>
        <v>2</v>
      </c>
      <c r="Y36" s="57" t="str">
        <f>LEFT('REPORTS PER EVALUATOR'!$O$130,1)</f>
        <v>F</v>
      </c>
      <c r="Z36" s="93">
        <f>(RIGHT('REPORTS PER EVALUATOR'!$O$130,1))*1</f>
        <v>2</v>
      </c>
      <c r="AA36" s="57" t="e">
        <f>LEFT('REPORTS PER EVALUATOR'!#REF!,1)</f>
        <v>#REF!</v>
      </c>
      <c r="AB36" s="93" t="e">
        <f>(RIGHT('REPORTS PER EVALUATOR'!#REF!,1))*1</f>
        <v>#REF!</v>
      </c>
      <c r="AC36" s="57" t="e">
        <f>LEFT('REPORTS PER EVALUATOR'!#REF!,1)</f>
        <v>#REF!</v>
      </c>
      <c r="AD36" s="93" t="e">
        <f>(RIGHT('REPORTS PER EVALUATOR'!#REF!,1))*1</f>
        <v>#REF!</v>
      </c>
      <c r="AE36" s="57" t="e">
        <f>LEFT('REPORTS PER EVALUATOR'!#REF!,1)</f>
        <v>#REF!</v>
      </c>
      <c r="AF36" s="93" t="e">
        <f>(RIGHT('REPORTS PER EVALUATOR'!#REF!,1))*1</f>
        <v>#REF!</v>
      </c>
      <c r="AG36" s="57" t="e">
        <f>LEFT('REPORTS PER EVALUATOR'!#REF!,1)</f>
        <v>#REF!</v>
      </c>
      <c r="AH36" s="93" t="e">
        <f>(RIGHT('REPORTS PER EVALUATOR'!#REF!,1))*1</f>
        <v>#REF!</v>
      </c>
      <c r="AI36" s="57" t="e">
        <f>LEFT('REPORTS PER EVALUATOR'!#REF!,1)</f>
        <v>#REF!</v>
      </c>
      <c r="AJ36" s="93" t="e">
        <f>(RIGHT('REPORTS PER EVALUATOR'!#REF!,1))*1</f>
        <v>#REF!</v>
      </c>
      <c r="AK36" s="57" t="e">
        <f>LEFT('REPORTS PER EVALUATOR'!#REF!,1)</f>
        <v>#REF!</v>
      </c>
      <c r="AL36" s="93" t="e">
        <f>(RIGHT('REPORTS PER EVALUATOR'!#REF!,1))*1</f>
        <v>#REF!</v>
      </c>
      <c r="AM36" s="57" t="e">
        <f>LEFT('REPORTS PER EVALUATOR'!#REF!,1)</f>
        <v>#REF!</v>
      </c>
      <c r="AN36" s="93" t="e">
        <f>(RIGHT('REPORTS PER EVALUATOR'!#REF!,1))*1</f>
        <v>#REF!</v>
      </c>
      <c r="AO36" s="57" t="e">
        <f>LEFT('REPORTS PER EVALUATOR'!#REF!,1)</f>
        <v>#REF!</v>
      </c>
      <c r="AP36" s="93" t="e">
        <f>(RIGHT('REPORTS PER EVALUATOR'!#REF!,1))*1</f>
        <v>#REF!</v>
      </c>
      <c r="AQ36" s="57" t="e">
        <f>LEFT('REPORTS PER EVALUATOR'!#REF!,1)</f>
        <v>#REF!</v>
      </c>
      <c r="AR36" s="93" t="e">
        <f>(RIGHT('REPORTS PER EVALUATOR'!#REF!,1))*1</f>
        <v>#REF!</v>
      </c>
    </row>
    <row r="37" spans="2:44" x14ac:dyDescent="0.2">
      <c r="B37" s="19" t="str">
        <f t="shared" si="1"/>
        <v>E</v>
      </c>
      <c r="C37" s="18" t="str">
        <f t="shared" si="0"/>
        <v>G</v>
      </c>
      <c r="D37" s="18" t="s">
        <v>42</v>
      </c>
      <c r="E37" s="26" t="str">
        <f>LEFT('REPORTS PER EVALUATOR'!$P$10,1)</f>
        <v>E</v>
      </c>
      <c r="F37" s="73">
        <f>(RIGHT('REPORTS PER EVALUATOR'!$P$10,1))*1</f>
        <v>3</v>
      </c>
      <c r="G37" s="11" t="str">
        <f>LEFT('REPORTS PER EVALUATOR'!$P$22,1)</f>
        <v>E</v>
      </c>
      <c r="H37" s="81">
        <f>(RIGHT('REPORTS PER EVALUATOR'!$P$22,1))*1</f>
        <v>3</v>
      </c>
      <c r="I37" s="11" t="str">
        <f>LEFT('REPORTS PER EVALUATOR'!$P$34,1)</f>
        <v>E</v>
      </c>
      <c r="J37" s="81">
        <f>(RIGHT('REPORTS PER EVALUATOR'!$P$34,1))*1</f>
        <v>2</v>
      </c>
      <c r="K37" s="11" t="str">
        <f>LEFT('REPORTS PER EVALUATOR'!$P$46,1)</f>
        <v>E</v>
      </c>
      <c r="L37" s="81">
        <f>(RIGHT('REPORTS PER EVALUATOR'!$P$46,1))*1</f>
        <v>2</v>
      </c>
      <c r="M37" s="11" t="str">
        <f>LEFT('REPORTS PER EVALUATOR'!$P$58,1)</f>
        <v>E</v>
      </c>
      <c r="N37" s="81">
        <f>(RIGHT('REPORTS PER EVALUATOR'!$P$58,1))*1</f>
        <v>3</v>
      </c>
      <c r="O37" s="11" t="str">
        <f>LEFT('REPORTS PER EVALUATOR'!$P$70,1)</f>
        <v>E</v>
      </c>
      <c r="P37" s="81">
        <f>(RIGHT('REPORTS PER EVALUATOR'!$P$70,1))*1</f>
        <v>2</v>
      </c>
      <c r="Q37" s="11" t="str">
        <f>LEFT('REPORTS PER EVALUATOR'!$P$82,1)</f>
        <v>E</v>
      </c>
      <c r="R37" s="81">
        <f>(RIGHT('REPORTS PER EVALUATOR'!$P$82,1))*1</f>
        <v>4</v>
      </c>
      <c r="S37" s="11" t="str">
        <f>LEFT('REPORTS PER EVALUATOR'!$P$94,1)</f>
        <v>E</v>
      </c>
      <c r="T37" s="81">
        <f>(RIGHT('REPORTS PER EVALUATOR'!$P$94,1))*1</f>
        <v>6</v>
      </c>
      <c r="U37" s="11" t="str">
        <f>LEFT('REPORTS PER EVALUATOR'!$P$106,1)</f>
        <v>E</v>
      </c>
      <c r="V37" s="81">
        <f>(RIGHT('REPORTS PER EVALUATOR'!$P$106,1))*1</f>
        <v>3</v>
      </c>
      <c r="W37" s="11" t="str">
        <f>LEFT('REPORTS PER EVALUATOR'!$P$118,1)</f>
        <v>E</v>
      </c>
      <c r="X37" s="81">
        <f>(RIGHT('REPORTS PER EVALUATOR'!$P$118,1))*1</f>
        <v>2</v>
      </c>
      <c r="Y37" s="11" t="str">
        <f>LEFT('REPORTS PER EVALUATOR'!$P$130,1)</f>
        <v>E</v>
      </c>
      <c r="Z37" s="92">
        <f>(RIGHT('REPORTS PER EVALUATOR'!$P$130,1))*1</f>
        <v>5</v>
      </c>
      <c r="AA37" s="11" t="e">
        <f>LEFT('REPORTS PER EVALUATOR'!#REF!,1)</f>
        <v>#REF!</v>
      </c>
      <c r="AB37" s="92" t="e">
        <f>(RIGHT('REPORTS PER EVALUATOR'!#REF!,1))*1</f>
        <v>#REF!</v>
      </c>
      <c r="AC37" s="11" t="e">
        <f>LEFT('REPORTS PER EVALUATOR'!#REF!,1)</f>
        <v>#REF!</v>
      </c>
      <c r="AD37" s="92" t="e">
        <f>(RIGHT('REPORTS PER EVALUATOR'!#REF!,1))*1</f>
        <v>#REF!</v>
      </c>
      <c r="AE37" s="11" t="e">
        <f>LEFT('REPORTS PER EVALUATOR'!#REF!,1)</f>
        <v>#REF!</v>
      </c>
      <c r="AF37" s="92" t="e">
        <f>(RIGHT('REPORTS PER EVALUATOR'!#REF!,1))*1</f>
        <v>#REF!</v>
      </c>
      <c r="AG37" s="11" t="e">
        <f>LEFT('REPORTS PER EVALUATOR'!#REF!,1)</f>
        <v>#REF!</v>
      </c>
      <c r="AH37" s="92" t="e">
        <f>(RIGHT('REPORTS PER EVALUATOR'!#REF!,1))*1</f>
        <v>#REF!</v>
      </c>
      <c r="AI37" s="11" t="e">
        <f>LEFT('REPORTS PER EVALUATOR'!#REF!,1)</f>
        <v>#REF!</v>
      </c>
      <c r="AJ37" s="92" t="e">
        <f>(RIGHT('REPORTS PER EVALUATOR'!#REF!,1))*1</f>
        <v>#REF!</v>
      </c>
      <c r="AK37" s="11" t="e">
        <f>LEFT('REPORTS PER EVALUATOR'!#REF!,1)</f>
        <v>#REF!</v>
      </c>
      <c r="AL37" s="92" t="e">
        <f>(RIGHT('REPORTS PER EVALUATOR'!#REF!,1))*1</f>
        <v>#REF!</v>
      </c>
      <c r="AM37" s="11" t="e">
        <f>LEFT('REPORTS PER EVALUATOR'!#REF!,1)</f>
        <v>#REF!</v>
      </c>
      <c r="AN37" s="92" t="e">
        <f>(RIGHT('REPORTS PER EVALUATOR'!#REF!,1))*1</f>
        <v>#REF!</v>
      </c>
      <c r="AO37" s="11" t="e">
        <f>LEFT('REPORTS PER EVALUATOR'!#REF!,1)</f>
        <v>#REF!</v>
      </c>
      <c r="AP37" s="92" t="e">
        <f>(RIGHT('REPORTS PER EVALUATOR'!#REF!,1))*1</f>
        <v>#REF!</v>
      </c>
      <c r="AQ37" s="11" t="e">
        <f>LEFT('REPORTS PER EVALUATOR'!#REF!,1)</f>
        <v>#REF!</v>
      </c>
      <c r="AR37" s="92" t="e">
        <f>(RIGHT('REPORTS PER EVALUATOR'!#REF!,1))*1</f>
        <v>#REF!</v>
      </c>
    </row>
    <row r="38" spans="2:44" x14ac:dyDescent="0.2">
      <c r="B38" s="19" t="str">
        <f t="shared" si="1"/>
        <v>E</v>
      </c>
      <c r="C38" s="18" t="str">
        <f t="shared" si="0"/>
        <v>H</v>
      </c>
      <c r="D38" s="18" t="s">
        <v>43</v>
      </c>
      <c r="E38" s="26" t="str">
        <f>LEFT('REPORTS PER EVALUATOR'!$Q$10,1)</f>
        <v>H</v>
      </c>
      <c r="F38" s="73">
        <f>(RIGHT('REPORTS PER EVALUATOR'!$Q$10,1))*1</f>
        <v>2</v>
      </c>
      <c r="G38" s="11" t="str">
        <f>LEFT('REPORTS PER EVALUATOR'!$Q$22,1)</f>
        <v>E</v>
      </c>
      <c r="H38" s="81">
        <f>(RIGHT('REPORTS PER EVALUATOR'!$Q$22,1))*1</f>
        <v>4</v>
      </c>
      <c r="I38" s="11" t="str">
        <f>LEFT('REPORTS PER EVALUATOR'!$Q$34,1)</f>
        <v>E</v>
      </c>
      <c r="J38" s="81">
        <f>(RIGHT('REPORTS PER EVALUATOR'!$Q$34,1))*1</f>
        <v>3</v>
      </c>
      <c r="K38" s="11" t="str">
        <f>LEFT('REPORTS PER EVALUATOR'!$Q$46,1)</f>
        <v>E</v>
      </c>
      <c r="L38" s="81">
        <f>(RIGHT('REPORTS PER EVALUATOR'!$Q$46,1))*1</f>
        <v>3</v>
      </c>
      <c r="M38" s="11" t="str">
        <f>LEFT('REPORTS PER EVALUATOR'!$Q$58,1)</f>
        <v>E</v>
      </c>
      <c r="N38" s="81">
        <f>(RIGHT('REPORTS PER EVALUATOR'!$Q$58,1))*1</f>
        <v>2</v>
      </c>
      <c r="O38" s="11" t="str">
        <f>LEFT('REPORTS PER EVALUATOR'!$Q$70,1)</f>
        <v>H</v>
      </c>
      <c r="P38" s="81">
        <f>(RIGHT('REPORTS PER EVALUATOR'!$Q$70,1))*1</f>
        <v>2</v>
      </c>
      <c r="Q38" s="11" t="str">
        <f>LEFT('REPORTS PER EVALUATOR'!$Q$82,1)</f>
        <v>E</v>
      </c>
      <c r="R38" s="81">
        <f>(RIGHT('REPORTS PER EVALUATOR'!$Q$82,1))*1</f>
        <v>4</v>
      </c>
      <c r="S38" s="11" t="str">
        <f>LEFT('REPORTS PER EVALUATOR'!$Q$94,1)</f>
        <v>E</v>
      </c>
      <c r="T38" s="81">
        <f>(RIGHT('REPORTS PER EVALUATOR'!$Q$94,1))*1</f>
        <v>2</v>
      </c>
      <c r="U38" s="11" t="str">
        <f>LEFT('REPORTS PER EVALUATOR'!$Q$106,1)</f>
        <v>H</v>
      </c>
      <c r="V38" s="81">
        <f>(RIGHT('REPORTS PER EVALUATOR'!$Q$106,1))*1</f>
        <v>2</v>
      </c>
      <c r="W38" s="11" t="str">
        <f>LEFT('REPORTS PER EVALUATOR'!$Q$118,1)</f>
        <v>H</v>
      </c>
      <c r="X38" s="81">
        <f>(RIGHT('REPORTS PER EVALUATOR'!$Q$118,1))*1</f>
        <v>2</v>
      </c>
      <c r="Y38" s="11" t="str">
        <f>LEFT('REPORTS PER EVALUATOR'!$Q$130,1)</f>
        <v>E</v>
      </c>
      <c r="Z38" s="92">
        <f>(RIGHT('REPORTS PER EVALUATOR'!$Q$130,1))*1</f>
        <v>2</v>
      </c>
      <c r="AA38" s="11" t="e">
        <f>LEFT('REPORTS PER EVALUATOR'!#REF!,1)</f>
        <v>#REF!</v>
      </c>
      <c r="AB38" s="92" t="e">
        <f>(RIGHT('REPORTS PER EVALUATOR'!#REF!,1))*1</f>
        <v>#REF!</v>
      </c>
      <c r="AC38" s="11" t="e">
        <f>LEFT('REPORTS PER EVALUATOR'!#REF!,1)</f>
        <v>#REF!</v>
      </c>
      <c r="AD38" s="92" t="e">
        <f>(RIGHT('REPORTS PER EVALUATOR'!#REF!,1))*1</f>
        <v>#REF!</v>
      </c>
      <c r="AE38" s="11" t="e">
        <f>LEFT('REPORTS PER EVALUATOR'!#REF!,1)</f>
        <v>#REF!</v>
      </c>
      <c r="AF38" s="92" t="e">
        <f>(RIGHT('REPORTS PER EVALUATOR'!#REF!,1))*1</f>
        <v>#REF!</v>
      </c>
      <c r="AG38" s="11" t="e">
        <f>LEFT('REPORTS PER EVALUATOR'!#REF!,1)</f>
        <v>#REF!</v>
      </c>
      <c r="AH38" s="92" t="e">
        <f>(RIGHT('REPORTS PER EVALUATOR'!#REF!,1))*1</f>
        <v>#REF!</v>
      </c>
      <c r="AI38" s="11" t="e">
        <f>LEFT('REPORTS PER EVALUATOR'!#REF!,1)</f>
        <v>#REF!</v>
      </c>
      <c r="AJ38" s="92" t="e">
        <f>(RIGHT('REPORTS PER EVALUATOR'!#REF!,1))*1</f>
        <v>#REF!</v>
      </c>
      <c r="AK38" s="11" t="e">
        <f>LEFT('REPORTS PER EVALUATOR'!#REF!,1)</f>
        <v>#REF!</v>
      </c>
      <c r="AL38" s="92" t="e">
        <f>(RIGHT('REPORTS PER EVALUATOR'!#REF!,1))*1</f>
        <v>#REF!</v>
      </c>
      <c r="AM38" s="11" t="e">
        <f>LEFT('REPORTS PER EVALUATOR'!#REF!,1)</f>
        <v>#REF!</v>
      </c>
      <c r="AN38" s="92" t="e">
        <f>(RIGHT('REPORTS PER EVALUATOR'!#REF!,1))*1</f>
        <v>#REF!</v>
      </c>
      <c r="AO38" s="11" t="e">
        <f>LEFT('REPORTS PER EVALUATOR'!#REF!,1)</f>
        <v>#REF!</v>
      </c>
      <c r="AP38" s="92" t="e">
        <f>(RIGHT('REPORTS PER EVALUATOR'!#REF!,1))*1</f>
        <v>#REF!</v>
      </c>
      <c r="AQ38" s="11" t="e">
        <f>LEFT('REPORTS PER EVALUATOR'!#REF!,1)</f>
        <v>#REF!</v>
      </c>
      <c r="AR38" s="92" t="e">
        <f>(RIGHT('REPORTS PER EVALUATOR'!#REF!,1))*1</f>
        <v>#REF!</v>
      </c>
    </row>
    <row r="39" spans="2:44" x14ac:dyDescent="0.2">
      <c r="B39" s="19" t="str">
        <f t="shared" si="1"/>
        <v>E</v>
      </c>
      <c r="C39" s="18" t="str">
        <f t="shared" si="0"/>
        <v>I</v>
      </c>
      <c r="D39" s="18" t="s">
        <v>44</v>
      </c>
      <c r="E39" s="26" t="str">
        <f>LEFT('REPORTS PER EVALUATOR'!$R$10,1)</f>
        <v>1</v>
      </c>
      <c r="F39" s="73">
        <f>(RIGHT('REPORTS PER EVALUATOR'!$R$10,1))*1</f>
        <v>1</v>
      </c>
      <c r="G39" s="11" t="str">
        <f>LEFT('REPORTS PER EVALUATOR'!$R$22,1)</f>
        <v>E</v>
      </c>
      <c r="H39" s="81">
        <f>(RIGHT('REPORTS PER EVALUATOR'!$R$22,1))*1</f>
        <v>4</v>
      </c>
      <c r="I39" s="11" t="str">
        <f>LEFT('REPORTS PER EVALUATOR'!$R$34,1)</f>
        <v>I</v>
      </c>
      <c r="J39" s="81">
        <f>(RIGHT('REPORTS PER EVALUATOR'!$R$34,1))*1</f>
        <v>2</v>
      </c>
      <c r="K39" s="11" t="str">
        <f>LEFT('REPORTS PER EVALUATOR'!$R$46,1)</f>
        <v>E</v>
      </c>
      <c r="L39" s="81">
        <f>(RIGHT('REPORTS PER EVALUATOR'!$R$46,1))*1</f>
        <v>2</v>
      </c>
      <c r="M39" s="11" t="str">
        <f>LEFT('REPORTS PER EVALUATOR'!$R$58,1)</f>
        <v>1</v>
      </c>
      <c r="N39" s="81">
        <f>(RIGHT('REPORTS PER EVALUATOR'!$R$58,1))*1</f>
        <v>1</v>
      </c>
      <c r="O39" s="11" t="str">
        <f>LEFT('REPORTS PER EVALUATOR'!$R$70,1)</f>
        <v>1</v>
      </c>
      <c r="P39" s="81">
        <f>(RIGHT('REPORTS PER EVALUATOR'!$R$70,1))*1</f>
        <v>1</v>
      </c>
      <c r="Q39" s="11" t="str">
        <f>LEFT('REPORTS PER EVALUATOR'!$R$82,1)</f>
        <v>E</v>
      </c>
      <c r="R39" s="81">
        <f>(RIGHT('REPORTS PER EVALUATOR'!$R$82,1))*1</f>
        <v>5</v>
      </c>
      <c r="S39" s="11" t="str">
        <f>LEFT('REPORTS PER EVALUATOR'!$R$94,1)</f>
        <v>E</v>
      </c>
      <c r="T39" s="81">
        <f>(RIGHT('REPORTS PER EVALUATOR'!$R$94,1))*1</f>
        <v>2</v>
      </c>
      <c r="U39" s="11" t="str">
        <f>LEFT('REPORTS PER EVALUATOR'!$R$106,1)</f>
        <v>E</v>
      </c>
      <c r="V39" s="81">
        <f>(RIGHT('REPORTS PER EVALUATOR'!$R$106,1))*1</f>
        <v>3</v>
      </c>
      <c r="W39" s="11" t="str">
        <f>LEFT('REPORTS PER EVALUATOR'!$R$118,1)</f>
        <v>1</v>
      </c>
      <c r="X39" s="81">
        <f>(RIGHT('REPORTS PER EVALUATOR'!$R$118,1))*1</f>
        <v>1</v>
      </c>
      <c r="Y39" s="11" t="str">
        <f>LEFT('REPORTS PER EVALUATOR'!$R$130,1)</f>
        <v>E</v>
      </c>
      <c r="Z39" s="92">
        <f>(RIGHT('REPORTS PER EVALUATOR'!$R$130,1))*1</f>
        <v>2</v>
      </c>
      <c r="AA39" s="11" t="e">
        <f>LEFT('REPORTS PER EVALUATOR'!#REF!,1)</f>
        <v>#REF!</v>
      </c>
      <c r="AB39" s="92" t="e">
        <f>(RIGHT('REPORTS PER EVALUATOR'!#REF!,1))*1</f>
        <v>#REF!</v>
      </c>
      <c r="AC39" s="11" t="e">
        <f>LEFT('REPORTS PER EVALUATOR'!#REF!,1)</f>
        <v>#REF!</v>
      </c>
      <c r="AD39" s="92" t="e">
        <f>(RIGHT('REPORTS PER EVALUATOR'!#REF!,1))*1</f>
        <v>#REF!</v>
      </c>
      <c r="AE39" s="11" t="e">
        <f>LEFT('REPORTS PER EVALUATOR'!#REF!,1)</f>
        <v>#REF!</v>
      </c>
      <c r="AF39" s="92" t="e">
        <f>(RIGHT('REPORTS PER EVALUATOR'!#REF!,1))*1</f>
        <v>#REF!</v>
      </c>
      <c r="AG39" s="11" t="e">
        <f>LEFT('REPORTS PER EVALUATOR'!#REF!,1)</f>
        <v>#REF!</v>
      </c>
      <c r="AH39" s="92" t="e">
        <f>(RIGHT('REPORTS PER EVALUATOR'!#REF!,1))*1</f>
        <v>#REF!</v>
      </c>
      <c r="AI39" s="11" t="e">
        <f>LEFT('REPORTS PER EVALUATOR'!#REF!,1)</f>
        <v>#REF!</v>
      </c>
      <c r="AJ39" s="92" t="e">
        <f>(RIGHT('REPORTS PER EVALUATOR'!#REF!,1))*1</f>
        <v>#REF!</v>
      </c>
      <c r="AK39" s="11" t="e">
        <f>LEFT('REPORTS PER EVALUATOR'!#REF!,1)</f>
        <v>#REF!</v>
      </c>
      <c r="AL39" s="92" t="e">
        <f>(RIGHT('REPORTS PER EVALUATOR'!#REF!,1))*1</f>
        <v>#REF!</v>
      </c>
      <c r="AM39" s="11" t="e">
        <f>LEFT('REPORTS PER EVALUATOR'!#REF!,1)</f>
        <v>#REF!</v>
      </c>
      <c r="AN39" s="92" t="e">
        <f>(RIGHT('REPORTS PER EVALUATOR'!#REF!,1))*1</f>
        <v>#REF!</v>
      </c>
      <c r="AO39" s="11" t="e">
        <f>LEFT('REPORTS PER EVALUATOR'!#REF!,1)</f>
        <v>#REF!</v>
      </c>
      <c r="AP39" s="92" t="e">
        <f>(RIGHT('REPORTS PER EVALUATOR'!#REF!,1))*1</f>
        <v>#REF!</v>
      </c>
      <c r="AQ39" s="11" t="e">
        <f>LEFT('REPORTS PER EVALUATOR'!#REF!,1)</f>
        <v>#REF!</v>
      </c>
      <c r="AR39" s="92" t="e">
        <f>(RIGHT('REPORTS PER EVALUATOR'!#REF!,1))*1</f>
        <v>#REF!</v>
      </c>
    </row>
    <row r="40" spans="2:44" x14ac:dyDescent="0.2">
      <c r="B40" s="19" t="str">
        <f t="shared" si="1"/>
        <v>E</v>
      </c>
      <c r="C40" s="18" t="str">
        <f t="shared" si="0"/>
        <v>L</v>
      </c>
      <c r="D40" s="18" t="s">
        <v>45</v>
      </c>
      <c r="E40" s="26" t="str">
        <f>LEFT('REPORTS PER EVALUATOR'!$S$10,1)</f>
        <v>E</v>
      </c>
      <c r="F40" s="73">
        <f>(RIGHT('REPORTS PER EVALUATOR'!$S$10,1))*1</f>
        <v>4</v>
      </c>
      <c r="G40" s="11" t="str">
        <f>LEFT('REPORTS PER EVALUATOR'!$S$22,1)</f>
        <v>E</v>
      </c>
      <c r="H40" s="81">
        <f>(RIGHT('REPORTS PER EVALUATOR'!$S$22,1))*1</f>
        <v>3</v>
      </c>
      <c r="I40" s="11" t="str">
        <f>LEFT('REPORTS PER EVALUATOR'!$S$34,1)</f>
        <v>E</v>
      </c>
      <c r="J40" s="81">
        <f>(RIGHT('REPORTS PER EVALUATOR'!$S$34,1))*1</f>
        <v>3</v>
      </c>
      <c r="K40" s="11" t="str">
        <f>LEFT('REPORTS PER EVALUATOR'!$S$46,1)</f>
        <v>E</v>
      </c>
      <c r="L40" s="81">
        <f>(RIGHT('REPORTS PER EVALUATOR'!$S$46,1))*1</f>
        <v>2</v>
      </c>
      <c r="M40" s="11" t="str">
        <f>LEFT('REPORTS PER EVALUATOR'!$S$58,1)</f>
        <v>E</v>
      </c>
      <c r="N40" s="81">
        <f>(RIGHT('REPORTS PER EVALUATOR'!$S$58,1))*1</f>
        <v>3</v>
      </c>
      <c r="O40" s="11" t="str">
        <f>LEFT('REPORTS PER EVALUATOR'!$S$70,1)</f>
        <v>L</v>
      </c>
      <c r="P40" s="81">
        <f>(RIGHT('REPORTS PER EVALUATOR'!$S$70,1))*1</f>
        <v>2</v>
      </c>
      <c r="Q40" s="11" t="str">
        <f>LEFT('REPORTS PER EVALUATOR'!$S$82,1)</f>
        <v>E</v>
      </c>
      <c r="R40" s="81">
        <f>(RIGHT('REPORTS PER EVALUATOR'!$S$82,1))*1</f>
        <v>4</v>
      </c>
      <c r="S40" s="11" t="str">
        <f>LEFT('REPORTS PER EVALUATOR'!$S$94,1)</f>
        <v>E</v>
      </c>
      <c r="T40" s="81">
        <f>(RIGHT('REPORTS PER EVALUATOR'!$S$94,1))*1</f>
        <v>2</v>
      </c>
      <c r="U40" s="11" t="str">
        <f>LEFT('REPORTS PER EVALUATOR'!$S$106,1)</f>
        <v>E</v>
      </c>
      <c r="V40" s="81">
        <f>(RIGHT('REPORTS PER EVALUATOR'!$S$106,1))*1</f>
        <v>3</v>
      </c>
      <c r="W40" s="11" t="str">
        <f>LEFT('REPORTS PER EVALUATOR'!$S$118,1)</f>
        <v>E</v>
      </c>
      <c r="X40" s="81">
        <f>(RIGHT('REPORTS PER EVALUATOR'!$S$118,1))*1</f>
        <v>3</v>
      </c>
      <c r="Y40" s="11" t="str">
        <f>LEFT('REPORTS PER EVALUATOR'!$S$130,1)</f>
        <v>E</v>
      </c>
      <c r="Z40" s="92">
        <f>(RIGHT('REPORTS PER EVALUATOR'!$S$130,1))*1</f>
        <v>3</v>
      </c>
      <c r="AA40" s="11" t="e">
        <f>LEFT('REPORTS PER EVALUATOR'!#REF!,1)</f>
        <v>#REF!</v>
      </c>
      <c r="AB40" s="92" t="e">
        <f>(RIGHT('REPORTS PER EVALUATOR'!#REF!,1))*1</f>
        <v>#REF!</v>
      </c>
      <c r="AC40" s="11" t="e">
        <f>LEFT('REPORTS PER EVALUATOR'!#REF!,1)</f>
        <v>#REF!</v>
      </c>
      <c r="AD40" s="92" t="e">
        <f>(RIGHT('REPORTS PER EVALUATOR'!#REF!,1))*1</f>
        <v>#REF!</v>
      </c>
      <c r="AE40" s="11" t="e">
        <f>LEFT('REPORTS PER EVALUATOR'!#REF!,1)</f>
        <v>#REF!</v>
      </c>
      <c r="AF40" s="92" t="e">
        <f>(RIGHT('REPORTS PER EVALUATOR'!#REF!,1))*1</f>
        <v>#REF!</v>
      </c>
      <c r="AG40" s="11" t="e">
        <f>LEFT('REPORTS PER EVALUATOR'!#REF!,1)</f>
        <v>#REF!</v>
      </c>
      <c r="AH40" s="92" t="e">
        <f>(RIGHT('REPORTS PER EVALUATOR'!#REF!,1))*1</f>
        <v>#REF!</v>
      </c>
      <c r="AI40" s="11" t="e">
        <f>LEFT('REPORTS PER EVALUATOR'!#REF!,1)</f>
        <v>#REF!</v>
      </c>
      <c r="AJ40" s="92" t="e">
        <f>(RIGHT('REPORTS PER EVALUATOR'!#REF!,1))*1</f>
        <v>#REF!</v>
      </c>
      <c r="AK40" s="11" t="e">
        <f>LEFT('REPORTS PER EVALUATOR'!#REF!,1)</f>
        <v>#REF!</v>
      </c>
      <c r="AL40" s="92" t="e">
        <f>(RIGHT('REPORTS PER EVALUATOR'!#REF!,1))*1</f>
        <v>#REF!</v>
      </c>
      <c r="AM40" s="11" t="e">
        <f>LEFT('REPORTS PER EVALUATOR'!#REF!,1)</f>
        <v>#REF!</v>
      </c>
      <c r="AN40" s="92" t="e">
        <f>(RIGHT('REPORTS PER EVALUATOR'!#REF!,1))*1</f>
        <v>#REF!</v>
      </c>
      <c r="AO40" s="11" t="e">
        <f>LEFT('REPORTS PER EVALUATOR'!#REF!,1)</f>
        <v>#REF!</v>
      </c>
      <c r="AP40" s="92" t="e">
        <f>(RIGHT('REPORTS PER EVALUATOR'!#REF!,1))*1</f>
        <v>#REF!</v>
      </c>
      <c r="AQ40" s="11" t="e">
        <f>LEFT('REPORTS PER EVALUATOR'!#REF!,1)</f>
        <v>#REF!</v>
      </c>
      <c r="AR40" s="92" t="e">
        <f>(RIGHT('REPORTS PER EVALUATOR'!#REF!,1))*1</f>
        <v>#REF!</v>
      </c>
    </row>
    <row r="41" spans="2:44" x14ac:dyDescent="0.2">
      <c r="B41" s="19" t="str">
        <f t="shared" si="1"/>
        <v>E</v>
      </c>
      <c r="C41" s="18" t="str">
        <f t="shared" si="0"/>
        <v>M</v>
      </c>
      <c r="D41" s="18" t="s">
        <v>161</v>
      </c>
      <c r="E41" s="26" t="str">
        <f>LEFT('REPORTS PER EVALUATOR'!$T$10,1)</f>
        <v/>
      </c>
      <c r="F41" s="73" t="e">
        <f>(RIGHT('REPORTS PER EVALUATOR'!$T$10,1))*1</f>
        <v>#VALUE!</v>
      </c>
      <c r="G41" s="11" t="str">
        <f>LEFT('REPORTS PER EVALUATOR'!$T$22,1)</f>
        <v/>
      </c>
      <c r="H41" s="81" t="e">
        <f>(RIGHT('REPORTS PER EVALUATOR'!$T$22,1))*1</f>
        <v>#VALUE!</v>
      </c>
      <c r="I41" s="11" t="str">
        <f>LEFT('REPORTS PER EVALUATOR'!$T$34,1)</f>
        <v/>
      </c>
      <c r="J41" s="81" t="e">
        <f>(RIGHT('REPORTS PER EVALUATOR'!$T$34,1))*1</f>
        <v>#VALUE!</v>
      </c>
      <c r="K41" s="11" t="str">
        <f>LEFT('REPORTS PER EVALUATOR'!$T$46,1)</f>
        <v/>
      </c>
      <c r="L41" s="81" t="e">
        <f>(RIGHT('REPORTS PER EVALUATOR'!$T$46,1))*1</f>
        <v>#VALUE!</v>
      </c>
      <c r="M41" s="11" t="str">
        <f>LEFT('REPORTS PER EVALUATOR'!$T$58,1)</f>
        <v/>
      </c>
      <c r="N41" s="81" t="e">
        <f>(RIGHT('REPORTS PER EVALUATOR'!$T$58,1))*1</f>
        <v>#VALUE!</v>
      </c>
      <c r="O41" s="11" t="str">
        <f>LEFT('REPORTS PER EVALUATOR'!$T$70,1)</f>
        <v/>
      </c>
      <c r="P41" s="81" t="e">
        <f>(RIGHT('REPORTS PER EVALUATOR'!$T$70,1))*1</f>
        <v>#VALUE!</v>
      </c>
      <c r="Q41" s="11" t="str">
        <f>LEFT('REPORTS PER EVALUATOR'!$T$82,1)</f>
        <v/>
      </c>
      <c r="R41" s="81" t="e">
        <f>(RIGHT('REPORTS PER EVALUATOR'!$T$82,1))*1</f>
        <v>#VALUE!</v>
      </c>
      <c r="S41" s="11" t="str">
        <f>LEFT('REPORTS PER EVALUATOR'!$T$94,1)</f>
        <v/>
      </c>
      <c r="T41" s="81" t="e">
        <f>(RIGHT('REPORTS PER EVALUATOR'!$T$94,1))*1</f>
        <v>#VALUE!</v>
      </c>
      <c r="U41" s="11" t="str">
        <f>LEFT('REPORTS PER EVALUATOR'!$T$106,1)</f>
        <v/>
      </c>
      <c r="V41" s="81" t="e">
        <f>(RIGHT('REPORTS PER EVALUATOR'!$T$106,1))*1</f>
        <v>#VALUE!</v>
      </c>
      <c r="W41" s="11" t="str">
        <f>LEFT('REPORTS PER EVALUATOR'!$T$118,1)</f>
        <v/>
      </c>
      <c r="X41" s="81" t="e">
        <f>(RIGHT('REPORTS PER EVALUATOR'!$T$118,1))*1</f>
        <v>#VALUE!</v>
      </c>
      <c r="Y41" s="11" t="str">
        <f>LEFT('REPORTS PER EVALUATOR'!$T$130,1)</f>
        <v/>
      </c>
      <c r="Z41" s="92" t="e">
        <f>(RIGHT('REPORTS PER EVALUATOR'!$T$130,1))*1</f>
        <v>#VALUE!</v>
      </c>
      <c r="AA41" s="11" t="e">
        <f>LEFT('REPORTS PER EVALUATOR'!#REF!,1)</f>
        <v>#REF!</v>
      </c>
      <c r="AB41" s="92" t="e">
        <f>(RIGHT('REPORTS PER EVALUATOR'!#REF!,1))*1</f>
        <v>#REF!</v>
      </c>
      <c r="AC41" s="11" t="e">
        <f>LEFT('REPORTS PER EVALUATOR'!#REF!,1)</f>
        <v>#REF!</v>
      </c>
      <c r="AD41" s="92" t="e">
        <f>(RIGHT('REPORTS PER EVALUATOR'!#REF!,1))*1</f>
        <v>#REF!</v>
      </c>
      <c r="AE41" s="11" t="e">
        <f>LEFT('REPORTS PER EVALUATOR'!#REF!,1)</f>
        <v>#REF!</v>
      </c>
      <c r="AF41" s="92" t="e">
        <f>(RIGHT('REPORTS PER EVALUATOR'!#REF!,1))*1</f>
        <v>#REF!</v>
      </c>
      <c r="AG41" s="11" t="e">
        <f>LEFT('REPORTS PER EVALUATOR'!#REF!,1)</f>
        <v>#REF!</v>
      </c>
      <c r="AH41" s="92" t="e">
        <f>(RIGHT('REPORTS PER EVALUATOR'!#REF!,1))*1</f>
        <v>#REF!</v>
      </c>
      <c r="AI41" s="11" t="e">
        <f>LEFT('REPORTS PER EVALUATOR'!#REF!,1)</f>
        <v>#REF!</v>
      </c>
      <c r="AJ41" s="92" t="e">
        <f>(RIGHT('REPORTS PER EVALUATOR'!#REF!,1))*1</f>
        <v>#REF!</v>
      </c>
      <c r="AK41" s="11" t="e">
        <f>LEFT('REPORTS PER EVALUATOR'!#REF!,1)</f>
        <v>#REF!</v>
      </c>
      <c r="AL41" s="92" t="e">
        <f>(RIGHT('REPORTS PER EVALUATOR'!#REF!,1))*1</f>
        <v>#REF!</v>
      </c>
      <c r="AM41" s="11" t="e">
        <f>LEFT('REPORTS PER EVALUATOR'!#REF!,1)</f>
        <v>#REF!</v>
      </c>
      <c r="AN41" s="92" t="e">
        <f>(RIGHT('REPORTS PER EVALUATOR'!#REF!,1))*1</f>
        <v>#REF!</v>
      </c>
      <c r="AO41" s="11" t="e">
        <f>LEFT('REPORTS PER EVALUATOR'!#REF!,1)</f>
        <v>#REF!</v>
      </c>
      <c r="AP41" s="92" t="e">
        <f>(RIGHT('REPORTS PER EVALUATOR'!#REF!,1))*1</f>
        <v>#REF!</v>
      </c>
      <c r="AQ41" s="11" t="e">
        <f>LEFT('REPORTS PER EVALUATOR'!#REF!,1)</f>
        <v>#REF!</v>
      </c>
      <c r="AR41" s="92" t="e">
        <f>(RIGHT('REPORTS PER EVALUATOR'!#REF!,1))*1</f>
        <v>#REF!</v>
      </c>
    </row>
    <row r="42" spans="2:44" x14ac:dyDescent="0.2">
      <c r="B42" s="19" t="str">
        <f t="shared" si="1"/>
        <v>F</v>
      </c>
      <c r="C42" s="18" t="str">
        <f t="shared" si="0"/>
        <v>G</v>
      </c>
      <c r="D42" s="18" t="s">
        <v>46</v>
      </c>
      <c r="E42" s="57" t="str">
        <f>LEFT('REPORTS PER EVALUATOR'!$P$11,1)</f>
        <v>F</v>
      </c>
      <c r="F42" s="72">
        <f>(RIGHT('REPORTS PER EVALUATOR'!$P$11,1))*1</f>
        <v>2</v>
      </c>
      <c r="G42" s="57" t="str">
        <f>LEFT('REPORTS PER EVALUATOR'!$P$23,1)</f>
        <v>F</v>
      </c>
      <c r="H42" s="80">
        <f>(RIGHT('REPORTS PER EVALUATOR'!$P$23,1))*1</f>
        <v>2</v>
      </c>
      <c r="I42" s="57" t="str">
        <f>LEFT('REPORTS PER EVALUATOR'!$P$35,1)</f>
        <v>F</v>
      </c>
      <c r="J42" s="80">
        <f>(RIGHT('REPORTS PER EVALUATOR'!$P$35,1))*1</f>
        <v>2</v>
      </c>
      <c r="K42" s="57" t="str">
        <f>LEFT('REPORTS PER EVALUATOR'!$P$47,1)</f>
        <v>F</v>
      </c>
      <c r="L42" s="80">
        <f>(RIGHT('REPORTS PER EVALUATOR'!$P$47,1))*1</f>
        <v>3</v>
      </c>
      <c r="M42" s="57" t="str">
        <f>LEFT('REPORTS PER EVALUATOR'!$P$59,1)</f>
        <v>F</v>
      </c>
      <c r="N42" s="80">
        <f>(RIGHT('REPORTS PER EVALUATOR'!$P$59,1))*1</f>
        <v>2</v>
      </c>
      <c r="O42" s="57" t="str">
        <f>LEFT('REPORTS PER EVALUATOR'!$P$71,1)</f>
        <v>F</v>
      </c>
      <c r="P42" s="80">
        <f>(RIGHT('REPORTS PER EVALUATOR'!$P$71,1))*1</f>
        <v>2</v>
      </c>
      <c r="Q42" s="57" t="str">
        <f>LEFT('REPORTS PER EVALUATOR'!$P$83,1)</f>
        <v>F</v>
      </c>
      <c r="R42" s="80">
        <f>(RIGHT('REPORTS PER EVALUATOR'!$P$83,1))*1</f>
        <v>2</v>
      </c>
      <c r="S42" s="57" t="str">
        <f>LEFT('REPORTS PER EVALUATOR'!$P$95,1)</f>
        <v>F</v>
      </c>
      <c r="T42" s="80">
        <f>(RIGHT('REPORTS PER EVALUATOR'!$P$95,1))*1</f>
        <v>6</v>
      </c>
      <c r="U42" s="57" t="str">
        <f>LEFT('REPORTS PER EVALUATOR'!$P$107,1)</f>
        <v>F</v>
      </c>
      <c r="V42" s="80">
        <f>(RIGHT('REPORTS PER EVALUATOR'!$P$107,1))*1</f>
        <v>3</v>
      </c>
      <c r="W42" s="57" t="str">
        <f>LEFT('REPORTS PER EVALUATOR'!$P$119,1)</f>
        <v>F</v>
      </c>
      <c r="X42" s="80">
        <f>(RIGHT('REPORTS PER EVALUATOR'!$P$119,1))*1</f>
        <v>2</v>
      </c>
      <c r="Y42" s="57" t="str">
        <f>LEFT('REPORTS PER EVALUATOR'!$P$131,1)</f>
        <v>F</v>
      </c>
      <c r="Z42" s="93">
        <f>(RIGHT('REPORTS PER EVALUATOR'!$P$131,1))*1</f>
        <v>5</v>
      </c>
      <c r="AA42" s="57" t="e">
        <f>LEFT('REPORTS PER EVALUATOR'!#REF!,1)</f>
        <v>#REF!</v>
      </c>
      <c r="AB42" s="93" t="e">
        <f>(RIGHT('REPORTS PER EVALUATOR'!#REF!,1))*1</f>
        <v>#REF!</v>
      </c>
      <c r="AC42" s="57" t="e">
        <f>LEFT('REPORTS PER EVALUATOR'!#REF!,1)</f>
        <v>#REF!</v>
      </c>
      <c r="AD42" s="93" t="e">
        <f>(RIGHT('REPORTS PER EVALUATOR'!#REF!,1))*1</f>
        <v>#REF!</v>
      </c>
      <c r="AE42" s="57" t="e">
        <f>LEFT('REPORTS PER EVALUATOR'!#REF!,1)</f>
        <v>#REF!</v>
      </c>
      <c r="AF42" s="93" t="e">
        <f>(RIGHT('REPORTS PER EVALUATOR'!#REF!,1))*1</f>
        <v>#REF!</v>
      </c>
      <c r="AG42" s="57" t="e">
        <f>LEFT('REPORTS PER EVALUATOR'!#REF!,1)</f>
        <v>#REF!</v>
      </c>
      <c r="AH42" s="93" t="e">
        <f>(RIGHT('REPORTS PER EVALUATOR'!#REF!,1))*1</f>
        <v>#REF!</v>
      </c>
      <c r="AI42" s="57" t="e">
        <f>LEFT('REPORTS PER EVALUATOR'!#REF!,1)</f>
        <v>#REF!</v>
      </c>
      <c r="AJ42" s="93" t="e">
        <f>(RIGHT('REPORTS PER EVALUATOR'!#REF!,1))*1</f>
        <v>#REF!</v>
      </c>
      <c r="AK42" s="57" t="e">
        <f>LEFT('REPORTS PER EVALUATOR'!#REF!,1)</f>
        <v>#REF!</v>
      </c>
      <c r="AL42" s="93" t="e">
        <f>(RIGHT('REPORTS PER EVALUATOR'!#REF!,1))*1</f>
        <v>#REF!</v>
      </c>
      <c r="AM42" s="57" t="e">
        <f>LEFT('REPORTS PER EVALUATOR'!#REF!,1)</f>
        <v>#REF!</v>
      </c>
      <c r="AN42" s="93" t="e">
        <f>(RIGHT('REPORTS PER EVALUATOR'!#REF!,1))*1</f>
        <v>#REF!</v>
      </c>
      <c r="AO42" s="57" t="e">
        <f>LEFT('REPORTS PER EVALUATOR'!#REF!,1)</f>
        <v>#REF!</v>
      </c>
      <c r="AP42" s="93" t="e">
        <f>(RIGHT('REPORTS PER EVALUATOR'!#REF!,1))*1</f>
        <v>#REF!</v>
      </c>
      <c r="AQ42" s="57" t="e">
        <f>LEFT('REPORTS PER EVALUATOR'!#REF!,1)</f>
        <v>#REF!</v>
      </c>
      <c r="AR42" s="93" t="e">
        <f>(RIGHT('REPORTS PER EVALUATOR'!#REF!,1))*1</f>
        <v>#REF!</v>
      </c>
    </row>
    <row r="43" spans="2:44" x14ac:dyDescent="0.2">
      <c r="B43" s="19" t="str">
        <f t="shared" si="1"/>
        <v>F</v>
      </c>
      <c r="C43" s="18" t="str">
        <f t="shared" si="0"/>
        <v>H</v>
      </c>
      <c r="D43" s="18" t="s">
        <v>47</v>
      </c>
      <c r="E43" s="26" t="str">
        <f>LEFT('REPORTS PER EVALUATOR'!$Q$11,1)</f>
        <v>H</v>
      </c>
      <c r="F43" s="73">
        <f>(RIGHT('REPORTS PER EVALUATOR'!$Q$11,1))*1</f>
        <v>2</v>
      </c>
      <c r="G43" s="11" t="str">
        <f>LEFT('REPORTS PER EVALUATOR'!$Q$23,1)</f>
        <v>F</v>
      </c>
      <c r="H43" s="81">
        <f>(RIGHT('REPORTS PER EVALUATOR'!$Q$23,1))*1</f>
        <v>3</v>
      </c>
      <c r="I43" s="11" t="str">
        <f>LEFT('REPORTS PER EVALUATOR'!$Q$35,1)</f>
        <v>F</v>
      </c>
      <c r="J43" s="81">
        <f>(RIGHT('REPORTS PER EVALUATOR'!$Q$35,1))*1</f>
        <v>2</v>
      </c>
      <c r="K43" s="11" t="str">
        <f>LEFT('REPORTS PER EVALUATOR'!$Q$47,1)</f>
        <v>F</v>
      </c>
      <c r="L43" s="81">
        <f>(RIGHT('REPORTS PER EVALUATOR'!$Q$47,1))*1</f>
        <v>5</v>
      </c>
      <c r="M43" s="11" t="str">
        <f>LEFT('REPORTS PER EVALUATOR'!$Q$59,1)</f>
        <v>1</v>
      </c>
      <c r="N43" s="81">
        <f>(RIGHT('REPORTS PER EVALUATOR'!$Q$59,1))*1</f>
        <v>1</v>
      </c>
      <c r="O43" s="11" t="str">
        <f>LEFT('REPORTS PER EVALUATOR'!$Q$71,1)</f>
        <v>H</v>
      </c>
      <c r="P43" s="81">
        <f>(RIGHT('REPORTS PER EVALUATOR'!$Q$71,1))*1</f>
        <v>2</v>
      </c>
      <c r="Q43" s="11" t="str">
        <f>LEFT('REPORTS PER EVALUATOR'!$Q$83,1)</f>
        <v>F</v>
      </c>
      <c r="R43" s="81">
        <f>(RIGHT('REPORTS PER EVALUATOR'!$Q$83,1))*1</f>
        <v>2</v>
      </c>
      <c r="S43" s="11" t="str">
        <f>LEFT('REPORTS PER EVALUATOR'!$Q$95,1)</f>
        <v>1</v>
      </c>
      <c r="T43" s="81">
        <f>(RIGHT('REPORTS PER EVALUATOR'!$Q$95,1))*1</f>
        <v>1</v>
      </c>
      <c r="U43" s="11" t="str">
        <f>LEFT('REPORTS PER EVALUATOR'!$Q$107,1)</f>
        <v>H</v>
      </c>
      <c r="V43" s="81">
        <f>(RIGHT('REPORTS PER EVALUATOR'!$Q$107,1))*1</f>
        <v>2</v>
      </c>
      <c r="W43" s="11" t="str">
        <f>LEFT('REPORTS PER EVALUATOR'!$Q$119,1)</f>
        <v>H</v>
      </c>
      <c r="X43" s="81">
        <f>(RIGHT('REPORTS PER EVALUATOR'!$Q$119,1))*1</f>
        <v>2</v>
      </c>
      <c r="Y43" s="11" t="str">
        <f>LEFT('REPORTS PER EVALUATOR'!$Q$131,1)</f>
        <v>F</v>
      </c>
      <c r="Z43" s="92">
        <f>(RIGHT('REPORTS PER EVALUATOR'!$Q$131,1))*1</f>
        <v>3</v>
      </c>
      <c r="AA43" s="11" t="e">
        <f>LEFT('REPORTS PER EVALUATOR'!#REF!,1)</f>
        <v>#REF!</v>
      </c>
      <c r="AB43" s="92" t="e">
        <f>(RIGHT('REPORTS PER EVALUATOR'!#REF!,1))*1</f>
        <v>#REF!</v>
      </c>
      <c r="AC43" s="11" t="e">
        <f>LEFT('REPORTS PER EVALUATOR'!#REF!,1)</f>
        <v>#REF!</v>
      </c>
      <c r="AD43" s="92" t="e">
        <f>(RIGHT('REPORTS PER EVALUATOR'!#REF!,1))*1</f>
        <v>#REF!</v>
      </c>
      <c r="AE43" s="11" t="e">
        <f>LEFT('REPORTS PER EVALUATOR'!#REF!,1)</f>
        <v>#REF!</v>
      </c>
      <c r="AF43" s="92" t="e">
        <f>(RIGHT('REPORTS PER EVALUATOR'!#REF!,1))*1</f>
        <v>#REF!</v>
      </c>
      <c r="AG43" s="11" t="e">
        <f>LEFT('REPORTS PER EVALUATOR'!#REF!,1)</f>
        <v>#REF!</v>
      </c>
      <c r="AH43" s="92" t="e">
        <f>(RIGHT('REPORTS PER EVALUATOR'!#REF!,1))*1</f>
        <v>#REF!</v>
      </c>
      <c r="AI43" s="11" t="e">
        <f>LEFT('REPORTS PER EVALUATOR'!#REF!,1)</f>
        <v>#REF!</v>
      </c>
      <c r="AJ43" s="92" t="e">
        <f>(RIGHT('REPORTS PER EVALUATOR'!#REF!,1))*1</f>
        <v>#REF!</v>
      </c>
      <c r="AK43" s="11" t="e">
        <f>LEFT('REPORTS PER EVALUATOR'!#REF!,1)</f>
        <v>#REF!</v>
      </c>
      <c r="AL43" s="92" t="e">
        <f>(RIGHT('REPORTS PER EVALUATOR'!#REF!,1))*1</f>
        <v>#REF!</v>
      </c>
      <c r="AM43" s="11" t="e">
        <f>LEFT('REPORTS PER EVALUATOR'!#REF!,1)</f>
        <v>#REF!</v>
      </c>
      <c r="AN43" s="92" t="e">
        <f>(RIGHT('REPORTS PER EVALUATOR'!#REF!,1))*1</f>
        <v>#REF!</v>
      </c>
      <c r="AO43" s="11" t="e">
        <f>LEFT('REPORTS PER EVALUATOR'!#REF!,1)</f>
        <v>#REF!</v>
      </c>
      <c r="AP43" s="92" t="e">
        <f>(RIGHT('REPORTS PER EVALUATOR'!#REF!,1))*1</f>
        <v>#REF!</v>
      </c>
      <c r="AQ43" s="11" t="e">
        <f>LEFT('REPORTS PER EVALUATOR'!#REF!,1)</f>
        <v>#REF!</v>
      </c>
      <c r="AR43" s="92" t="e">
        <f>(RIGHT('REPORTS PER EVALUATOR'!#REF!,1))*1</f>
        <v>#REF!</v>
      </c>
    </row>
    <row r="44" spans="2:44" x14ac:dyDescent="0.2">
      <c r="B44" s="19" t="str">
        <f t="shared" si="1"/>
        <v>F</v>
      </c>
      <c r="C44" s="18" t="str">
        <f t="shared" si="0"/>
        <v>I</v>
      </c>
      <c r="D44" s="18" t="s">
        <v>48</v>
      </c>
      <c r="E44" s="26" t="str">
        <f>LEFT('REPORTS PER EVALUATOR'!$R$11,1)</f>
        <v>I</v>
      </c>
      <c r="F44" s="73">
        <f>(RIGHT('REPORTS PER EVALUATOR'!$R$11,1))*1</f>
        <v>2</v>
      </c>
      <c r="G44" s="11" t="str">
        <f>LEFT('REPORTS PER EVALUATOR'!$R$23,1)</f>
        <v>F</v>
      </c>
      <c r="H44" s="81">
        <f>(RIGHT('REPORTS PER EVALUATOR'!$R$23,1))*1</f>
        <v>3</v>
      </c>
      <c r="I44" s="11" t="str">
        <f>LEFT('REPORTS PER EVALUATOR'!$R$35,1)</f>
        <v>I</v>
      </c>
      <c r="J44" s="81">
        <f>(RIGHT('REPORTS PER EVALUATOR'!$R$35,1))*1</f>
        <v>3</v>
      </c>
      <c r="K44" s="11" t="str">
        <f>LEFT('REPORTS PER EVALUATOR'!$R$47,1)</f>
        <v>F</v>
      </c>
      <c r="L44" s="81">
        <f>(RIGHT('REPORTS PER EVALUATOR'!$R$47,1))*1</f>
        <v>4</v>
      </c>
      <c r="M44" s="11" t="str">
        <f>LEFT('REPORTS PER EVALUATOR'!$R$59,1)</f>
        <v>I</v>
      </c>
      <c r="N44" s="81">
        <f>(RIGHT('REPORTS PER EVALUATOR'!$R$59,1))*1</f>
        <v>2</v>
      </c>
      <c r="O44" s="11" t="str">
        <f>LEFT('REPORTS PER EVALUATOR'!$R$71,1)</f>
        <v>1</v>
      </c>
      <c r="P44" s="81">
        <f>(RIGHT('REPORTS PER EVALUATOR'!$R$71,1))*1</f>
        <v>1</v>
      </c>
      <c r="Q44" s="11" t="str">
        <f>LEFT('REPORTS PER EVALUATOR'!$R$83,1)</f>
        <v>F</v>
      </c>
      <c r="R44" s="81">
        <f>(RIGHT('REPORTS PER EVALUATOR'!$R$83,1))*1</f>
        <v>2</v>
      </c>
      <c r="S44" s="11" t="str">
        <f>LEFT('REPORTS PER EVALUATOR'!$R$95,1)</f>
        <v>F</v>
      </c>
      <c r="T44" s="81">
        <f>(RIGHT('REPORTS PER EVALUATOR'!$R$95,1))*1</f>
        <v>2</v>
      </c>
      <c r="U44" s="11" t="str">
        <f>LEFT('REPORTS PER EVALUATOR'!$R$107,1)</f>
        <v>F</v>
      </c>
      <c r="V44" s="81">
        <f>(RIGHT('REPORTS PER EVALUATOR'!$R$107,1))*1</f>
        <v>4</v>
      </c>
      <c r="W44" s="11" t="str">
        <f>LEFT('REPORTS PER EVALUATOR'!$R$119,1)</f>
        <v>I</v>
      </c>
      <c r="X44" s="81">
        <f>(RIGHT('REPORTS PER EVALUATOR'!$R$119,1))*1</f>
        <v>2</v>
      </c>
      <c r="Y44" s="11" t="str">
        <f>LEFT('REPORTS PER EVALUATOR'!$R$131,1)</f>
        <v>F</v>
      </c>
      <c r="Z44" s="92">
        <f>(RIGHT('REPORTS PER EVALUATOR'!$R$131,1))*1</f>
        <v>3</v>
      </c>
      <c r="AA44" s="11" t="e">
        <f>LEFT('REPORTS PER EVALUATOR'!#REF!,1)</f>
        <v>#REF!</v>
      </c>
      <c r="AB44" s="92" t="e">
        <f>(RIGHT('REPORTS PER EVALUATOR'!#REF!,1))*1</f>
        <v>#REF!</v>
      </c>
      <c r="AC44" s="11" t="e">
        <f>LEFT('REPORTS PER EVALUATOR'!#REF!,1)</f>
        <v>#REF!</v>
      </c>
      <c r="AD44" s="92" t="e">
        <f>(RIGHT('REPORTS PER EVALUATOR'!#REF!,1))*1</f>
        <v>#REF!</v>
      </c>
      <c r="AE44" s="11" t="e">
        <f>LEFT('REPORTS PER EVALUATOR'!#REF!,1)</f>
        <v>#REF!</v>
      </c>
      <c r="AF44" s="92" t="e">
        <f>(RIGHT('REPORTS PER EVALUATOR'!#REF!,1))*1</f>
        <v>#REF!</v>
      </c>
      <c r="AG44" s="11" t="e">
        <f>LEFT('REPORTS PER EVALUATOR'!#REF!,1)</f>
        <v>#REF!</v>
      </c>
      <c r="AH44" s="92" t="e">
        <f>(RIGHT('REPORTS PER EVALUATOR'!#REF!,1))*1</f>
        <v>#REF!</v>
      </c>
      <c r="AI44" s="11" t="e">
        <f>LEFT('REPORTS PER EVALUATOR'!#REF!,1)</f>
        <v>#REF!</v>
      </c>
      <c r="AJ44" s="92" t="e">
        <f>(RIGHT('REPORTS PER EVALUATOR'!#REF!,1))*1</f>
        <v>#REF!</v>
      </c>
      <c r="AK44" s="11" t="e">
        <f>LEFT('REPORTS PER EVALUATOR'!#REF!,1)</f>
        <v>#REF!</v>
      </c>
      <c r="AL44" s="92" t="e">
        <f>(RIGHT('REPORTS PER EVALUATOR'!#REF!,1))*1</f>
        <v>#REF!</v>
      </c>
      <c r="AM44" s="11" t="e">
        <f>LEFT('REPORTS PER EVALUATOR'!#REF!,1)</f>
        <v>#REF!</v>
      </c>
      <c r="AN44" s="92" t="e">
        <f>(RIGHT('REPORTS PER EVALUATOR'!#REF!,1))*1</f>
        <v>#REF!</v>
      </c>
      <c r="AO44" s="11" t="e">
        <f>LEFT('REPORTS PER EVALUATOR'!#REF!,1)</f>
        <v>#REF!</v>
      </c>
      <c r="AP44" s="92" t="e">
        <f>(RIGHT('REPORTS PER EVALUATOR'!#REF!,1))*1</f>
        <v>#REF!</v>
      </c>
      <c r="AQ44" s="11" t="e">
        <f>LEFT('REPORTS PER EVALUATOR'!#REF!,1)</f>
        <v>#REF!</v>
      </c>
      <c r="AR44" s="92" t="e">
        <f>(RIGHT('REPORTS PER EVALUATOR'!#REF!,1))*1</f>
        <v>#REF!</v>
      </c>
    </row>
    <row r="45" spans="2:44" x14ac:dyDescent="0.2">
      <c r="B45" s="19" t="str">
        <f t="shared" si="1"/>
        <v>F</v>
      </c>
      <c r="C45" s="18" t="str">
        <f t="shared" si="0"/>
        <v>L</v>
      </c>
      <c r="D45" s="18" t="s">
        <v>49</v>
      </c>
      <c r="E45" s="26" t="str">
        <f>LEFT('REPORTS PER EVALUATOR'!$S$11,1)</f>
        <v>F</v>
      </c>
      <c r="F45" s="73">
        <f>(RIGHT('REPORTS PER EVALUATOR'!$S$11,1))*1</f>
        <v>3</v>
      </c>
      <c r="G45" s="11" t="str">
        <f>LEFT('REPORTS PER EVALUATOR'!$S$23,1)</f>
        <v>F</v>
      </c>
      <c r="H45" s="81">
        <f>(RIGHT('REPORTS PER EVALUATOR'!$S$23,1))*1</f>
        <v>2</v>
      </c>
      <c r="I45" s="11" t="str">
        <f>LEFT('REPORTS PER EVALUATOR'!$S$35,1)</f>
        <v>F</v>
      </c>
      <c r="J45" s="81">
        <f>(RIGHT('REPORTS PER EVALUATOR'!$S$35,1))*1</f>
        <v>3</v>
      </c>
      <c r="K45" s="11" t="str">
        <f>LEFT('REPORTS PER EVALUATOR'!$S$47,1)</f>
        <v>F</v>
      </c>
      <c r="L45" s="81">
        <f>(RIGHT('REPORTS PER EVALUATOR'!$S$47,1))*1</f>
        <v>3</v>
      </c>
      <c r="M45" s="11" t="str">
        <f>LEFT('REPORTS PER EVALUATOR'!$S$59,1)</f>
        <v>F</v>
      </c>
      <c r="N45" s="81">
        <f>(RIGHT('REPORTS PER EVALUATOR'!$S$59,1))*1</f>
        <v>2</v>
      </c>
      <c r="O45" s="11" t="str">
        <f>LEFT('REPORTS PER EVALUATOR'!$S$71,1)</f>
        <v>L</v>
      </c>
      <c r="P45" s="81">
        <f>(RIGHT('REPORTS PER EVALUATOR'!$S$71,1))*1</f>
        <v>2</v>
      </c>
      <c r="Q45" s="11" t="str">
        <f>LEFT('REPORTS PER EVALUATOR'!$S$83,1)</f>
        <v>F</v>
      </c>
      <c r="R45" s="81">
        <f>(RIGHT('REPORTS PER EVALUATOR'!$S$83,1))*1</f>
        <v>2</v>
      </c>
      <c r="S45" s="11" t="str">
        <f>LEFT('REPORTS PER EVALUATOR'!$S$95,1)</f>
        <v>F</v>
      </c>
      <c r="T45" s="81">
        <f>(RIGHT('REPORTS PER EVALUATOR'!$S$95,1))*1</f>
        <v>3</v>
      </c>
      <c r="U45" s="11" t="str">
        <f>LEFT('REPORTS PER EVALUATOR'!$S$107,1)</f>
        <v>F</v>
      </c>
      <c r="V45" s="81">
        <f>(RIGHT('REPORTS PER EVALUATOR'!$S$107,1))*1</f>
        <v>3</v>
      </c>
      <c r="W45" s="11" t="str">
        <f>LEFT('REPORTS PER EVALUATOR'!$S$119,1)</f>
        <v>F</v>
      </c>
      <c r="X45" s="81">
        <f>(RIGHT('REPORTS PER EVALUATOR'!$S$119,1))*1</f>
        <v>3</v>
      </c>
      <c r="Y45" s="11" t="str">
        <f>LEFT('REPORTS PER EVALUATOR'!$S$131,1)</f>
        <v>F</v>
      </c>
      <c r="Z45" s="92">
        <f>(RIGHT('REPORTS PER EVALUATOR'!$S$131,1))*1</f>
        <v>5</v>
      </c>
      <c r="AA45" s="11" t="e">
        <f>LEFT('REPORTS PER EVALUATOR'!#REF!,1)</f>
        <v>#REF!</v>
      </c>
      <c r="AB45" s="92" t="e">
        <f>(RIGHT('REPORTS PER EVALUATOR'!#REF!,1))*1</f>
        <v>#REF!</v>
      </c>
      <c r="AC45" s="11" t="e">
        <f>LEFT('REPORTS PER EVALUATOR'!#REF!,1)</f>
        <v>#REF!</v>
      </c>
      <c r="AD45" s="92" t="e">
        <f>(RIGHT('REPORTS PER EVALUATOR'!#REF!,1))*1</f>
        <v>#REF!</v>
      </c>
      <c r="AE45" s="11" t="e">
        <f>LEFT('REPORTS PER EVALUATOR'!#REF!,1)</f>
        <v>#REF!</v>
      </c>
      <c r="AF45" s="92" t="e">
        <f>(RIGHT('REPORTS PER EVALUATOR'!#REF!,1))*1</f>
        <v>#REF!</v>
      </c>
      <c r="AG45" s="11" t="e">
        <f>LEFT('REPORTS PER EVALUATOR'!#REF!,1)</f>
        <v>#REF!</v>
      </c>
      <c r="AH45" s="92" t="e">
        <f>(RIGHT('REPORTS PER EVALUATOR'!#REF!,1))*1</f>
        <v>#REF!</v>
      </c>
      <c r="AI45" s="11" t="e">
        <f>LEFT('REPORTS PER EVALUATOR'!#REF!,1)</f>
        <v>#REF!</v>
      </c>
      <c r="AJ45" s="92" t="e">
        <f>(RIGHT('REPORTS PER EVALUATOR'!#REF!,1))*1</f>
        <v>#REF!</v>
      </c>
      <c r="AK45" s="11" t="e">
        <f>LEFT('REPORTS PER EVALUATOR'!#REF!,1)</f>
        <v>#REF!</v>
      </c>
      <c r="AL45" s="92" t="e">
        <f>(RIGHT('REPORTS PER EVALUATOR'!#REF!,1))*1</f>
        <v>#REF!</v>
      </c>
      <c r="AM45" s="11" t="e">
        <f>LEFT('REPORTS PER EVALUATOR'!#REF!,1)</f>
        <v>#REF!</v>
      </c>
      <c r="AN45" s="92" t="e">
        <f>(RIGHT('REPORTS PER EVALUATOR'!#REF!,1))*1</f>
        <v>#REF!</v>
      </c>
      <c r="AO45" s="11" t="e">
        <f>LEFT('REPORTS PER EVALUATOR'!#REF!,1)</f>
        <v>#REF!</v>
      </c>
      <c r="AP45" s="92" t="e">
        <f>(RIGHT('REPORTS PER EVALUATOR'!#REF!,1))*1</f>
        <v>#REF!</v>
      </c>
      <c r="AQ45" s="11" t="e">
        <f>LEFT('REPORTS PER EVALUATOR'!#REF!,1)</f>
        <v>#REF!</v>
      </c>
      <c r="AR45" s="92" t="e">
        <f>(RIGHT('REPORTS PER EVALUATOR'!#REF!,1))*1</f>
        <v>#REF!</v>
      </c>
    </row>
    <row r="46" spans="2:44" x14ac:dyDescent="0.2">
      <c r="B46" s="19" t="str">
        <f t="shared" si="1"/>
        <v>F</v>
      </c>
      <c r="C46" s="18" t="str">
        <f t="shared" si="0"/>
        <v>M</v>
      </c>
      <c r="D46" s="18" t="s">
        <v>162</v>
      </c>
      <c r="E46" s="26" t="str">
        <f>LEFT('REPORTS PER EVALUATOR'!$T$11,1)</f>
        <v/>
      </c>
      <c r="F46" s="73" t="e">
        <f>(RIGHT('REPORTS PER EVALUATOR'!$T$11,1))*1</f>
        <v>#VALUE!</v>
      </c>
      <c r="G46" s="11" t="str">
        <f>LEFT('REPORTS PER EVALUATOR'!$T$23,1)</f>
        <v/>
      </c>
      <c r="H46" s="81" t="e">
        <f>(RIGHT('REPORTS PER EVALUATOR'!$T$23,1))*1</f>
        <v>#VALUE!</v>
      </c>
      <c r="I46" s="11" t="str">
        <f>LEFT('REPORTS PER EVALUATOR'!$T$35,1)</f>
        <v/>
      </c>
      <c r="J46" s="81" t="e">
        <f>(RIGHT('REPORTS PER EVALUATOR'!$T$35,1))*1</f>
        <v>#VALUE!</v>
      </c>
      <c r="K46" s="11" t="str">
        <f>LEFT('REPORTS PER EVALUATOR'!$T$47,1)</f>
        <v/>
      </c>
      <c r="L46" s="81" t="e">
        <f>(RIGHT('REPORTS PER EVALUATOR'!$T$47,1))*1</f>
        <v>#VALUE!</v>
      </c>
      <c r="M46" s="11" t="str">
        <f>LEFT('REPORTS PER EVALUATOR'!$T$59,1)</f>
        <v/>
      </c>
      <c r="N46" s="81" t="e">
        <f>(RIGHT('REPORTS PER EVALUATOR'!$T$59,1))*1</f>
        <v>#VALUE!</v>
      </c>
      <c r="O46" s="11" t="str">
        <f>LEFT('REPORTS PER EVALUATOR'!$T$71,1)</f>
        <v/>
      </c>
      <c r="P46" s="81" t="e">
        <f>(RIGHT('REPORTS PER EVALUATOR'!$T$71,1))*1</f>
        <v>#VALUE!</v>
      </c>
      <c r="Q46" s="11" t="str">
        <f>LEFT('REPORTS PER EVALUATOR'!$T$83,1)</f>
        <v/>
      </c>
      <c r="R46" s="81" t="e">
        <f>(RIGHT('REPORTS PER EVALUATOR'!$T$83,1))*1</f>
        <v>#VALUE!</v>
      </c>
      <c r="S46" s="11" t="str">
        <f>LEFT('REPORTS PER EVALUATOR'!$T$95,1)</f>
        <v/>
      </c>
      <c r="T46" s="81" t="e">
        <f>(RIGHT('REPORTS PER EVALUATOR'!$T$95,1))*1</f>
        <v>#VALUE!</v>
      </c>
      <c r="U46" s="11" t="str">
        <f>LEFT('REPORTS PER EVALUATOR'!$T$107,1)</f>
        <v/>
      </c>
      <c r="V46" s="81" t="e">
        <f>(RIGHT('REPORTS PER EVALUATOR'!$T$107,1))*1</f>
        <v>#VALUE!</v>
      </c>
      <c r="W46" s="11" t="str">
        <f>LEFT('REPORTS PER EVALUATOR'!$T$119,1)</f>
        <v/>
      </c>
      <c r="X46" s="81" t="e">
        <f>(RIGHT('REPORTS PER EVALUATOR'!$T$119,1))*1</f>
        <v>#VALUE!</v>
      </c>
      <c r="Y46" s="11" t="str">
        <f>LEFT('REPORTS PER EVALUATOR'!$T$131,1)</f>
        <v/>
      </c>
      <c r="Z46" s="92" t="e">
        <f>(RIGHT('REPORTS PER EVALUATOR'!$T$131,1))*1</f>
        <v>#VALUE!</v>
      </c>
      <c r="AA46" s="11" t="e">
        <f>LEFT('REPORTS PER EVALUATOR'!#REF!,1)</f>
        <v>#REF!</v>
      </c>
      <c r="AB46" s="92" t="e">
        <f>(RIGHT('REPORTS PER EVALUATOR'!#REF!,1))*1</f>
        <v>#REF!</v>
      </c>
      <c r="AC46" s="11" t="e">
        <f>LEFT('REPORTS PER EVALUATOR'!#REF!,1)</f>
        <v>#REF!</v>
      </c>
      <c r="AD46" s="92" t="e">
        <f>(RIGHT('REPORTS PER EVALUATOR'!#REF!,1))*1</f>
        <v>#REF!</v>
      </c>
      <c r="AE46" s="11" t="e">
        <f>LEFT('REPORTS PER EVALUATOR'!#REF!,1)</f>
        <v>#REF!</v>
      </c>
      <c r="AF46" s="92" t="e">
        <f>(RIGHT('REPORTS PER EVALUATOR'!#REF!,1))*1</f>
        <v>#REF!</v>
      </c>
      <c r="AG46" s="11" t="e">
        <f>LEFT('REPORTS PER EVALUATOR'!#REF!,1)</f>
        <v>#REF!</v>
      </c>
      <c r="AH46" s="92" t="e">
        <f>(RIGHT('REPORTS PER EVALUATOR'!#REF!,1))*1</f>
        <v>#REF!</v>
      </c>
      <c r="AI46" s="11" t="e">
        <f>LEFT('REPORTS PER EVALUATOR'!#REF!,1)</f>
        <v>#REF!</v>
      </c>
      <c r="AJ46" s="92" t="e">
        <f>(RIGHT('REPORTS PER EVALUATOR'!#REF!,1))*1</f>
        <v>#REF!</v>
      </c>
      <c r="AK46" s="11" t="e">
        <f>LEFT('REPORTS PER EVALUATOR'!#REF!,1)</f>
        <v>#REF!</v>
      </c>
      <c r="AL46" s="92" t="e">
        <f>(RIGHT('REPORTS PER EVALUATOR'!#REF!,1))*1</f>
        <v>#REF!</v>
      </c>
      <c r="AM46" s="11" t="e">
        <f>LEFT('REPORTS PER EVALUATOR'!#REF!,1)</f>
        <v>#REF!</v>
      </c>
      <c r="AN46" s="92" t="e">
        <f>(RIGHT('REPORTS PER EVALUATOR'!#REF!,1))*1</f>
        <v>#REF!</v>
      </c>
      <c r="AO46" s="11" t="e">
        <f>LEFT('REPORTS PER EVALUATOR'!#REF!,1)</f>
        <v>#REF!</v>
      </c>
      <c r="AP46" s="92" t="e">
        <f>(RIGHT('REPORTS PER EVALUATOR'!#REF!,1))*1</f>
        <v>#REF!</v>
      </c>
      <c r="AQ46" s="11" t="e">
        <f>LEFT('REPORTS PER EVALUATOR'!#REF!,1)</f>
        <v>#REF!</v>
      </c>
      <c r="AR46" s="92" t="e">
        <f>(RIGHT('REPORTS PER EVALUATOR'!#REF!,1))*1</f>
        <v>#REF!</v>
      </c>
    </row>
    <row r="47" spans="2:44" x14ac:dyDescent="0.2">
      <c r="B47" s="19" t="str">
        <f t="shared" si="1"/>
        <v>G</v>
      </c>
      <c r="C47" s="18" t="str">
        <f t="shared" si="0"/>
        <v>H</v>
      </c>
      <c r="D47" s="18" t="s">
        <v>50</v>
      </c>
      <c r="E47" s="56" t="str">
        <f>LEFT('REPORTS PER EVALUATOR'!$Q$12,1)</f>
        <v>H</v>
      </c>
      <c r="F47" s="72">
        <f>(RIGHT('REPORTS PER EVALUATOR'!$Q$12,1))*1</f>
        <v>3</v>
      </c>
      <c r="G47" s="57" t="str">
        <f>LEFT('REPORTS PER EVALUATOR'!$Q$24,1)</f>
        <v>G</v>
      </c>
      <c r="H47" s="80">
        <f>(RIGHT('REPORTS PER EVALUATOR'!$Q$24,1))*1</f>
        <v>2</v>
      </c>
      <c r="I47" s="57" t="str">
        <f>LEFT('REPORTS PER EVALUATOR'!$Q$36,1)</f>
        <v>1</v>
      </c>
      <c r="J47" s="80">
        <f>(RIGHT('REPORTS PER EVALUATOR'!$Q$36,1))*1</f>
        <v>1</v>
      </c>
      <c r="K47" s="57" t="str">
        <f>LEFT('REPORTS PER EVALUATOR'!$Q$48,1)</f>
        <v>G</v>
      </c>
      <c r="L47" s="80">
        <f>(RIGHT('REPORTS PER EVALUATOR'!$Q$48,1))*1</f>
        <v>4</v>
      </c>
      <c r="M47" s="57" t="str">
        <f>LEFT('REPORTS PER EVALUATOR'!$Q$60,1)</f>
        <v>H</v>
      </c>
      <c r="N47" s="80">
        <f>(RIGHT('REPORTS PER EVALUATOR'!$Q$60,1))*1</f>
        <v>2</v>
      </c>
      <c r="O47" s="57" t="str">
        <f>LEFT('REPORTS PER EVALUATOR'!$Q$72,1)</f>
        <v>H</v>
      </c>
      <c r="P47" s="80">
        <f>(RIGHT('REPORTS PER EVALUATOR'!$Q$72,1))*1</f>
        <v>3</v>
      </c>
      <c r="Q47" s="57" t="str">
        <f>LEFT('REPORTS PER EVALUATOR'!$Q$84,1)</f>
        <v>G</v>
      </c>
      <c r="R47" s="80">
        <f>(RIGHT('REPORTS PER EVALUATOR'!$Q$84,1))*1</f>
        <v>2</v>
      </c>
      <c r="S47" s="57" t="str">
        <f>LEFT('REPORTS PER EVALUATOR'!$Q$96,1)</f>
        <v>H</v>
      </c>
      <c r="T47" s="80">
        <f>(RIGHT('REPORTS PER EVALUATOR'!$Q$96,1))*1</f>
        <v>6</v>
      </c>
      <c r="U47" s="57" t="str">
        <f>LEFT('REPORTS PER EVALUATOR'!$Q$108,1)</f>
        <v>H</v>
      </c>
      <c r="V47" s="80">
        <f>(RIGHT('REPORTS PER EVALUATOR'!$Q$108,1))*1</f>
        <v>4</v>
      </c>
      <c r="W47" s="57" t="str">
        <f>LEFT('REPORTS PER EVALUATOR'!$Q$120,1)</f>
        <v>H</v>
      </c>
      <c r="X47" s="80">
        <f>(RIGHT('REPORTS PER EVALUATOR'!$Q$120,1))*1</f>
        <v>3</v>
      </c>
      <c r="Y47" s="57" t="str">
        <f>LEFT('REPORTS PER EVALUATOR'!$Q$132,1)</f>
        <v>H</v>
      </c>
      <c r="Z47" s="93">
        <f>(RIGHT('REPORTS PER EVALUATOR'!$Q$132,1))*1</f>
        <v>3</v>
      </c>
      <c r="AA47" s="57" t="e">
        <f>LEFT('REPORTS PER EVALUATOR'!#REF!,1)</f>
        <v>#REF!</v>
      </c>
      <c r="AB47" s="93" t="e">
        <f>(RIGHT('REPORTS PER EVALUATOR'!#REF!,1))*1</f>
        <v>#REF!</v>
      </c>
      <c r="AC47" s="57" t="e">
        <f>LEFT('REPORTS PER EVALUATOR'!#REF!,1)</f>
        <v>#REF!</v>
      </c>
      <c r="AD47" s="93" t="e">
        <f>(RIGHT('REPORTS PER EVALUATOR'!#REF!,1))*1</f>
        <v>#REF!</v>
      </c>
      <c r="AE47" s="57" t="e">
        <f>LEFT('REPORTS PER EVALUATOR'!#REF!,1)</f>
        <v>#REF!</v>
      </c>
      <c r="AF47" s="93" t="e">
        <f>(RIGHT('REPORTS PER EVALUATOR'!#REF!,1))*1</f>
        <v>#REF!</v>
      </c>
      <c r="AG47" s="57" t="e">
        <f>LEFT('REPORTS PER EVALUATOR'!#REF!,1)</f>
        <v>#REF!</v>
      </c>
      <c r="AH47" s="93" t="e">
        <f>(RIGHT('REPORTS PER EVALUATOR'!#REF!,1))*1</f>
        <v>#REF!</v>
      </c>
      <c r="AI47" s="57" t="e">
        <f>LEFT('REPORTS PER EVALUATOR'!#REF!,1)</f>
        <v>#REF!</v>
      </c>
      <c r="AJ47" s="93" t="e">
        <f>(RIGHT('REPORTS PER EVALUATOR'!#REF!,1))*1</f>
        <v>#REF!</v>
      </c>
      <c r="AK47" s="57" t="e">
        <f>LEFT('REPORTS PER EVALUATOR'!#REF!,1)</f>
        <v>#REF!</v>
      </c>
      <c r="AL47" s="93" t="e">
        <f>(RIGHT('REPORTS PER EVALUATOR'!#REF!,1))*1</f>
        <v>#REF!</v>
      </c>
      <c r="AM47" s="57" t="e">
        <f>LEFT('REPORTS PER EVALUATOR'!#REF!,1)</f>
        <v>#REF!</v>
      </c>
      <c r="AN47" s="93" t="e">
        <f>(RIGHT('REPORTS PER EVALUATOR'!#REF!,1))*1</f>
        <v>#REF!</v>
      </c>
      <c r="AO47" s="57" t="e">
        <f>LEFT('REPORTS PER EVALUATOR'!#REF!,1)</f>
        <v>#REF!</v>
      </c>
      <c r="AP47" s="93" t="e">
        <f>(RIGHT('REPORTS PER EVALUATOR'!#REF!,1))*1</f>
        <v>#REF!</v>
      </c>
      <c r="AQ47" s="57" t="e">
        <f>LEFT('REPORTS PER EVALUATOR'!#REF!,1)</f>
        <v>#REF!</v>
      </c>
      <c r="AR47" s="93" t="e">
        <f>(RIGHT('REPORTS PER EVALUATOR'!#REF!,1))*1</f>
        <v>#REF!</v>
      </c>
    </row>
    <row r="48" spans="2:44" x14ac:dyDescent="0.2">
      <c r="B48" s="19" t="str">
        <f t="shared" si="1"/>
        <v>G</v>
      </c>
      <c r="C48" s="18" t="str">
        <f t="shared" si="0"/>
        <v>I</v>
      </c>
      <c r="D48" s="18" t="s">
        <v>51</v>
      </c>
      <c r="E48" s="26" t="str">
        <f>LEFT('REPORTS PER EVALUATOR'!$R$12,1)</f>
        <v>I</v>
      </c>
      <c r="F48" s="73">
        <f>(RIGHT('REPORTS PER EVALUATOR'!$R$12,1))*1</f>
        <v>3</v>
      </c>
      <c r="G48" s="11" t="str">
        <f>LEFT('REPORTS PER EVALUATOR'!$R$24,1)</f>
        <v>G</v>
      </c>
      <c r="H48" s="81">
        <f>(RIGHT('REPORTS PER EVALUATOR'!$R$24,1))*1</f>
        <v>2</v>
      </c>
      <c r="I48" s="11" t="str">
        <f>LEFT('REPORTS PER EVALUATOR'!$R$36,1)</f>
        <v>I</v>
      </c>
      <c r="J48" s="81">
        <f>(RIGHT('REPORTS PER EVALUATOR'!$R$36,1))*1</f>
        <v>4</v>
      </c>
      <c r="K48" s="11" t="str">
        <f>LEFT('REPORTS PER EVALUATOR'!$R$48,1)</f>
        <v>G</v>
      </c>
      <c r="L48" s="81">
        <f>(RIGHT('REPORTS PER EVALUATOR'!$R$48,1))*1</f>
        <v>3</v>
      </c>
      <c r="M48" s="11" t="str">
        <f>LEFT('REPORTS PER EVALUATOR'!$R$60,1)</f>
        <v>I</v>
      </c>
      <c r="N48" s="81">
        <f>(RIGHT('REPORTS PER EVALUATOR'!$R$60,1))*1</f>
        <v>2</v>
      </c>
      <c r="O48" s="11" t="str">
        <f>LEFT('REPORTS PER EVALUATOR'!$R$72,1)</f>
        <v>I</v>
      </c>
      <c r="P48" s="81">
        <f>(RIGHT('REPORTS PER EVALUATOR'!$R$72,1))*1</f>
        <v>2</v>
      </c>
      <c r="Q48" s="11" t="str">
        <f>LEFT('REPORTS PER EVALUATOR'!$R$84,1)</f>
        <v>G</v>
      </c>
      <c r="R48" s="81">
        <f>(RIGHT('REPORTS PER EVALUATOR'!$R$84,1))*1</f>
        <v>2</v>
      </c>
      <c r="S48" s="11" t="str">
        <f>LEFT('REPORTS PER EVALUATOR'!$R$96,1)</f>
        <v>I</v>
      </c>
      <c r="T48" s="81">
        <f>(RIGHT('REPORTS PER EVALUATOR'!$R$96,1))*1</f>
        <v>6</v>
      </c>
      <c r="U48" s="11" t="str">
        <f>LEFT('REPORTS PER EVALUATOR'!$R$108,1)</f>
        <v>G</v>
      </c>
      <c r="V48" s="81">
        <f>(RIGHT('REPORTS PER EVALUATOR'!$R$108,1))*1</f>
        <v>2</v>
      </c>
      <c r="W48" s="11" t="str">
        <f>LEFT('REPORTS PER EVALUATOR'!$R$120,1)</f>
        <v>I</v>
      </c>
      <c r="X48" s="81">
        <f>(RIGHT('REPORTS PER EVALUATOR'!$R$120,1))*1</f>
        <v>2</v>
      </c>
      <c r="Y48" s="11" t="str">
        <f>LEFT('REPORTS PER EVALUATOR'!$R$132,1)</f>
        <v>I</v>
      </c>
      <c r="Z48" s="92">
        <f>(RIGHT('REPORTS PER EVALUATOR'!$R$132,1))*1</f>
        <v>3</v>
      </c>
      <c r="AA48" s="11" t="e">
        <f>LEFT('REPORTS PER EVALUATOR'!#REF!,1)</f>
        <v>#REF!</v>
      </c>
      <c r="AB48" s="92" t="e">
        <f>(RIGHT('REPORTS PER EVALUATOR'!#REF!,1))*1</f>
        <v>#REF!</v>
      </c>
      <c r="AC48" s="11" t="e">
        <f>LEFT('REPORTS PER EVALUATOR'!#REF!,1)</f>
        <v>#REF!</v>
      </c>
      <c r="AD48" s="92" t="e">
        <f>(RIGHT('REPORTS PER EVALUATOR'!#REF!,1))*1</f>
        <v>#REF!</v>
      </c>
      <c r="AE48" s="11" t="e">
        <f>LEFT('REPORTS PER EVALUATOR'!#REF!,1)</f>
        <v>#REF!</v>
      </c>
      <c r="AF48" s="92" t="e">
        <f>(RIGHT('REPORTS PER EVALUATOR'!#REF!,1))*1</f>
        <v>#REF!</v>
      </c>
      <c r="AG48" s="11" t="e">
        <f>LEFT('REPORTS PER EVALUATOR'!#REF!,1)</f>
        <v>#REF!</v>
      </c>
      <c r="AH48" s="92" t="e">
        <f>(RIGHT('REPORTS PER EVALUATOR'!#REF!,1))*1</f>
        <v>#REF!</v>
      </c>
      <c r="AI48" s="11" t="e">
        <f>LEFT('REPORTS PER EVALUATOR'!#REF!,1)</f>
        <v>#REF!</v>
      </c>
      <c r="AJ48" s="92" t="e">
        <f>(RIGHT('REPORTS PER EVALUATOR'!#REF!,1))*1</f>
        <v>#REF!</v>
      </c>
      <c r="AK48" s="11" t="e">
        <f>LEFT('REPORTS PER EVALUATOR'!#REF!,1)</f>
        <v>#REF!</v>
      </c>
      <c r="AL48" s="92" t="e">
        <f>(RIGHT('REPORTS PER EVALUATOR'!#REF!,1))*1</f>
        <v>#REF!</v>
      </c>
      <c r="AM48" s="11" t="e">
        <f>LEFT('REPORTS PER EVALUATOR'!#REF!,1)</f>
        <v>#REF!</v>
      </c>
      <c r="AN48" s="92" t="e">
        <f>(RIGHT('REPORTS PER EVALUATOR'!#REF!,1))*1</f>
        <v>#REF!</v>
      </c>
      <c r="AO48" s="11" t="e">
        <f>LEFT('REPORTS PER EVALUATOR'!#REF!,1)</f>
        <v>#REF!</v>
      </c>
      <c r="AP48" s="92" t="e">
        <f>(RIGHT('REPORTS PER EVALUATOR'!#REF!,1))*1</f>
        <v>#REF!</v>
      </c>
      <c r="AQ48" s="11" t="e">
        <f>LEFT('REPORTS PER EVALUATOR'!#REF!,1)</f>
        <v>#REF!</v>
      </c>
      <c r="AR48" s="92" t="e">
        <f>(RIGHT('REPORTS PER EVALUATOR'!#REF!,1))*1</f>
        <v>#REF!</v>
      </c>
    </row>
    <row r="49" spans="1:44" x14ac:dyDescent="0.2">
      <c r="B49" s="19" t="str">
        <f t="shared" si="1"/>
        <v>G</v>
      </c>
      <c r="C49" s="18" t="str">
        <f t="shared" si="0"/>
        <v>L</v>
      </c>
      <c r="D49" s="18" t="s">
        <v>52</v>
      </c>
      <c r="E49" s="26" t="str">
        <f>LEFT('REPORTS PER EVALUATOR'!$S$12,1)</f>
        <v>G</v>
      </c>
      <c r="F49" s="73">
        <f>(RIGHT('REPORTS PER EVALUATOR'!$S$12,1))*1</f>
        <v>2</v>
      </c>
      <c r="G49" s="11" t="str">
        <f>LEFT('REPORTS PER EVALUATOR'!$S$24,1)</f>
        <v>1</v>
      </c>
      <c r="H49" s="81">
        <f>(RIGHT('REPORTS PER EVALUATOR'!$S$24,1))*1</f>
        <v>1</v>
      </c>
      <c r="I49" s="11" t="str">
        <f>LEFT('REPORTS PER EVALUATOR'!$S$36,1)</f>
        <v>G</v>
      </c>
      <c r="J49" s="81">
        <f>(RIGHT('REPORTS PER EVALUATOR'!$S$36,1))*1</f>
        <v>2</v>
      </c>
      <c r="K49" s="11" t="str">
        <f>LEFT('REPORTS PER EVALUATOR'!$S$48,1)</f>
        <v>G</v>
      </c>
      <c r="L49" s="81">
        <f>(RIGHT('REPORTS PER EVALUATOR'!$S$48,1))*1</f>
        <v>2</v>
      </c>
      <c r="M49" s="11" t="str">
        <f>LEFT('REPORTS PER EVALUATOR'!$S$60,1)</f>
        <v>1</v>
      </c>
      <c r="N49" s="81">
        <f>(RIGHT('REPORTS PER EVALUATOR'!$S$60,1))*1</f>
        <v>1</v>
      </c>
      <c r="O49" s="11" t="str">
        <f>LEFT('REPORTS PER EVALUATOR'!$S$72,1)</f>
        <v>L</v>
      </c>
      <c r="P49" s="81">
        <f>(RIGHT('REPORTS PER EVALUATOR'!$S$72,1))*1</f>
        <v>3</v>
      </c>
      <c r="Q49" s="11" t="str">
        <f>LEFT('REPORTS PER EVALUATOR'!$S$84,1)</f>
        <v>G</v>
      </c>
      <c r="R49" s="81">
        <f>(RIGHT('REPORTS PER EVALUATOR'!$S$84,1))*1</f>
        <v>2</v>
      </c>
      <c r="S49" s="11" t="str">
        <f>LEFT('REPORTS PER EVALUATOR'!$S$96,1)</f>
        <v>L</v>
      </c>
      <c r="T49" s="81">
        <f>(RIGHT('REPORTS PER EVALUATOR'!$S$96,1))*1</f>
        <v>6</v>
      </c>
      <c r="U49" s="11" t="str">
        <f>LEFT('REPORTS PER EVALUATOR'!$S$108,1)</f>
        <v>1</v>
      </c>
      <c r="V49" s="81">
        <f>(RIGHT('REPORTS PER EVALUATOR'!$S$108,1))*1</f>
        <v>1</v>
      </c>
      <c r="W49" s="11" t="str">
        <f>LEFT('REPORTS PER EVALUATOR'!$S$120,1)</f>
        <v>G</v>
      </c>
      <c r="X49" s="81">
        <f>(RIGHT('REPORTS PER EVALUATOR'!$S$120,1))*1</f>
        <v>2</v>
      </c>
      <c r="Y49" s="11" t="str">
        <f>LEFT('REPORTS PER EVALUATOR'!$S$132,1)</f>
        <v>L</v>
      </c>
      <c r="Z49" s="92">
        <f>(RIGHT('REPORTS PER EVALUATOR'!$S$132,1))*1</f>
        <v>2</v>
      </c>
      <c r="AA49" s="11" t="e">
        <f>LEFT('REPORTS PER EVALUATOR'!#REF!,1)</f>
        <v>#REF!</v>
      </c>
      <c r="AB49" s="92" t="e">
        <f>(RIGHT('REPORTS PER EVALUATOR'!#REF!,1))*1</f>
        <v>#REF!</v>
      </c>
      <c r="AC49" s="11" t="e">
        <f>LEFT('REPORTS PER EVALUATOR'!#REF!,1)</f>
        <v>#REF!</v>
      </c>
      <c r="AD49" s="92" t="e">
        <f>(RIGHT('REPORTS PER EVALUATOR'!#REF!,1))*1</f>
        <v>#REF!</v>
      </c>
      <c r="AE49" s="11" t="e">
        <f>LEFT('REPORTS PER EVALUATOR'!#REF!,1)</f>
        <v>#REF!</v>
      </c>
      <c r="AF49" s="92" t="e">
        <f>(RIGHT('REPORTS PER EVALUATOR'!#REF!,1))*1</f>
        <v>#REF!</v>
      </c>
      <c r="AG49" s="11" t="e">
        <f>LEFT('REPORTS PER EVALUATOR'!#REF!,1)</f>
        <v>#REF!</v>
      </c>
      <c r="AH49" s="92" t="e">
        <f>(RIGHT('REPORTS PER EVALUATOR'!#REF!,1))*1</f>
        <v>#REF!</v>
      </c>
      <c r="AI49" s="11" t="e">
        <f>LEFT('REPORTS PER EVALUATOR'!#REF!,1)</f>
        <v>#REF!</v>
      </c>
      <c r="AJ49" s="92" t="e">
        <f>(RIGHT('REPORTS PER EVALUATOR'!#REF!,1))*1</f>
        <v>#REF!</v>
      </c>
      <c r="AK49" s="11" t="e">
        <f>LEFT('REPORTS PER EVALUATOR'!#REF!,1)</f>
        <v>#REF!</v>
      </c>
      <c r="AL49" s="92" t="e">
        <f>(RIGHT('REPORTS PER EVALUATOR'!#REF!,1))*1</f>
        <v>#REF!</v>
      </c>
      <c r="AM49" s="11" t="e">
        <f>LEFT('REPORTS PER EVALUATOR'!#REF!,1)</f>
        <v>#REF!</v>
      </c>
      <c r="AN49" s="92" t="e">
        <f>(RIGHT('REPORTS PER EVALUATOR'!#REF!,1))*1</f>
        <v>#REF!</v>
      </c>
      <c r="AO49" s="11" t="e">
        <f>LEFT('REPORTS PER EVALUATOR'!#REF!,1)</f>
        <v>#REF!</v>
      </c>
      <c r="AP49" s="92" t="e">
        <f>(RIGHT('REPORTS PER EVALUATOR'!#REF!,1))*1</f>
        <v>#REF!</v>
      </c>
      <c r="AQ49" s="11" t="e">
        <f>LEFT('REPORTS PER EVALUATOR'!#REF!,1)</f>
        <v>#REF!</v>
      </c>
      <c r="AR49" s="92" t="e">
        <f>(RIGHT('REPORTS PER EVALUATOR'!#REF!,1))*1</f>
        <v>#REF!</v>
      </c>
    </row>
    <row r="50" spans="1:44" x14ac:dyDescent="0.2">
      <c r="B50" s="19" t="str">
        <f t="shared" si="1"/>
        <v>G</v>
      </c>
      <c r="C50" s="18" t="str">
        <f t="shared" si="0"/>
        <v>M</v>
      </c>
      <c r="D50" s="18" t="s">
        <v>163</v>
      </c>
      <c r="E50" s="26" t="str">
        <f>LEFT('REPORTS PER EVALUATOR'!$T$12,1)</f>
        <v/>
      </c>
      <c r="F50" s="73" t="e">
        <f>(RIGHT('REPORTS PER EVALUATOR'!$T$12,1))*1</f>
        <v>#VALUE!</v>
      </c>
      <c r="G50" s="11" t="str">
        <f>LEFT('REPORTS PER EVALUATOR'!$T$24,1)</f>
        <v/>
      </c>
      <c r="H50" s="81" t="e">
        <f>(RIGHT('REPORTS PER EVALUATOR'!$T$24,1))*1</f>
        <v>#VALUE!</v>
      </c>
      <c r="I50" s="11" t="str">
        <f>LEFT('REPORTS PER EVALUATOR'!$T$36,1)</f>
        <v/>
      </c>
      <c r="J50" s="81" t="e">
        <f>(RIGHT('REPORTS PER EVALUATOR'!$T$36,1))*1</f>
        <v>#VALUE!</v>
      </c>
      <c r="K50" s="11" t="str">
        <f>LEFT('REPORTS PER EVALUATOR'!$T$48,1)</f>
        <v/>
      </c>
      <c r="L50" s="81" t="e">
        <f>(RIGHT('REPORTS PER EVALUATOR'!$T$48,1))*1</f>
        <v>#VALUE!</v>
      </c>
      <c r="M50" s="11" t="str">
        <f>LEFT('REPORTS PER EVALUATOR'!$T$60,1)</f>
        <v/>
      </c>
      <c r="N50" s="81" t="e">
        <f>(RIGHT('REPORTS PER EVALUATOR'!$T$60,1))*1</f>
        <v>#VALUE!</v>
      </c>
      <c r="O50" s="11" t="str">
        <f>LEFT('REPORTS PER EVALUATOR'!$T$72,1)</f>
        <v/>
      </c>
      <c r="P50" s="81" t="e">
        <f>(RIGHT('REPORTS PER EVALUATOR'!$T$72,1))*1</f>
        <v>#VALUE!</v>
      </c>
      <c r="Q50" s="11" t="str">
        <f>LEFT('REPORTS PER EVALUATOR'!$T$84,1)</f>
        <v/>
      </c>
      <c r="R50" s="81" t="e">
        <f>(RIGHT('REPORTS PER EVALUATOR'!$T$84,1))*1</f>
        <v>#VALUE!</v>
      </c>
      <c r="S50" s="11" t="str">
        <f>LEFT('REPORTS PER EVALUATOR'!$T$96,1)</f>
        <v/>
      </c>
      <c r="T50" s="81" t="e">
        <f>(RIGHT('REPORTS PER EVALUATOR'!$T$96,1))*1</f>
        <v>#VALUE!</v>
      </c>
      <c r="U50" s="11" t="str">
        <f>LEFT('REPORTS PER EVALUATOR'!$T$108,1)</f>
        <v/>
      </c>
      <c r="V50" s="81" t="e">
        <f>(RIGHT('REPORTS PER EVALUATOR'!$T$108,1))*1</f>
        <v>#VALUE!</v>
      </c>
      <c r="W50" s="11" t="str">
        <f>LEFT('REPORTS PER EVALUATOR'!$T$120,1)</f>
        <v/>
      </c>
      <c r="X50" s="81" t="e">
        <f>(RIGHT('REPORTS PER EVALUATOR'!$T$120,1))*1</f>
        <v>#VALUE!</v>
      </c>
      <c r="Y50" s="11" t="str">
        <f>LEFT('REPORTS PER EVALUATOR'!$T$132,1)</f>
        <v/>
      </c>
      <c r="Z50" s="92" t="e">
        <f>(RIGHT('REPORTS PER EVALUATOR'!$T$132,1))*1</f>
        <v>#VALUE!</v>
      </c>
      <c r="AA50" s="11" t="e">
        <f>LEFT('REPORTS PER EVALUATOR'!#REF!,1)</f>
        <v>#REF!</v>
      </c>
      <c r="AB50" s="92" t="e">
        <f>(RIGHT('REPORTS PER EVALUATOR'!#REF!,1))*1</f>
        <v>#REF!</v>
      </c>
      <c r="AC50" s="11" t="e">
        <f>LEFT('REPORTS PER EVALUATOR'!#REF!,1)</f>
        <v>#REF!</v>
      </c>
      <c r="AD50" s="92" t="e">
        <f>(RIGHT('REPORTS PER EVALUATOR'!#REF!,1))*1</f>
        <v>#REF!</v>
      </c>
      <c r="AE50" s="11" t="e">
        <f>LEFT('REPORTS PER EVALUATOR'!#REF!,1)</f>
        <v>#REF!</v>
      </c>
      <c r="AF50" s="92" t="e">
        <f>(RIGHT('REPORTS PER EVALUATOR'!#REF!,1))*1</f>
        <v>#REF!</v>
      </c>
      <c r="AG50" s="11" t="e">
        <f>LEFT('REPORTS PER EVALUATOR'!#REF!,1)</f>
        <v>#REF!</v>
      </c>
      <c r="AH50" s="92" t="e">
        <f>(RIGHT('REPORTS PER EVALUATOR'!#REF!,1))*1</f>
        <v>#REF!</v>
      </c>
      <c r="AI50" s="11" t="e">
        <f>LEFT('REPORTS PER EVALUATOR'!#REF!,1)</f>
        <v>#REF!</v>
      </c>
      <c r="AJ50" s="92" t="e">
        <f>(RIGHT('REPORTS PER EVALUATOR'!#REF!,1))*1</f>
        <v>#REF!</v>
      </c>
      <c r="AK50" s="11" t="e">
        <f>LEFT('REPORTS PER EVALUATOR'!#REF!,1)</f>
        <v>#REF!</v>
      </c>
      <c r="AL50" s="92" t="e">
        <f>(RIGHT('REPORTS PER EVALUATOR'!#REF!,1))*1</f>
        <v>#REF!</v>
      </c>
      <c r="AM50" s="11" t="e">
        <f>LEFT('REPORTS PER EVALUATOR'!#REF!,1)</f>
        <v>#REF!</v>
      </c>
      <c r="AN50" s="92" t="e">
        <f>(RIGHT('REPORTS PER EVALUATOR'!#REF!,1))*1</f>
        <v>#REF!</v>
      </c>
      <c r="AO50" s="11" t="e">
        <f>LEFT('REPORTS PER EVALUATOR'!#REF!,1)</f>
        <v>#REF!</v>
      </c>
      <c r="AP50" s="92" t="e">
        <f>(RIGHT('REPORTS PER EVALUATOR'!#REF!,1))*1</f>
        <v>#REF!</v>
      </c>
      <c r="AQ50" s="11" t="e">
        <f>LEFT('REPORTS PER EVALUATOR'!#REF!,1)</f>
        <v>#REF!</v>
      </c>
      <c r="AR50" s="92" t="e">
        <f>(RIGHT('REPORTS PER EVALUATOR'!#REF!,1))*1</f>
        <v>#REF!</v>
      </c>
    </row>
    <row r="51" spans="1:44" x14ac:dyDescent="0.2">
      <c r="B51" s="19" t="str">
        <f t="shared" si="1"/>
        <v>H</v>
      </c>
      <c r="C51" s="18" t="str">
        <f t="shared" si="0"/>
        <v>I</v>
      </c>
      <c r="D51" s="18" t="s">
        <v>53</v>
      </c>
      <c r="E51" s="56" t="str">
        <f>LEFT('REPORTS PER EVALUATOR'!$R$13,1)</f>
        <v>H</v>
      </c>
      <c r="F51" s="72">
        <f>(RIGHT('REPORTS PER EVALUATOR'!$R$13,1))*1</f>
        <v>2</v>
      </c>
      <c r="G51" s="57" t="str">
        <f>LEFT('REPORTS PER EVALUATOR'!$R$25,1)</f>
        <v>1</v>
      </c>
      <c r="H51" s="80">
        <f>(RIGHT('REPORTS PER EVALUATOR'!$R$25,1))*1</f>
        <v>1</v>
      </c>
      <c r="I51" s="57" t="str">
        <f>LEFT('REPORTS PER EVALUATOR'!$R$37,1)</f>
        <v>I</v>
      </c>
      <c r="J51" s="80">
        <f>(RIGHT('REPORTS PER EVALUATOR'!$R$37,1))*1</f>
        <v>4</v>
      </c>
      <c r="K51" s="57" t="str">
        <f>LEFT('REPORTS PER EVALUATOR'!$R$49,1)</f>
        <v>I</v>
      </c>
      <c r="L51" s="80">
        <f>(RIGHT('REPORTS PER EVALUATOR'!$R$49,1))*1</f>
        <v>2</v>
      </c>
      <c r="M51" s="57" t="str">
        <f>LEFT('REPORTS PER EVALUATOR'!$R$61,1)</f>
        <v>I</v>
      </c>
      <c r="N51" s="80">
        <f>(RIGHT('REPORTS PER EVALUATOR'!$R$61,1))*1</f>
        <v>2</v>
      </c>
      <c r="O51" s="57" t="str">
        <f>LEFT('REPORTS PER EVALUATOR'!$R$73,1)</f>
        <v>H</v>
      </c>
      <c r="P51" s="80">
        <f>(RIGHT('REPORTS PER EVALUATOR'!$R$73,1))*1</f>
        <v>2</v>
      </c>
      <c r="Q51" s="57" t="str">
        <f>LEFT('REPORTS PER EVALUATOR'!$R$85,1)</f>
        <v>1</v>
      </c>
      <c r="R51" s="80">
        <f>(RIGHT('REPORTS PER EVALUATOR'!$R$85,1))*1</f>
        <v>1</v>
      </c>
      <c r="S51" s="57" t="str">
        <f>LEFT('REPORTS PER EVALUATOR'!$R$97,1)</f>
        <v>H</v>
      </c>
      <c r="T51" s="80">
        <f>(RIGHT('REPORTS PER EVALUATOR'!$R$97,1))*1</f>
        <v>2</v>
      </c>
      <c r="U51" s="57" t="str">
        <f>LEFT('REPORTS PER EVALUATOR'!$R$109,1)</f>
        <v>H</v>
      </c>
      <c r="V51" s="80">
        <f>(RIGHT('REPORTS PER EVALUATOR'!$R$109,1))*1</f>
        <v>4</v>
      </c>
      <c r="W51" s="57" t="str">
        <f>LEFT('REPORTS PER EVALUATOR'!$R$121,1)</f>
        <v>H</v>
      </c>
      <c r="X51" s="80">
        <f>(RIGHT('REPORTS PER EVALUATOR'!$R$121,1))*1</f>
        <v>2</v>
      </c>
      <c r="Y51" s="57" t="str">
        <f>LEFT('REPORTS PER EVALUATOR'!$R$133,1)</f>
        <v>1</v>
      </c>
      <c r="Z51" s="93">
        <f>(RIGHT('REPORTS PER EVALUATOR'!$R$133,1))*1</f>
        <v>1</v>
      </c>
      <c r="AA51" s="57" t="e">
        <f>LEFT('REPORTS PER EVALUATOR'!#REF!,1)</f>
        <v>#REF!</v>
      </c>
      <c r="AB51" s="93" t="e">
        <f>(RIGHT('REPORTS PER EVALUATOR'!#REF!,1))*1</f>
        <v>#REF!</v>
      </c>
      <c r="AC51" s="57" t="e">
        <f>LEFT('REPORTS PER EVALUATOR'!#REF!,1)</f>
        <v>#REF!</v>
      </c>
      <c r="AD51" s="93" t="e">
        <f>(RIGHT('REPORTS PER EVALUATOR'!#REF!,1))*1</f>
        <v>#REF!</v>
      </c>
      <c r="AE51" s="57" t="e">
        <f>LEFT('REPORTS PER EVALUATOR'!#REF!,1)</f>
        <v>#REF!</v>
      </c>
      <c r="AF51" s="93" t="e">
        <f>(RIGHT('REPORTS PER EVALUATOR'!#REF!,1))*1</f>
        <v>#REF!</v>
      </c>
      <c r="AG51" s="57" t="e">
        <f>LEFT('REPORTS PER EVALUATOR'!#REF!,1)</f>
        <v>#REF!</v>
      </c>
      <c r="AH51" s="93" t="e">
        <f>(RIGHT('REPORTS PER EVALUATOR'!#REF!,1))*1</f>
        <v>#REF!</v>
      </c>
      <c r="AI51" s="57" t="e">
        <f>LEFT('REPORTS PER EVALUATOR'!#REF!,1)</f>
        <v>#REF!</v>
      </c>
      <c r="AJ51" s="93" t="e">
        <f>(RIGHT('REPORTS PER EVALUATOR'!#REF!,1))*1</f>
        <v>#REF!</v>
      </c>
      <c r="AK51" s="57" t="e">
        <f>LEFT('REPORTS PER EVALUATOR'!#REF!,1)</f>
        <v>#REF!</v>
      </c>
      <c r="AL51" s="93" t="e">
        <f>(RIGHT('REPORTS PER EVALUATOR'!#REF!,1))*1</f>
        <v>#REF!</v>
      </c>
      <c r="AM51" s="57" t="e">
        <f>LEFT('REPORTS PER EVALUATOR'!#REF!,1)</f>
        <v>#REF!</v>
      </c>
      <c r="AN51" s="93" t="e">
        <f>(RIGHT('REPORTS PER EVALUATOR'!#REF!,1))*1</f>
        <v>#REF!</v>
      </c>
      <c r="AO51" s="57" t="e">
        <f>LEFT('REPORTS PER EVALUATOR'!#REF!,1)</f>
        <v>#REF!</v>
      </c>
      <c r="AP51" s="93" t="e">
        <f>(RIGHT('REPORTS PER EVALUATOR'!#REF!,1))*1</f>
        <v>#REF!</v>
      </c>
      <c r="AQ51" s="57" t="e">
        <f>LEFT('REPORTS PER EVALUATOR'!#REF!,1)</f>
        <v>#REF!</v>
      </c>
      <c r="AR51" s="93" t="e">
        <f>(RIGHT('REPORTS PER EVALUATOR'!#REF!,1))*1</f>
        <v>#REF!</v>
      </c>
    </row>
    <row r="52" spans="1:44" x14ac:dyDescent="0.2">
      <c r="B52" s="19" t="str">
        <f t="shared" si="1"/>
        <v>H</v>
      </c>
      <c r="C52" s="18" t="str">
        <f t="shared" si="0"/>
        <v>L</v>
      </c>
      <c r="D52" s="18" t="s">
        <v>19</v>
      </c>
      <c r="E52" s="26" t="str">
        <f>LEFT('REPORTS PER EVALUATOR'!$S$13,1)</f>
        <v>L</v>
      </c>
      <c r="F52" s="73">
        <f>(RIGHT('REPORTS PER EVALUATOR'!$S$13,1))*1</f>
        <v>4</v>
      </c>
      <c r="G52" s="11" t="str">
        <f>LEFT('REPORTS PER EVALUATOR'!$S$25,1)</f>
        <v>L</v>
      </c>
      <c r="H52" s="81">
        <f>(RIGHT('REPORTS PER EVALUATOR'!$S$25,1))*1</f>
        <v>2</v>
      </c>
      <c r="I52" s="11" t="str">
        <f>LEFT('REPORTS PER EVALUATOR'!$S$37,1)</f>
        <v>H</v>
      </c>
      <c r="J52" s="81">
        <f>(RIGHT('REPORTS PER EVALUATOR'!$S$37,1))*1</f>
        <v>2</v>
      </c>
      <c r="K52" s="11" t="str">
        <f>LEFT('REPORTS PER EVALUATOR'!$S$49,1)</f>
        <v>L</v>
      </c>
      <c r="L52" s="81">
        <f>(RIGHT('REPORTS PER EVALUATOR'!$S$49,1))*1</f>
        <v>3</v>
      </c>
      <c r="M52" s="11" t="str">
        <f>LEFT('REPORTS PER EVALUATOR'!$S$61,1)</f>
        <v>H</v>
      </c>
      <c r="N52" s="81">
        <f>(RIGHT('REPORTS PER EVALUATOR'!$S$61,1))*1</f>
        <v>2</v>
      </c>
      <c r="O52" s="11" t="str">
        <f>LEFT('REPORTS PER EVALUATOR'!$S$73,1)</f>
        <v>H</v>
      </c>
      <c r="P52" s="81">
        <f>(RIGHT('REPORTS PER EVALUATOR'!$S$73,1))*1</f>
        <v>2</v>
      </c>
      <c r="Q52" s="11" t="str">
        <f>LEFT('REPORTS PER EVALUATOR'!$S$85,1)</f>
        <v>1</v>
      </c>
      <c r="R52" s="81">
        <f>(RIGHT('REPORTS PER EVALUATOR'!$S$85,1))*1</f>
        <v>1</v>
      </c>
      <c r="S52" s="11" t="str">
        <f>LEFT('REPORTS PER EVALUATOR'!$S$97,1)</f>
        <v>H</v>
      </c>
      <c r="T52" s="81">
        <f>(RIGHT('REPORTS PER EVALUATOR'!$S$97,1))*1</f>
        <v>3</v>
      </c>
      <c r="U52" s="11" t="str">
        <f>LEFT('REPORTS PER EVALUATOR'!$S$109,1)</f>
        <v>H</v>
      </c>
      <c r="V52" s="81">
        <f>(RIGHT('REPORTS PER EVALUATOR'!$S$109,1))*1</f>
        <v>3</v>
      </c>
      <c r="W52" s="11" t="str">
        <f>LEFT('REPORTS PER EVALUATOR'!$S$121,1)</f>
        <v>H</v>
      </c>
      <c r="X52" s="81">
        <f>(RIGHT('REPORTS PER EVALUATOR'!$S$121,1))*1</f>
        <v>4</v>
      </c>
      <c r="Y52" s="11" t="str">
        <f>LEFT('REPORTS PER EVALUATOR'!$S$133,1)</f>
        <v>H</v>
      </c>
      <c r="Z52" s="92">
        <f>(RIGHT('REPORTS PER EVALUATOR'!$S$133,1))*1</f>
        <v>3</v>
      </c>
      <c r="AA52" s="11" t="e">
        <f>LEFT('REPORTS PER EVALUATOR'!#REF!,1)</f>
        <v>#REF!</v>
      </c>
      <c r="AB52" s="92" t="e">
        <f>(RIGHT('REPORTS PER EVALUATOR'!#REF!,1))*1</f>
        <v>#REF!</v>
      </c>
      <c r="AC52" s="11" t="e">
        <f>LEFT('REPORTS PER EVALUATOR'!#REF!,1)</f>
        <v>#REF!</v>
      </c>
      <c r="AD52" s="92" t="e">
        <f>(RIGHT('REPORTS PER EVALUATOR'!#REF!,1))*1</f>
        <v>#REF!</v>
      </c>
      <c r="AE52" s="11" t="e">
        <f>LEFT('REPORTS PER EVALUATOR'!#REF!,1)</f>
        <v>#REF!</v>
      </c>
      <c r="AF52" s="92" t="e">
        <f>(RIGHT('REPORTS PER EVALUATOR'!#REF!,1))*1</f>
        <v>#REF!</v>
      </c>
      <c r="AG52" s="11" t="e">
        <f>LEFT('REPORTS PER EVALUATOR'!#REF!,1)</f>
        <v>#REF!</v>
      </c>
      <c r="AH52" s="92" t="e">
        <f>(RIGHT('REPORTS PER EVALUATOR'!#REF!,1))*1</f>
        <v>#REF!</v>
      </c>
      <c r="AI52" s="11" t="e">
        <f>LEFT('REPORTS PER EVALUATOR'!#REF!,1)</f>
        <v>#REF!</v>
      </c>
      <c r="AJ52" s="92" t="e">
        <f>(RIGHT('REPORTS PER EVALUATOR'!#REF!,1))*1</f>
        <v>#REF!</v>
      </c>
      <c r="AK52" s="11" t="e">
        <f>LEFT('REPORTS PER EVALUATOR'!#REF!,1)</f>
        <v>#REF!</v>
      </c>
      <c r="AL52" s="92" t="e">
        <f>(RIGHT('REPORTS PER EVALUATOR'!#REF!,1))*1</f>
        <v>#REF!</v>
      </c>
      <c r="AM52" s="11" t="e">
        <f>LEFT('REPORTS PER EVALUATOR'!#REF!,1)</f>
        <v>#REF!</v>
      </c>
      <c r="AN52" s="92" t="e">
        <f>(RIGHT('REPORTS PER EVALUATOR'!#REF!,1))*1</f>
        <v>#REF!</v>
      </c>
      <c r="AO52" s="11" t="e">
        <f>LEFT('REPORTS PER EVALUATOR'!#REF!,1)</f>
        <v>#REF!</v>
      </c>
      <c r="AP52" s="92" t="e">
        <f>(RIGHT('REPORTS PER EVALUATOR'!#REF!,1))*1</f>
        <v>#REF!</v>
      </c>
      <c r="AQ52" s="11" t="e">
        <f>LEFT('REPORTS PER EVALUATOR'!#REF!,1)</f>
        <v>#REF!</v>
      </c>
      <c r="AR52" s="92" t="e">
        <f>(RIGHT('REPORTS PER EVALUATOR'!#REF!,1))*1</f>
        <v>#REF!</v>
      </c>
    </row>
    <row r="53" spans="1:44" x14ac:dyDescent="0.2">
      <c r="B53" s="19" t="str">
        <f t="shared" si="1"/>
        <v>H</v>
      </c>
      <c r="C53" s="18" t="str">
        <f t="shared" si="0"/>
        <v>M</v>
      </c>
      <c r="D53" s="18" t="s">
        <v>164</v>
      </c>
      <c r="E53" s="26" t="str">
        <f>LEFT('REPORTS PER EVALUATOR'!$T$13,1)</f>
        <v/>
      </c>
      <c r="F53" s="73" t="e">
        <f>(RIGHT('REPORTS PER EVALUATOR'!$T$13,1))*1</f>
        <v>#VALUE!</v>
      </c>
      <c r="G53" s="11" t="str">
        <f>LEFT('REPORTS PER EVALUATOR'!$T$25,1)</f>
        <v/>
      </c>
      <c r="H53" s="81" t="e">
        <f>(RIGHT('REPORTS PER EVALUATOR'!$T$25,1))*1</f>
        <v>#VALUE!</v>
      </c>
      <c r="I53" s="11" t="str">
        <f>LEFT('REPORTS PER EVALUATOR'!$T$37,1)</f>
        <v/>
      </c>
      <c r="J53" s="81" t="e">
        <f>(RIGHT('REPORTS PER EVALUATOR'!$T$37,1))*1</f>
        <v>#VALUE!</v>
      </c>
      <c r="K53" s="11" t="str">
        <f>LEFT('REPORTS PER EVALUATOR'!$T$49,1)</f>
        <v/>
      </c>
      <c r="L53" s="81" t="e">
        <f>(RIGHT('REPORTS PER EVALUATOR'!$T$49,1))*1</f>
        <v>#VALUE!</v>
      </c>
      <c r="M53" s="11" t="str">
        <f>LEFT('REPORTS PER EVALUATOR'!$T$61,1)</f>
        <v/>
      </c>
      <c r="N53" s="81" t="e">
        <f>(RIGHT('REPORTS PER EVALUATOR'!$T$61,1))*1</f>
        <v>#VALUE!</v>
      </c>
      <c r="O53" s="11" t="str">
        <f>LEFT('REPORTS PER EVALUATOR'!$T$73,1)</f>
        <v/>
      </c>
      <c r="P53" s="81" t="e">
        <f>(RIGHT('REPORTS PER EVALUATOR'!$T$73,1))*1</f>
        <v>#VALUE!</v>
      </c>
      <c r="Q53" s="11" t="str">
        <f>LEFT('REPORTS PER EVALUATOR'!$T$85,1)</f>
        <v/>
      </c>
      <c r="R53" s="81" t="e">
        <f>(RIGHT('REPORTS PER EVALUATOR'!$T$85,1))*1</f>
        <v>#VALUE!</v>
      </c>
      <c r="S53" s="11" t="str">
        <f>LEFT('REPORTS PER EVALUATOR'!$T$97,1)</f>
        <v/>
      </c>
      <c r="T53" s="81" t="e">
        <f>(RIGHT('REPORTS PER EVALUATOR'!$T$97,1))*1</f>
        <v>#VALUE!</v>
      </c>
      <c r="U53" s="11" t="str">
        <f>LEFT('REPORTS PER EVALUATOR'!$T$109,1)</f>
        <v/>
      </c>
      <c r="V53" s="81" t="e">
        <f>(RIGHT('REPORTS PER EVALUATOR'!$T$109,1))*1</f>
        <v>#VALUE!</v>
      </c>
      <c r="W53" s="11" t="str">
        <f>LEFT('REPORTS PER EVALUATOR'!$T$121,1)</f>
        <v/>
      </c>
      <c r="X53" s="81" t="e">
        <f>(RIGHT('REPORTS PER EVALUATOR'!$T$121,1))*1</f>
        <v>#VALUE!</v>
      </c>
      <c r="Y53" s="11" t="str">
        <f>LEFT('REPORTS PER EVALUATOR'!$T$133,1)</f>
        <v/>
      </c>
      <c r="Z53" s="92" t="e">
        <f>(RIGHT('REPORTS PER EVALUATOR'!$T$133,1))*1</f>
        <v>#VALUE!</v>
      </c>
      <c r="AA53" s="11" t="e">
        <f>LEFT('REPORTS PER EVALUATOR'!#REF!,1)</f>
        <v>#REF!</v>
      </c>
      <c r="AB53" s="92" t="e">
        <f>(RIGHT('REPORTS PER EVALUATOR'!#REF!,1))*1</f>
        <v>#REF!</v>
      </c>
      <c r="AC53" s="11" t="e">
        <f>LEFT('REPORTS PER EVALUATOR'!#REF!,1)</f>
        <v>#REF!</v>
      </c>
      <c r="AD53" s="92" t="e">
        <f>(RIGHT('REPORTS PER EVALUATOR'!#REF!,1))*1</f>
        <v>#REF!</v>
      </c>
      <c r="AE53" s="11" t="e">
        <f>LEFT('REPORTS PER EVALUATOR'!#REF!,1)</f>
        <v>#REF!</v>
      </c>
      <c r="AF53" s="92" t="e">
        <f>(RIGHT('REPORTS PER EVALUATOR'!#REF!,1))*1</f>
        <v>#REF!</v>
      </c>
      <c r="AG53" s="11" t="e">
        <f>LEFT('REPORTS PER EVALUATOR'!#REF!,1)</f>
        <v>#REF!</v>
      </c>
      <c r="AH53" s="92" t="e">
        <f>(RIGHT('REPORTS PER EVALUATOR'!#REF!,1))*1</f>
        <v>#REF!</v>
      </c>
      <c r="AI53" s="11" t="e">
        <f>LEFT('REPORTS PER EVALUATOR'!#REF!,1)</f>
        <v>#REF!</v>
      </c>
      <c r="AJ53" s="92" t="e">
        <f>(RIGHT('REPORTS PER EVALUATOR'!#REF!,1))*1</f>
        <v>#REF!</v>
      </c>
      <c r="AK53" s="11" t="e">
        <f>LEFT('REPORTS PER EVALUATOR'!#REF!,1)</f>
        <v>#REF!</v>
      </c>
      <c r="AL53" s="92" t="e">
        <f>(RIGHT('REPORTS PER EVALUATOR'!#REF!,1))*1</f>
        <v>#REF!</v>
      </c>
      <c r="AM53" s="11" t="e">
        <f>LEFT('REPORTS PER EVALUATOR'!#REF!,1)</f>
        <v>#REF!</v>
      </c>
      <c r="AN53" s="92" t="e">
        <f>(RIGHT('REPORTS PER EVALUATOR'!#REF!,1))*1</f>
        <v>#REF!</v>
      </c>
      <c r="AO53" s="11" t="e">
        <f>LEFT('REPORTS PER EVALUATOR'!#REF!,1)</f>
        <v>#REF!</v>
      </c>
      <c r="AP53" s="92" t="e">
        <f>(RIGHT('REPORTS PER EVALUATOR'!#REF!,1))*1</f>
        <v>#REF!</v>
      </c>
      <c r="AQ53" s="11" t="e">
        <f>LEFT('REPORTS PER EVALUATOR'!#REF!,1)</f>
        <v>#REF!</v>
      </c>
      <c r="AR53" s="92" t="e">
        <f>(RIGHT('REPORTS PER EVALUATOR'!#REF!,1))*1</f>
        <v>#REF!</v>
      </c>
    </row>
    <row r="54" spans="1:44" x14ac:dyDescent="0.2">
      <c r="B54" s="19" t="str">
        <f t="shared" si="1"/>
        <v>I</v>
      </c>
      <c r="C54" s="18" t="str">
        <f t="shared" si="0"/>
        <v>L</v>
      </c>
      <c r="D54" s="18" t="s">
        <v>54</v>
      </c>
      <c r="E54" s="58" t="str">
        <f>LEFT('REPORTS PER EVALUATOR'!$S$14,1)</f>
        <v>I</v>
      </c>
      <c r="F54" s="74">
        <f>(RIGHT('REPORTS PER EVALUATOR'!$S$14,1))*1</f>
        <v>4</v>
      </c>
      <c r="G54" s="59" t="str">
        <f>LEFT('REPORTS PER EVALUATOR'!$S$26,1)</f>
        <v>L</v>
      </c>
      <c r="H54" s="82">
        <f>(RIGHT('REPORTS PER EVALUATOR'!$S$26,1))*1</f>
        <v>2</v>
      </c>
      <c r="I54" s="59" t="str">
        <f>LEFT('REPORTS PER EVALUATOR'!$S$38,1)</f>
        <v>I</v>
      </c>
      <c r="J54" s="82">
        <f>(RIGHT('REPORTS PER EVALUATOR'!$S$38,1))*1</f>
        <v>5</v>
      </c>
      <c r="K54" s="59" t="str">
        <f>LEFT('REPORTS PER EVALUATOR'!$S$50,1)</f>
        <v>L</v>
      </c>
      <c r="L54" s="82">
        <f>(RIGHT('REPORTS PER EVALUATOR'!$S$50,1))*1</f>
        <v>2</v>
      </c>
      <c r="M54" s="59" t="str">
        <f>LEFT('REPORTS PER EVALUATOR'!$S$62,1)</f>
        <v>I</v>
      </c>
      <c r="N54" s="82">
        <f>(RIGHT('REPORTS PER EVALUATOR'!$S$62,1))*1</f>
        <v>2</v>
      </c>
      <c r="O54" s="59" t="str">
        <f>LEFT('REPORTS PER EVALUATOR'!$S$74,1)</f>
        <v>L</v>
      </c>
      <c r="P54" s="82">
        <f>(RIGHT('REPORTS PER EVALUATOR'!$S$74,1))*1</f>
        <v>2</v>
      </c>
      <c r="Q54" s="59" t="str">
        <f>LEFT('REPORTS PER EVALUATOR'!$S$86,1)</f>
        <v>1</v>
      </c>
      <c r="R54" s="82">
        <f>(RIGHT('REPORTS PER EVALUATOR'!$S$86,1))*1</f>
        <v>1</v>
      </c>
      <c r="S54" s="59" t="str">
        <f>LEFT('REPORTS PER EVALUATOR'!$S$98,1)</f>
        <v>I</v>
      </c>
      <c r="T54" s="82">
        <f>(RIGHT('REPORTS PER EVALUATOR'!$S$98,1))*1</f>
        <v>2</v>
      </c>
      <c r="U54" s="59" t="str">
        <f>LEFT('REPORTS PER EVALUATOR'!$S$110,1)</f>
        <v>L</v>
      </c>
      <c r="V54" s="82">
        <f>(RIGHT('REPORTS PER EVALUATOR'!$S$110,1))*1</f>
        <v>2</v>
      </c>
      <c r="W54" s="59" t="str">
        <f>LEFT('REPORTS PER EVALUATOR'!$S$122,1)</f>
        <v>I</v>
      </c>
      <c r="X54" s="82">
        <f>(RIGHT('REPORTS PER EVALUATOR'!$S$122,1))*1</f>
        <v>3</v>
      </c>
      <c r="Y54" s="59" t="str">
        <f>LEFT('REPORTS PER EVALUATOR'!$S$134,1)</f>
        <v>I</v>
      </c>
      <c r="Z54" s="94">
        <f>(RIGHT('REPORTS PER EVALUATOR'!$S$134,1))*1</f>
        <v>3</v>
      </c>
      <c r="AA54" s="59" t="e">
        <f>LEFT('REPORTS PER EVALUATOR'!#REF!,1)</f>
        <v>#REF!</v>
      </c>
      <c r="AB54" s="94" t="e">
        <f>(RIGHT('REPORTS PER EVALUATOR'!#REF!,1))*1</f>
        <v>#REF!</v>
      </c>
      <c r="AC54" s="59" t="e">
        <f>LEFT('REPORTS PER EVALUATOR'!#REF!,1)</f>
        <v>#REF!</v>
      </c>
      <c r="AD54" s="94" t="e">
        <f>(RIGHT('REPORTS PER EVALUATOR'!#REF!,1))*1</f>
        <v>#REF!</v>
      </c>
      <c r="AE54" s="59" t="e">
        <f>LEFT('REPORTS PER EVALUATOR'!#REF!,1)</f>
        <v>#REF!</v>
      </c>
      <c r="AF54" s="94" t="e">
        <f>(RIGHT('REPORTS PER EVALUATOR'!#REF!,1))*1</f>
        <v>#REF!</v>
      </c>
      <c r="AG54" s="59" t="e">
        <f>LEFT('REPORTS PER EVALUATOR'!#REF!,1)</f>
        <v>#REF!</v>
      </c>
      <c r="AH54" s="94" t="e">
        <f>(RIGHT('REPORTS PER EVALUATOR'!#REF!,1))*1</f>
        <v>#REF!</v>
      </c>
      <c r="AI54" s="59" t="e">
        <f>LEFT('REPORTS PER EVALUATOR'!#REF!,1)</f>
        <v>#REF!</v>
      </c>
      <c r="AJ54" s="94" t="e">
        <f>(RIGHT('REPORTS PER EVALUATOR'!#REF!,1))*1</f>
        <v>#REF!</v>
      </c>
      <c r="AK54" s="59" t="e">
        <f>LEFT('REPORTS PER EVALUATOR'!#REF!,1)</f>
        <v>#REF!</v>
      </c>
      <c r="AL54" s="94" t="e">
        <f>(RIGHT('REPORTS PER EVALUATOR'!#REF!,1))*1</f>
        <v>#REF!</v>
      </c>
      <c r="AM54" s="59" t="e">
        <f>LEFT('REPORTS PER EVALUATOR'!#REF!,1)</f>
        <v>#REF!</v>
      </c>
      <c r="AN54" s="94" t="e">
        <f>(RIGHT('REPORTS PER EVALUATOR'!#REF!,1))*1</f>
        <v>#REF!</v>
      </c>
      <c r="AO54" s="59" t="e">
        <f>LEFT('REPORTS PER EVALUATOR'!#REF!,1)</f>
        <v>#REF!</v>
      </c>
      <c r="AP54" s="94" t="e">
        <f>(RIGHT('REPORTS PER EVALUATOR'!#REF!,1))*1</f>
        <v>#REF!</v>
      </c>
      <c r="AQ54" s="59" t="e">
        <f>LEFT('REPORTS PER EVALUATOR'!#REF!,1)</f>
        <v>#REF!</v>
      </c>
      <c r="AR54" s="94" t="e">
        <f>(RIGHT('REPORTS PER EVALUATOR'!#REF!,1))*1</f>
        <v>#REF!</v>
      </c>
    </row>
    <row r="55" spans="1:44" x14ac:dyDescent="0.2">
      <c r="B55" s="19" t="str">
        <f t="shared" si="1"/>
        <v>I</v>
      </c>
      <c r="C55" s="18" t="str">
        <f t="shared" si="0"/>
        <v>M</v>
      </c>
      <c r="D55" s="18" t="s">
        <v>165</v>
      </c>
      <c r="E55" s="110" t="str">
        <f>LEFT('REPORTS PER EVALUATOR'!$T$14,1)</f>
        <v/>
      </c>
      <c r="F55" s="111" t="e">
        <f>(RIGHT('REPORTS PER EVALUATOR'!$T$14,1))*1</f>
        <v>#VALUE!</v>
      </c>
      <c r="G55" s="112" t="str">
        <f>LEFT('REPORTS PER EVALUATOR'!$T$26,1)</f>
        <v/>
      </c>
      <c r="H55" s="113" t="e">
        <f>(RIGHT('REPORTS PER EVALUATOR'!$T$26,1))*1</f>
        <v>#VALUE!</v>
      </c>
      <c r="I55" s="112" t="str">
        <f>LEFT('REPORTS PER EVALUATOR'!$T$38,1)</f>
        <v/>
      </c>
      <c r="J55" s="113" t="e">
        <f>(RIGHT('REPORTS PER EVALUATOR'!$T$38,1))*1</f>
        <v>#VALUE!</v>
      </c>
      <c r="K55" s="112" t="str">
        <f>LEFT('REPORTS PER EVALUATOR'!$T$50,1)</f>
        <v/>
      </c>
      <c r="L55" s="113" t="e">
        <f>(RIGHT('REPORTS PER EVALUATOR'!$T$50,1))*1</f>
        <v>#VALUE!</v>
      </c>
      <c r="M55" s="112" t="str">
        <f>LEFT('REPORTS PER EVALUATOR'!$T$62,1)</f>
        <v/>
      </c>
      <c r="N55" s="113" t="e">
        <f>(RIGHT('REPORTS PER EVALUATOR'!$T$62,1))*1</f>
        <v>#VALUE!</v>
      </c>
      <c r="O55" s="112" t="str">
        <f>LEFT('REPORTS PER EVALUATOR'!$T$74,1)</f>
        <v/>
      </c>
      <c r="P55" s="113" t="e">
        <f>(RIGHT('REPORTS PER EVALUATOR'!$T$74,1))*1</f>
        <v>#VALUE!</v>
      </c>
      <c r="Q55" s="112" t="str">
        <f>LEFT('REPORTS PER EVALUATOR'!$T$86,1)</f>
        <v/>
      </c>
      <c r="R55" s="113" t="e">
        <f>(RIGHT('REPORTS PER EVALUATOR'!$T$86,1))*1</f>
        <v>#VALUE!</v>
      </c>
      <c r="S55" s="112" t="str">
        <f>LEFT('REPORTS PER EVALUATOR'!$T$98,1)</f>
        <v/>
      </c>
      <c r="T55" s="113" t="e">
        <f>(RIGHT('REPORTS PER EVALUATOR'!$T$98,1))*1</f>
        <v>#VALUE!</v>
      </c>
      <c r="U55" s="112" t="str">
        <f>LEFT('REPORTS PER EVALUATOR'!$T$110,1)</f>
        <v/>
      </c>
      <c r="V55" s="113" t="e">
        <f>(RIGHT('REPORTS PER EVALUATOR'!$T$110,1))*1</f>
        <v>#VALUE!</v>
      </c>
      <c r="W55" s="112" t="str">
        <f>LEFT('REPORTS PER EVALUATOR'!$T$122,1)</f>
        <v/>
      </c>
      <c r="X55" s="113" t="e">
        <f>(RIGHT('REPORTS PER EVALUATOR'!$T$122,1))*1</f>
        <v>#VALUE!</v>
      </c>
      <c r="Y55" s="112" t="str">
        <f>LEFT('REPORTS PER EVALUATOR'!$T$134,1)</f>
        <v/>
      </c>
      <c r="Z55" s="114" t="e">
        <f>(RIGHT('REPORTS PER EVALUATOR'!$T$134,1))*1</f>
        <v>#VALUE!</v>
      </c>
      <c r="AA55" s="112" t="e">
        <f>LEFT('REPORTS PER EVALUATOR'!#REF!,1)</f>
        <v>#REF!</v>
      </c>
      <c r="AB55" s="114" t="e">
        <f>(RIGHT('REPORTS PER EVALUATOR'!#REF!,1))*1</f>
        <v>#REF!</v>
      </c>
      <c r="AC55" s="112" t="e">
        <f>LEFT('REPORTS PER EVALUATOR'!#REF!,1)</f>
        <v>#REF!</v>
      </c>
      <c r="AD55" s="114" t="e">
        <f>(RIGHT('REPORTS PER EVALUATOR'!#REF!,1))*1</f>
        <v>#REF!</v>
      </c>
      <c r="AE55" s="112" t="e">
        <f>LEFT('REPORTS PER EVALUATOR'!#REF!,1)</f>
        <v>#REF!</v>
      </c>
      <c r="AF55" s="114" t="e">
        <f>(RIGHT('REPORTS PER EVALUATOR'!#REF!,1))*1</f>
        <v>#REF!</v>
      </c>
      <c r="AG55" s="112" t="e">
        <f>LEFT('REPORTS PER EVALUATOR'!#REF!,1)</f>
        <v>#REF!</v>
      </c>
      <c r="AH55" s="114" t="e">
        <f>(RIGHT('REPORTS PER EVALUATOR'!#REF!,1))*1</f>
        <v>#REF!</v>
      </c>
      <c r="AI55" s="112" t="e">
        <f>LEFT('REPORTS PER EVALUATOR'!#REF!,1)</f>
        <v>#REF!</v>
      </c>
      <c r="AJ55" s="114" t="e">
        <f>(RIGHT('REPORTS PER EVALUATOR'!#REF!,1))*1</f>
        <v>#REF!</v>
      </c>
      <c r="AK55" s="112" t="e">
        <f>LEFT('REPORTS PER EVALUATOR'!#REF!,1)</f>
        <v>#REF!</v>
      </c>
      <c r="AL55" s="114" t="e">
        <f>(RIGHT('REPORTS PER EVALUATOR'!#REF!,1))*1</f>
        <v>#REF!</v>
      </c>
      <c r="AM55" s="112" t="e">
        <f>LEFT('REPORTS PER EVALUATOR'!#REF!,1)</f>
        <v>#REF!</v>
      </c>
      <c r="AN55" s="114" t="e">
        <f>(RIGHT('REPORTS PER EVALUATOR'!#REF!,1))*1</f>
        <v>#REF!</v>
      </c>
      <c r="AO55" s="112" t="e">
        <f>LEFT('REPORTS PER EVALUATOR'!#REF!,1)</f>
        <v>#REF!</v>
      </c>
      <c r="AP55" s="114" t="e">
        <f>(RIGHT('REPORTS PER EVALUATOR'!#REF!,1))*1</f>
        <v>#REF!</v>
      </c>
      <c r="AQ55" s="112" t="e">
        <f>LEFT('REPORTS PER EVALUATOR'!#REF!,1)</f>
        <v>#REF!</v>
      </c>
      <c r="AR55" s="114" t="e">
        <f>(RIGHT('REPORTS PER EVALUATOR'!#REF!,1))*1</f>
        <v>#REF!</v>
      </c>
    </row>
    <row r="56" spans="1:44" ht="16" thickBot="1" x14ac:dyDescent="0.25">
      <c r="B56" s="19" t="str">
        <f t="shared" si="1"/>
        <v>L</v>
      </c>
      <c r="C56" s="18" t="str">
        <f t="shared" si="0"/>
        <v>M</v>
      </c>
      <c r="D56" s="18" t="s">
        <v>166</v>
      </c>
      <c r="E56" s="115" t="str">
        <f>LEFT('REPORTS PER EVALUATOR'!$T$15,1)</f>
        <v/>
      </c>
      <c r="F56" s="116" t="e">
        <f>(RIGHT('REPORTS PER EVALUATOR'!$T$15,1))*1</f>
        <v>#VALUE!</v>
      </c>
      <c r="G56" s="117" t="str">
        <f>LEFT('REPORTS PER EVALUATOR'!$T$27,1)</f>
        <v/>
      </c>
      <c r="H56" s="118" t="e">
        <f>(RIGHT('REPORTS PER EVALUATOR'!$T$27,1))*1</f>
        <v>#VALUE!</v>
      </c>
      <c r="I56" s="117" t="str">
        <f>LEFT('REPORTS PER EVALUATOR'!$T$39,1)</f>
        <v/>
      </c>
      <c r="J56" s="118" t="e">
        <f>(RIGHT('REPORTS PER EVALUATOR'!$T$39,1))*1</f>
        <v>#VALUE!</v>
      </c>
      <c r="K56" s="117" t="str">
        <f>LEFT('REPORTS PER EVALUATOR'!$T$51,1)</f>
        <v/>
      </c>
      <c r="L56" s="118" t="e">
        <f>(RIGHT('REPORTS PER EVALUATOR'!$T$51,1))*1</f>
        <v>#VALUE!</v>
      </c>
      <c r="M56" s="117" t="str">
        <f>LEFT('REPORTS PER EVALUATOR'!$T$63,1)</f>
        <v/>
      </c>
      <c r="N56" s="118" t="e">
        <f>(RIGHT('REPORTS PER EVALUATOR'!$T$63,1))*1</f>
        <v>#VALUE!</v>
      </c>
      <c r="O56" s="117" t="str">
        <f>LEFT('REPORTS PER EVALUATOR'!$T$75,1)</f>
        <v/>
      </c>
      <c r="P56" s="118" t="e">
        <f>(RIGHT('REPORTS PER EVALUATOR'!$T$75,1))*1</f>
        <v>#VALUE!</v>
      </c>
      <c r="Q56" s="117" t="str">
        <f>LEFT('REPORTS PER EVALUATOR'!$T$87,1)</f>
        <v/>
      </c>
      <c r="R56" s="118" t="e">
        <f>(RIGHT('REPORTS PER EVALUATOR'!$T$87,1))*1</f>
        <v>#VALUE!</v>
      </c>
      <c r="S56" s="117" t="str">
        <f>LEFT('REPORTS PER EVALUATOR'!$T$99,1)</f>
        <v/>
      </c>
      <c r="T56" s="118" t="e">
        <f>(RIGHT('REPORTS PER EVALUATOR'!$T$99,1))*1</f>
        <v>#VALUE!</v>
      </c>
      <c r="U56" s="117" t="str">
        <f>LEFT('REPORTS PER EVALUATOR'!$T$111,1)</f>
        <v/>
      </c>
      <c r="V56" s="118" t="e">
        <f>(RIGHT('REPORTS PER EVALUATOR'!$T$111,1))*1</f>
        <v>#VALUE!</v>
      </c>
      <c r="W56" s="117" t="str">
        <f>LEFT('REPORTS PER EVALUATOR'!$T$123,1)</f>
        <v/>
      </c>
      <c r="X56" s="118" t="e">
        <f>(RIGHT('REPORTS PER EVALUATOR'!$T$123,1))*1</f>
        <v>#VALUE!</v>
      </c>
      <c r="Y56" s="117" t="str">
        <f>LEFT('REPORTS PER EVALUATOR'!$T$135,1)</f>
        <v/>
      </c>
      <c r="Z56" s="119" t="e">
        <f>(RIGHT('REPORTS PER EVALUATOR'!$T$135,1))*1</f>
        <v>#VALUE!</v>
      </c>
      <c r="AA56" s="117" t="e">
        <f>LEFT('REPORTS PER EVALUATOR'!#REF!,1)</f>
        <v>#REF!</v>
      </c>
      <c r="AB56" s="119" t="e">
        <f>(RIGHT('REPORTS PER EVALUATOR'!#REF!,1))*1</f>
        <v>#REF!</v>
      </c>
      <c r="AC56" s="117" t="e">
        <f>LEFT('REPORTS PER EVALUATOR'!#REF!,1)</f>
        <v>#REF!</v>
      </c>
      <c r="AD56" s="119" t="e">
        <f>(RIGHT('REPORTS PER EVALUATOR'!#REF!,1))*1</f>
        <v>#REF!</v>
      </c>
      <c r="AE56" s="117" t="e">
        <f>LEFT('REPORTS PER EVALUATOR'!#REF!,1)</f>
        <v>#REF!</v>
      </c>
      <c r="AF56" s="119" t="e">
        <f>(RIGHT('REPORTS PER EVALUATOR'!#REF!,1))*1</f>
        <v>#REF!</v>
      </c>
      <c r="AG56" s="117" t="e">
        <f>LEFT('REPORTS PER EVALUATOR'!#REF!,1)</f>
        <v>#REF!</v>
      </c>
      <c r="AH56" s="119" t="e">
        <f>(RIGHT('REPORTS PER EVALUATOR'!#REF!,1))*1</f>
        <v>#REF!</v>
      </c>
      <c r="AI56" s="117" t="e">
        <f>LEFT('REPORTS PER EVALUATOR'!#REF!,1)</f>
        <v>#REF!</v>
      </c>
      <c r="AJ56" s="119" t="e">
        <f>(RIGHT('REPORTS PER EVALUATOR'!#REF!,1))*1</f>
        <v>#REF!</v>
      </c>
      <c r="AK56" s="117" t="e">
        <f>LEFT('REPORTS PER EVALUATOR'!#REF!,1)</f>
        <v>#REF!</v>
      </c>
      <c r="AL56" s="119" t="e">
        <f>(RIGHT('REPORTS PER EVALUATOR'!#REF!,1))*1</f>
        <v>#REF!</v>
      </c>
      <c r="AM56" s="117" t="e">
        <f>LEFT('REPORTS PER EVALUATOR'!#REF!,1)</f>
        <v>#REF!</v>
      </c>
      <c r="AN56" s="119" t="e">
        <f>(RIGHT('REPORTS PER EVALUATOR'!#REF!,1))*1</f>
        <v>#REF!</v>
      </c>
      <c r="AO56" s="117" t="e">
        <f>LEFT('REPORTS PER EVALUATOR'!#REF!,1)</f>
        <v>#REF!</v>
      </c>
      <c r="AP56" s="119" t="e">
        <f>(RIGHT('REPORTS PER EVALUATOR'!#REF!,1))*1</f>
        <v>#REF!</v>
      </c>
      <c r="AQ56" s="117" t="e">
        <f>LEFT('REPORTS PER EVALUATOR'!#REF!,1)</f>
        <v>#REF!</v>
      </c>
      <c r="AR56" s="119" t="e">
        <f>(RIGHT('REPORTS PER EVALUATOR'!#REF!,1))*1</f>
        <v>#REF!</v>
      </c>
    </row>
    <row r="57" spans="1:44" s="61" customFormat="1" ht="16" thickTop="1" x14ac:dyDescent="0.2">
      <c r="A57" s="214" t="s">
        <v>220</v>
      </c>
      <c r="B57" s="60" t="str">
        <f t="shared" ref="B57:B111" si="4">LEFT(D57,1)</f>
        <v>A</v>
      </c>
      <c r="C57" s="102" t="str">
        <f t="shared" ref="C57:C92" si="5">RIGHT(D57,1)</f>
        <v>B</v>
      </c>
      <c r="D57" s="102" t="s">
        <v>10</v>
      </c>
      <c r="E57" s="62" t="str">
        <f>LEFT('REPORTS PER EVALUATOR'!$W$6,1)</f>
        <v>1</v>
      </c>
      <c r="F57" s="75">
        <f>(RIGHT('REPORTS PER EVALUATOR'!$W$6,1))*1</f>
        <v>1</v>
      </c>
      <c r="G57" s="63" t="str">
        <f>LEFT('REPORTS PER EVALUATOR'!$W$18,1)</f>
        <v>A</v>
      </c>
      <c r="H57" s="83">
        <f>(RIGHT('REPORTS PER EVALUATOR'!$W$18,1))*1</f>
        <v>3</v>
      </c>
      <c r="I57" s="63" t="str">
        <f>LEFT('REPORTS PER EVALUATOR'!$W$30,1)</f>
        <v>1</v>
      </c>
      <c r="J57" s="83">
        <f>(RIGHT('REPORTS PER EVALUATOR'!$W$30,1))*1</f>
        <v>1</v>
      </c>
      <c r="K57" s="63" t="str">
        <f>LEFT('REPORTS PER EVALUATOR'!$W$42,1)</f>
        <v>1</v>
      </c>
      <c r="L57" s="83">
        <f>(RIGHT('REPORTS PER EVALUATOR'!$W$42,1))*1</f>
        <v>1</v>
      </c>
      <c r="M57" s="63" t="str">
        <f>LEFT('REPORTS PER EVALUATOR'!$W$54,1)</f>
        <v>1</v>
      </c>
      <c r="N57" s="83">
        <f>(RIGHT('REPORTS PER EVALUATOR'!$W$54,1))*1</f>
        <v>1</v>
      </c>
      <c r="O57" s="63" t="str">
        <f>LEFT('REPORTS PER EVALUATOR'!$W$66,1)</f>
        <v>1</v>
      </c>
      <c r="P57" s="83">
        <f>(RIGHT('REPORTS PER EVALUATOR'!$W$66,1))*1</f>
        <v>1</v>
      </c>
      <c r="Q57" s="63" t="str">
        <f>LEFT('REPORTS PER EVALUATOR'!$W$78,1)</f>
        <v>A</v>
      </c>
      <c r="R57" s="83">
        <f>(RIGHT('REPORTS PER EVALUATOR'!$W$78,1))*1</f>
        <v>2</v>
      </c>
      <c r="S57" s="63" t="str">
        <f>LEFT('REPORTS PER EVALUATOR'!$W$90,1)</f>
        <v>A</v>
      </c>
      <c r="T57" s="83">
        <f>(RIGHT('REPORTS PER EVALUATOR'!$W$90,1))*1</f>
        <v>2</v>
      </c>
      <c r="U57" s="63" t="str">
        <f>LEFT('REPORTS PER EVALUATOR'!$W$102,1)</f>
        <v>1</v>
      </c>
      <c r="V57" s="83">
        <f>(RIGHT('REPORTS PER EVALUATOR'!$W$102,1))*1</f>
        <v>1</v>
      </c>
      <c r="W57" s="63" t="str">
        <f>LEFT('REPORTS PER EVALUATOR'!$W$114,1)</f>
        <v>A</v>
      </c>
      <c r="X57" s="83">
        <f>(RIGHT('REPORTS PER EVALUATOR'!$W$114,1))*1</f>
        <v>2</v>
      </c>
      <c r="Y57" s="63" t="str">
        <f>LEFT('REPORTS PER EVALUATOR'!$W$126,1)</f>
        <v>1</v>
      </c>
      <c r="Z57" s="95">
        <f>(RIGHT('REPORTS PER EVALUATOR'!$W$126,1))*1</f>
        <v>1</v>
      </c>
      <c r="AA57" s="63" t="e">
        <f>LEFT('REPORTS PER EVALUATOR'!#REF!,1)</f>
        <v>#REF!</v>
      </c>
      <c r="AB57" s="95" t="e">
        <f>(RIGHT('REPORTS PER EVALUATOR'!#REF!,1))*1</f>
        <v>#REF!</v>
      </c>
      <c r="AC57" s="63" t="e">
        <f>LEFT('REPORTS PER EVALUATOR'!#REF!,1)</f>
        <v>#REF!</v>
      </c>
      <c r="AD57" s="95" t="e">
        <f>(RIGHT('REPORTS PER EVALUATOR'!#REF!,1))*1</f>
        <v>#REF!</v>
      </c>
      <c r="AE57" s="63" t="e">
        <f>LEFT('REPORTS PER EVALUATOR'!#REF!,1)</f>
        <v>#REF!</v>
      </c>
      <c r="AF57" s="95" t="e">
        <f>(RIGHT('REPORTS PER EVALUATOR'!#REF!,1))*1</f>
        <v>#REF!</v>
      </c>
      <c r="AG57" s="63" t="e">
        <f>LEFT('REPORTS PER EVALUATOR'!#REF!,1)</f>
        <v>#REF!</v>
      </c>
      <c r="AH57" s="95" t="e">
        <f>(RIGHT('REPORTS PER EVALUATOR'!#REF!,1))*1</f>
        <v>#REF!</v>
      </c>
      <c r="AI57" s="63" t="e">
        <f>LEFT('REPORTS PER EVALUATOR'!#REF!,1)</f>
        <v>#REF!</v>
      </c>
      <c r="AJ57" s="95" t="e">
        <f>(RIGHT('REPORTS PER EVALUATOR'!#REF!,1))*1</f>
        <v>#REF!</v>
      </c>
      <c r="AK57" s="63" t="e">
        <f>LEFT('REPORTS PER EVALUATOR'!#REF!,1)</f>
        <v>#REF!</v>
      </c>
      <c r="AL57" s="95" t="e">
        <f>(RIGHT('REPORTS PER EVALUATOR'!#REF!,1))*1</f>
        <v>#REF!</v>
      </c>
      <c r="AM57" s="63" t="e">
        <f>LEFT('REPORTS PER EVALUATOR'!#REF!,1)</f>
        <v>#REF!</v>
      </c>
      <c r="AN57" s="95" t="e">
        <f>(RIGHT('REPORTS PER EVALUATOR'!#REF!,1))*1</f>
        <v>#REF!</v>
      </c>
      <c r="AO57" s="63" t="e">
        <f>LEFT('REPORTS PER EVALUATOR'!#REF!,1)</f>
        <v>#REF!</v>
      </c>
      <c r="AP57" s="95" t="e">
        <f>(RIGHT('REPORTS PER EVALUATOR'!#REF!,1))*1</f>
        <v>#REF!</v>
      </c>
      <c r="AQ57" s="63" t="e">
        <f>LEFT('REPORTS PER EVALUATOR'!#REF!,1)</f>
        <v>#REF!</v>
      </c>
      <c r="AR57" s="95" t="e">
        <f>(RIGHT('REPORTS PER EVALUATOR'!#REF!,1))*1</f>
        <v>#REF!</v>
      </c>
    </row>
    <row r="58" spans="1:44" x14ac:dyDescent="0.2">
      <c r="A58" s="214"/>
      <c r="B58" s="19" t="str">
        <f t="shared" si="4"/>
        <v>A</v>
      </c>
      <c r="C58" s="18" t="str">
        <f t="shared" si="5"/>
        <v>C</v>
      </c>
      <c r="D58" s="18" t="s">
        <v>11</v>
      </c>
      <c r="E58" s="26" t="str">
        <f>LEFT('REPORTS PER EVALUATOR'!$X$6,1)</f>
        <v>A</v>
      </c>
      <c r="F58" s="73">
        <f>(RIGHT('REPORTS PER EVALUATOR'!$X$6,1))*1</f>
        <v>4</v>
      </c>
      <c r="G58" s="11" t="str">
        <f>LEFT('REPORTS PER EVALUATOR'!$X$18,1)</f>
        <v>A</v>
      </c>
      <c r="H58" s="81">
        <f>(RIGHT('REPORTS PER EVALUATOR'!$X$18,1))*1</f>
        <v>5</v>
      </c>
      <c r="I58" s="11" t="str">
        <f>LEFT('REPORTS PER EVALUATOR'!$X$30,1)</f>
        <v>A</v>
      </c>
      <c r="J58" s="81">
        <f>(RIGHT('REPORTS PER EVALUATOR'!$X$30,1))*1</f>
        <v>2</v>
      </c>
      <c r="K58" s="11" t="str">
        <f>LEFT('REPORTS PER EVALUATOR'!$X$42,1)</f>
        <v>A</v>
      </c>
      <c r="L58" s="81">
        <f>(RIGHT('REPORTS PER EVALUATOR'!$X$42,1))*1</f>
        <v>3</v>
      </c>
      <c r="M58" s="11" t="str">
        <f>LEFT('REPORTS PER EVALUATOR'!$X$54,1)</f>
        <v>A</v>
      </c>
      <c r="N58" s="81">
        <f>(RIGHT('REPORTS PER EVALUATOR'!$X$54,1))*1</f>
        <v>3</v>
      </c>
      <c r="O58" s="11" t="str">
        <f>LEFT('REPORTS PER EVALUATOR'!$X$66,1)</f>
        <v>A</v>
      </c>
      <c r="P58" s="81">
        <f>(RIGHT('REPORTS PER EVALUATOR'!$X$66,1))*1</f>
        <v>4</v>
      </c>
      <c r="Q58" s="11" t="str">
        <f>LEFT('REPORTS PER EVALUATOR'!$X$78,1)</f>
        <v>A</v>
      </c>
      <c r="R58" s="81">
        <f>(RIGHT('REPORTS PER EVALUATOR'!$X$78,1))*1</f>
        <v>4</v>
      </c>
      <c r="S58" s="11" t="str">
        <f>LEFT('REPORTS PER EVALUATOR'!$X$90,1)</f>
        <v>A</v>
      </c>
      <c r="T58" s="81">
        <f>(RIGHT('REPORTS PER EVALUATOR'!$X$90,1))*1</f>
        <v>3</v>
      </c>
      <c r="U58" s="11" t="str">
        <f>LEFT('REPORTS PER EVALUATOR'!$X$102,1)</f>
        <v>A</v>
      </c>
      <c r="V58" s="81">
        <f>(RIGHT('REPORTS PER EVALUATOR'!$X$102,1))*1</f>
        <v>2</v>
      </c>
      <c r="W58" s="11" t="str">
        <f>LEFT('REPORTS PER EVALUATOR'!$X$114,1)</f>
        <v>A</v>
      </c>
      <c r="X58" s="81">
        <f>(RIGHT('REPORTS PER EVALUATOR'!$X$114,1))*1</f>
        <v>2</v>
      </c>
      <c r="Y58" s="11" t="str">
        <f>LEFT('REPORTS PER EVALUATOR'!$X$126,1)</f>
        <v>A</v>
      </c>
      <c r="Z58" s="92">
        <f>(RIGHT('REPORTS PER EVALUATOR'!$X$126,1))*1</f>
        <v>3</v>
      </c>
      <c r="AA58" s="11" t="e">
        <f>LEFT('REPORTS PER EVALUATOR'!#REF!,1)</f>
        <v>#REF!</v>
      </c>
      <c r="AB58" s="92" t="e">
        <f>(RIGHT('REPORTS PER EVALUATOR'!#REF!,1))*1</f>
        <v>#REF!</v>
      </c>
      <c r="AC58" s="11" t="e">
        <f>LEFT('REPORTS PER EVALUATOR'!#REF!,1)</f>
        <v>#REF!</v>
      </c>
      <c r="AD58" s="92" t="e">
        <f>(RIGHT('REPORTS PER EVALUATOR'!#REF!,1))*1</f>
        <v>#REF!</v>
      </c>
      <c r="AE58" s="11" t="e">
        <f>LEFT('REPORTS PER EVALUATOR'!#REF!,1)</f>
        <v>#REF!</v>
      </c>
      <c r="AF58" s="92" t="e">
        <f>(RIGHT('REPORTS PER EVALUATOR'!#REF!,1))*1</f>
        <v>#REF!</v>
      </c>
      <c r="AG58" s="11" t="e">
        <f>LEFT('REPORTS PER EVALUATOR'!#REF!,1)</f>
        <v>#REF!</v>
      </c>
      <c r="AH58" s="92" t="e">
        <f>(RIGHT('REPORTS PER EVALUATOR'!#REF!,1))*1</f>
        <v>#REF!</v>
      </c>
      <c r="AI58" s="11" t="e">
        <f>LEFT('REPORTS PER EVALUATOR'!#REF!,1)</f>
        <v>#REF!</v>
      </c>
      <c r="AJ58" s="92" t="e">
        <f>(RIGHT('REPORTS PER EVALUATOR'!#REF!,1))*1</f>
        <v>#REF!</v>
      </c>
      <c r="AK58" s="11" t="e">
        <f>LEFT('REPORTS PER EVALUATOR'!#REF!,1)</f>
        <v>#REF!</v>
      </c>
      <c r="AL58" s="92" t="e">
        <f>(RIGHT('REPORTS PER EVALUATOR'!#REF!,1))*1</f>
        <v>#REF!</v>
      </c>
      <c r="AM58" s="11" t="e">
        <f>LEFT('REPORTS PER EVALUATOR'!#REF!,1)</f>
        <v>#REF!</v>
      </c>
      <c r="AN58" s="92" t="e">
        <f>(RIGHT('REPORTS PER EVALUATOR'!#REF!,1))*1</f>
        <v>#REF!</v>
      </c>
      <c r="AO58" s="11" t="e">
        <f>LEFT('REPORTS PER EVALUATOR'!#REF!,1)</f>
        <v>#REF!</v>
      </c>
      <c r="AP58" s="92" t="e">
        <f>(RIGHT('REPORTS PER EVALUATOR'!#REF!,1))*1</f>
        <v>#REF!</v>
      </c>
      <c r="AQ58" s="11" t="e">
        <f>LEFT('REPORTS PER EVALUATOR'!#REF!,1)</f>
        <v>#REF!</v>
      </c>
      <c r="AR58" s="92" t="e">
        <f>(RIGHT('REPORTS PER EVALUATOR'!#REF!,1))*1</f>
        <v>#REF!</v>
      </c>
    </row>
    <row r="59" spans="1:44" x14ac:dyDescent="0.2">
      <c r="A59" s="214"/>
      <c r="B59" s="19" t="str">
        <f t="shared" si="4"/>
        <v>A</v>
      </c>
      <c r="C59" s="18" t="str">
        <f t="shared" si="5"/>
        <v>D</v>
      </c>
      <c r="D59" s="18" t="s">
        <v>12</v>
      </c>
      <c r="E59" s="26" t="str">
        <f>LEFT('REPORTS PER EVALUATOR'!$Y$6,1)</f>
        <v>1</v>
      </c>
      <c r="F59" s="73">
        <f>(RIGHT('REPORTS PER EVALUATOR'!$Y$6,1))*1</f>
        <v>1</v>
      </c>
      <c r="G59" s="11" t="str">
        <f>LEFT('REPORTS PER EVALUATOR'!$Y$18,1)</f>
        <v>A</v>
      </c>
      <c r="H59" s="81">
        <f>(RIGHT('REPORTS PER EVALUATOR'!$Y$18,1))*1</f>
        <v>3</v>
      </c>
      <c r="I59" s="11" t="str">
        <f>LEFT('REPORTS PER EVALUATOR'!$Y$30,1)</f>
        <v>1</v>
      </c>
      <c r="J59" s="81">
        <f>(RIGHT('REPORTS PER EVALUATOR'!$Y$30,1))*1</f>
        <v>1</v>
      </c>
      <c r="K59" s="11" t="str">
        <f>LEFT('REPORTS PER EVALUATOR'!$Y$42,1)</f>
        <v>A</v>
      </c>
      <c r="L59" s="81">
        <f>(RIGHT('REPORTS PER EVALUATOR'!$Y$42,1))*1</f>
        <v>2</v>
      </c>
      <c r="M59" s="11" t="str">
        <f>LEFT('REPORTS PER EVALUATOR'!$Y$54,1)</f>
        <v>1</v>
      </c>
      <c r="N59" s="81">
        <f>(RIGHT('REPORTS PER EVALUATOR'!$Y$54,1))*1</f>
        <v>1</v>
      </c>
      <c r="O59" s="11" t="str">
        <f>LEFT('REPORTS PER EVALUATOR'!$Y$66,1)</f>
        <v>A</v>
      </c>
      <c r="P59" s="81">
        <f>(RIGHT('REPORTS PER EVALUATOR'!$Y$66,1))*1</f>
        <v>2</v>
      </c>
      <c r="Q59" s="11" t="str">
        <f>LEFT('REPORTS PER EVALUATOR'!$Y$78,1)</f>
        <v>A</v>
      </c>
      <c r="R59" s="81">
        <f>(RIGHT('REPORTS PER EVALUATOR'!$Y$78,1))*1</f>
        <v>2</v>
      </c>
      <c r="S59" s="11" t="str">
        <f>LEFT('REPORTS PER EVALUATOR'!$Y$90,1)</f>
        <v>A</v>
      </c>
      <c r="T59" s="81">
        <f>(RIGHT('REPORTS PER EVALUATOR'!$Y$90,1))*1</f>
        <v>2</v>
      </c>
      <c r="U59" s="11" t="str">
        <f>LEFT('REPORTS PER EVALUATOR'!$Y$102,1)</f>
        <v>1</v>
      </c>
      <c r="V59" s="81">
        <f>(RIGHT('REPORTS PER EVALUATOR'!$Y$102,1))*1</f>
        <v>1</v>
      </c>
      <c r="W59" s="11" t="str">
        <f>LEFT('REPORTS PER EVALUATOR'!$Y$114,1)</f>
        <v>A</v>
      </c>
      <c r="X59" s="81">
        <f>(RIGHT('REPORTS PER EVALUATOR'!$Y$114,1))*1</f>
        <v>2</v>
      </c>
      <c r="Y59" s="11" t="str">
        <f>LEFT('REPORTS PER EVALUATOR'!$Y$126,1)</f>
        <v>1</v>
      </c>
      <c r="Z59" s="92">
        <f>(RIGHT('REPORTS PER EVALUATOR'!$Y$126,1))*1</f>
        <v>1</v>
      </c>
      <c r="AA59" s="11" t="e">
        <f>LEFT('REPORTS PER EVALUATOR'!#REF!,1)</f>
        <v>#REF!</v>
      </c>
      <c r="AB59" s="92" t="e">
        <f>(RIGHT('REPORTS PER EVALUATOR'!#REF!,1))*1</f>
        <v>#REF!</v>
      </c>
      <c r="AC59" s="11" t="e">
        <f>LEFT('REPORTS PER EVALUATOR'!#REF!,1)</f>
        <v>#REF!</v>
      </c>
      <c r="AD59" s="92" t="e">
        <f>(RIGHT('REPORTS PER EVALUATOR'!#REF!,1))*1</f>
        <v>#REF!</v>
      </c>
      <c r="AE59" s="11" t="e">
        <f>LEFT('REPORTS PER EVALUATOR'!#REF!,1)</f>
        <v>#REF!</v>
      </c>
      <c r="AF59" s="92" t="e">
        <f>(RIGHT('REPORTS PER EVALUATOR'!#REF!,1))*1</f>
        <v>#REF!</v>
      </c>
      <c r="AG59" s="11" t="e">
        <f>LEFT('REPORTS PER EVALUATOR'!#REF!,1)</f>
        <v>#REF!</v>
      </c>
      <c r="AH59" s="92" t="e">
        <f>(RIGHT('REPORTS PER EVALUATOR'!#REF!,1))*1</f>
        <v>#REF!</v>
      </c>
      <c r="AI59" s="11" t="e">
        <f>LEFT('REPORTS PER EVALUATOR'!#REF!,1)</f>
        <v>#REF!</v>
      </c>
      <c r="AJ59" s="92" t="e">
        <f>(RIGHT('REPORTS PER EVALUATOR'!#REF!,1))*1</f>
        <v>#REF!</v>
      </c>
      <c r="AK59" s="11" t="e">
        <f>LEFT('REPORTS PER EVALUATOR'!#REF!,1)</f>
        <v>#REF!</v>
      </c>
      <c r="AL59" s="92" t="e">
        <f>(RIGHT('REPORTS PER EVALUATOR'!#REF!,1))*1</f>
        <v>#REF!</v>
      </c>
      <c r="AM59" s="11" t="e">
        <f>LEFT('REPORTS PER EVALUATOR'!#REF!,1)</f>
        <v>#REF!</v>
      </c>
      <c r="AN59" s="92" t="e">
        <f>(RIGHT('REPORTS PER EVALUATOR'!#REF!,1))*1</f>
        <v>#REF!</v>
      </c>
      <c r="AO59" s="11" t="e">
        <f>LEFT('REPORTS PER EVALUATOR'!#REF!,1)</f>
        <v>#REF!</v>
      </c>
      <c r="AP59" s="92" t="e">
        <f>(RIGHT('REPORTS PER EVALUATOR'!#REF!,1))*1</f>
        <v>#REF!</v>
      </c>
      <c r="AQ59" s="11" t="e">
        <f>LEFT('REPORTS PER EVALUATOR'!#REF!,1)</f>
        <v>#REF!</v>
      </c>
      <c r="AR59" s="92" t="e">
        <f>(RIGHT('REPORTS PER EVALUATOR'!#REF!,1))*1</f>
        <v>#REF!</v>
      </c>
    </row>
    <row r="60" spans="1:44" x14ac:dyDescent="0.2">
      <c r="A60" s="214"/>
      <c r="B60" s="19" t="str">
        <f t="shared" si="4"/>
        <v>A</v>
      </c>
      <c r="C60" s="18" t="str">
        <f t="shared" si="5"/>
        <v>E</v>
      </c>
      <c r="D60" s="18" t="s">
        <v>13</v>
      </c>
      <c r="E60" s="26" t="str">
        <f>LEFT('REPORTS PER EVALUATOR'!$Z$6,1)</f>
        <v>1</v>
      </c>
      <c r="F60" s="73">
        <f>(RIGHT('REPORTS PER EVALUATOR'!$Z$6,1))*1</f>
        <v>1</v>
      </c>
      <c r="G60" s="11" t="str">
        <f>LEFT('REPORTS PER EVALUATOR'!$Z$18,1)</f>
        <v>A</v>
      </c>
      <c r="H60" s="81">
        <f>(RIGHT('REPORTS PER EVALUATOR'!$Z$18,1))*1</f>
        <v>2</v>
      </c>
      <c r="I60" s="11" t="str">
        <f>LEFT('REPORTS PER EVALUATOR'!$Z$30,1)</f>
        <v>E</v>
      </c>
      <c r="J60" s="81">
        <f>(RIGHT('REPORTS PER EVALUATOR'!$Z$30,1))*1</f>
        <v>2</v>
      </c>
      <c r="K60" s="11" t="str">
        <f>LEFT('REPORTS PER EVALUATOR'!$Z$42,1)</f>
        <v>A</v>
      </c>
      <c r="L60" s="81">
        <f>(RIGHT('REPORTS PER EVALUATOR'!$Z$42,1))*1</f>
        <v>2</v>
      </c>
      <c r="M60" s="11" t="str">
        <f>LEFT('REPORTS PER EVALUATOR'!$Z$54,1)</f>
        <v>A</v>
      </c>
      <c r="N60" s="81">
        <f>(RIGHT('REPORTS PER EVALUATOR'!$Z$54,1))*1</f>
        <v>2</v>
      </c>
      <c r="O60" s="11" t="str">
        <f>LEFT('REPORTS PER EVALUATOR'!$Z$66,1)</f>
        <v>1</v>
      </c>
      <c r="P60" s="81">
        <f>(RIGHT('REPORTS PER EVALUATOR'!$Z$66,1))*1</f>
        <v>1</v>
      </c>
      <c r="Q60" s="11" t="str">
        <f>LEFT('REPORTS PER EVALUATOR'!$Z$78,1)</f>
        <v>A</v>
      </c>
      <c r="R60" s="81">
        <f>(RIGHT('REPORTS PER EVALUATOR'!$Z$78,1))*1</f>
        <v>2</v>
      </c>
      <c r="S60" s="11" t="str">
        <f>LEFT('REPORTS PER EVALUATOR'!$Z$90,1)</f>
        <v>1</v>
      </c>
      <c r="T60" s="81">
        <f>(RIGHT('REPORTS PER EVALUATOR'!$Z$90,1))*1</f>
        <v>1</v>
      </c>
      <c r="U60" s="11" t="str">
        <f>LEFT('REPORTS PER EVALUATOR'!$Z$102,1)</f>
        <v>A</v>
      </c>
      <c r="V60" s="81">
        <f>(RIGHT('REPORTS PER EVALUATOR'!$Z$102,1))*1</f>
        <v>2</v>
      </c>
      <c r="W60" s="11" t="str">
        <f>LEFT('REPORTS PER EVALUATOR'!$Z$114,1)</f>
        <v>1</v>
      </c>
      <c r="X60" s="81">
        <f>(RIGHT('REPORTS PER EVALUATOR'!$Z$114,1))*1</f>
        <v>1</v>
      </c>
      <c r="Y60" s="11" t="str">
        <f>LEFT('REPORTS PER EVALUATOR'!$Z$126,1)</f>
        <v>A</v>
      </c>
      <c r="Z60" s="92">
        <f>(RIGHT('REPORTS PER EVALUATOR'!$Z$126,1))*1</f>
        <v>2</v>
      </c>
      <c r="AA60" s="11" t="e">
        <f>LEFT('REPORTS PER EVALUATOR'!#REF!,1)</f>
        <v>#REF!</v>
      </c>
      <c r="AB60" s="92" t="e">
        <f>(RIGHT('REPORTS PER EVALUATOR'!#REF!,1))*1</f>
        <v>#REF!</v>
      </c>
      <c r="AC60" s="11" t="e">
        <f>LEFT('REPORTS PER EVALUATOR'!#REF!,1)</f>
        <v>#REF!</v>
      </c>
      <c r="AD60" s="92" t="e">
        <f>(RIGHT('REPORTS PER EVALUATOR'!#REF!,1))*1</f>
        <v>#REF!</v>
      </c>
      <c r="AE60" s="11" t="e">
        <f>LEFT('REPORTS PER EVALUATOR'!#REF!,1)</f>
        <v>#REF!</v>
      </c>
      <c r="AF60" s="92" t="e">
        <f>(RIGHT('REPORTS PER EVALUATOR'!#REF!,1))*1</f>
        <v>#REF!</v>
      </c>
      <c r="AG60" s="11" t="e">
        <f>LEFT('REPORTS PER EVALUATOR'!#REF!,1)</f>
        <v>#REF!</v>
      </c>
      <c r="AH60" s="92" t="e">
        <f>(RIGHT('REPORTS PER EVALUATOR'!#REF!,1))*1</f>
        <v>#REF!</v>
      </c>
      <c r="AI60" s="11" t="e">
        <f>LEFT('REPORTS PER EVALUATOR'!#REF!,1)</f>
        <v>#REF!</v>
      </c>
      <c r="AJ60" s="92" t="e">
        <f>(RIGHT('REPORTS PER EVALUATOR'!#REF!,1))*1</f>
        <v>#REF!</v>
      </c>
      <c r="AK60" s="11" t="e">
        <f>LEFT('REPORTS PER EVALUATOR'!#REF!,1)</f>
        <v>#REF!</v>
      </c>
      <c r="AL60" s="92" t="e">
        <f>(RIGHT('REPORTS PER EVALUATOR'!#REF!,1))*1</f>
        <v>#REF!</v>
      </c>
      <c r="AM60" s="11" t="e">
        <f>LEFT('REPORTS PER EVALUATOR'!#REF!,1)</f>
        <v>#REF!</v>
      </c>
      <c r="AN60" s="92" t="e">
        <f>(RIGHT('REPORTS PER EVALUATOR'!#REF!,1))*1</f>
        <v>#REF!</v>
      </c>
      <c r="AO60" s="11" t="e">
        <f>LEFT('REPORTS PER EVALUATOR'!#REF!,1)</f>
        <v>#REF!</v>
      </c>
      <c r="AP60" s="92" t="e">
        <f>(RIGHT('REPORTS PER EVALUATOR'!#REF!,1))*1</f>
        <v>#REF!</v>
      </c>
      <c r="AQ60" s="11" t="e">
        <f>LEFT('REPORTS PER EVALUATOR'!#REF!,1)</f>
        <v>#REF!</v>
      </c>
      <c r="AR60" s="92" t="e">
        <f>(RIGHT('REPORTS PER EVALUATOR'!#REF!,1))*1</f>
        <v>#REF!</v>
      </c>
    </row>
    <row r="61" spans="1:44" x14ac:dyDescent="0.2">
      <c r="A61" s="214"/>
      <c r="B61" s="19" t="str">
        <f t="shared" si="4"/>
        <v>A</v>
      </c>
      <c r="C61" s="18" t="str">
        <f t="shared" si="5"/>
        <v>F</v>
      </c>
      <c r="D61" s="18" t="s">
        <v>14</v>
      </c>
      <c r="E61" s="26" t="str">
        <f>LEFT('REPORTS PER EVALUATOR'!$AA$6,1)</f>
        <v>1</v>
      </c>
      <c r="F61" s="73">
        <f>(RIGHT('REPORTS PER EVALUATOR'!$AA$6,1))*1</f>
        <v>1</v>
      </c>
      <c r="G61" s="11" t="str">
        <f>LEFT('REPORTS PER EVALUATOR'!$AA$18,1)</f>
        <v>A</v>
      </c>
      <c r="H61" s="81">
        <f>(RIGHT('REPORTS PER EVALUATOR'!$AA$18,1))*1</f>
        <v>2</v>
      </c>
      <c r="I61" s="11" t="str">
        <f>LEFT('REPORTS PER EVALUATOR'!$AA$30,1)</f>
        <v>F</v>
      </c>
      <c r="J61" s="81">
        <f>(RIGHT('REPORTS PER EVALUATOR'!$AA$30,1))*1</f>
        <v>2</v>
      </c>
      <c r="K61" s="11" t="str">
        <f>LEFT('REPORTS PER EVALUATOR'!$AA$42,1)</f>
        <v>1</v>
      </c>
      <c r="L61" s="81">
        <f>(RIGHT('REPORTS PER EVALUATOR'!$AA$42,1))*1</f>
        <v>1</v>
      </c>
      <c r="M61" s="11" t="str">
        <f>LEFT('REPORTS PER EVALUATOR'!$AA$54,1)</f>
        <v>1</v>
      </c>
      <c r="N61" s="81">
        <f>(RIGHT('REPORTS PER EVALUATOR'!$AA$54,1))*1</f>
        <v>1</v>
      </c>
      <c r="O61" s="11" t="str">
        <f>LEFT('REPORTS PER EVALUATOR'!$AA$66,1)</f>
        <v>1</v>
      </c>
      <c r="P61" s="81">
        <f>(RIGHT('REPORTS PER EVALUATOR'!$AA$66,1))*1</f>
        <v>1</v>
      </c>
      <c r="Q61" s="11" t="str">
        <f>LEFT('REPORTS PER EVALUATOR'!$AA$78,1)</f>
        <v>A</v>
      </c>
      <c r="R61" s="81">
        <f>(RIGHT('REPORTS PER EVALUATOR'!$AA$78,1))*1</f>
        <v>2</v>
      </c>
      <c r="S61" s="11" t="str">
        <f>LEFT('REPORTS PER EVALUATOR'!$AA$90,1)</f>
        <v>A</v>
      </c>
      <c r="T61" s="81">
        <f>(RIGHT('REPORTS PER EVALUATOR'!$AA$90,1))*1</f>
        <v>2</v>
      </c>
      <c r="U61" s="11" t="str">
        <f>LEFT('REPORTS PER EVALUATOR'!$AA$102,1)</f>
        <v>A</v>
      </c>
      <c r="V61" s="81">
        <f>(RIGHT('REPORTS PER EVALUATOR'!$AA$102,1))*1</f>
        <v>2</v>
      </c>
      <c r="W61" s="11" t="str">
        <f>LEFT('REPORTS PER EVALUATOR'!$AA$114,1)</f>
        <v>1</v>
      </c>
      <c r="X61" s="81">
        <f>(RIGHT('REPORTS PER EVALUATOR'!$AA$114,1))*1</f>
        <v>1</v>
      </c>
      <c r="Y61" s="11" t="str">
        <f>LEFT('REPORTS PER EVALUATOR'!$AA$126,1)</f>
        <v>A</v>
      </c>
      <c r="Z61" s="92">
        <f>(RIGHT('REPORTS PER EVALUATOR'!$AA$126,1))*1</f>
        <v>2</v>
      </c>
      <c r="AA61" s="11" t="e">
        <f>LEFT('REPORTS PER EVALUATOR'!#REF!,1)</f>
        <v>#REF!</v>
      </c>
      <c r="AB61" s="92" t="e">
        <f>(RIGHT('REPORTS PER EVALUATOR'!#REF!,1))*1</f>
        <v>#REF!</v>
      </c>
      <c r="AC61" s="11" t="e">
        <f>LEFT('REPORTS PER EVALUATOR'!#REF!,1)</f>
        <v>#REF!</v>
      </c>
      <c r="AD61" s="92" t="e">
        <f>(RIGHT('REPORTS PER EVALUATOR'!#REF!,1))*1</f>
        <v>#REF!</v>
      </c>
      <c r="AE61" s="11" t="e">
        <f>LEFT('REPORTS PER EVALUATOR'!#REF!,1)</f>
        <v>#REF!</v>
      </c>
      <c r="AF61" s="92" t="e">
        <f>(RIGHT('REPORTS PER EVALUATOR'!#REF!,1))*1</f>
        <v>#REF!</v>
      </c>
      <c r="AG61" s="11" t="e">
        <f>LEFT('REPORTS PER EVALUATOR'!#REF!,1)</f>
        <v>#REF!</v>
      </c>
      <c r="AH61" s="92" t="e">
        <f>(RIGHT('REPORTS PER EVALUATOR'!#REF!,1))*1</f>
        <v>#REF!</v>
      </c>
      <c r="AI61" s="11" t="e">
        <f>LEFT('REPORTS PER EVALUATOR'!#REF!,1)</f>
        <v>#REF!</v>
      </c>
      <c r="AJ61" s="92" t="e">
        <f>(RIGHT('REPORTS PER EVALUATOR'!#REF!,1))*1</f>
        <v>#REF!</v>
      </c>
      <c r="AK61" s="11" t="e">
        <f>LEFT('REPORTS PER EVALUATOR'!#REF!,1)</f>
        <v>#REF!</v>
      </c>
      <c r="AL61" s="92" t="e">
        <f>(RIGHT('REPORTS PER EVALUATOR'!#REF!,1))*1</f>
        <v>#REF!</v>
      </c>
      <c r="AM61" s="11" t="e">
        <f>LEFT('REPORTS PER EVALUATOR'!#REF!,1)</f>
        <v>#REF!</v>
      </c>
      <c r="AN61" s="92" t="e">
        <f>(RIGHT('REPORTS PER EVALUATOR'!#REF!,1))*1</f>
        <v>#REF!</v>
      </c>
      <c r="AO61" s="11" t="e">
        <f>LEFT('REPORTS PER EVALUATOR'!#REF!,1)</f>
        <v>#REF!</v>
      </c>
      <c r="AP61" s="92" t="e">
        <f>(RIGHT('REPORTS PER EVALUATOR'!#REF!,1))*1</f>
        <v>#REF!</v>
      </c>
      <c r="AQ61" s="11" t="e">
        <f>LEFT('REPORTS PER EVALUATOR'!#REF!,1)</f>
        <v>#REF!</v>
      </c>
      <c r="AR61" s="92" t="e">
        <f>(RIGHT('REPORTS PER EVALUATOR'!#REF!,1))*1</f>
        <v>#REF!</v>
      </c>
    </row>
    <row r="62" spans="1:44" x14ac:dyDescent="0.2">
      <c r="A62" s="214"/>
      <c r="B62" s="19" t="str">
        <f t="shared" si="4"/>
        <v>A</v>
      </c>
      <c r="C62" s="18" t="str">
        <f t="shared" si="5"/>
        <v>G</v>
      </c>
      <c r="D62" s="18" t="s">
        <v>15</v>
      </c>
      <c r="E62" s="26" t="str">
        <f>LEFT('REPORTS PER EVALUATOR'!$AB$6,1)</f>
        <v>1</v>
      </c>
      <c r="F62" s="73">
        <f>(RIGHT('REPORTS PER EVALUATOR'!$AB$6,1))*1</f>
        <v>1</v>
      </c>
      <c r="G62" s="11" t="str">
        <f>LEFT('REPORTS PER EVALUATOR'!$AB$18,1)</f>
        <v>A</v>
      </c>
      <c r="H62" s="81">
        <f>(RIGHT('REPORTS PER EVALUATOR'!$AB$18,1))*1</f>
        <v>3</v>
      </c>
      <c r="I62" s="11" t="str">
        <f>LEFT('REPORTS PER EVALUATOR'!$AB$30,1)</f>
        <v>1</v>
      </c>
      <c r="J62" s="81">
        <f>(RIGHT('REPORTS PER EVALUATOR'!$AB$30,1))*1</f>
        <v>1</v>
      </c>
      <c r="K62" s="11" t="str">
        <f>LEFT('REPORTS PER EVALUATOR'!$AB$42,1)</f>
        <v>1</v>
      </c>
      <c r="L62" s="81">
        <f>(RIGHT('REPORTS PER EVALUATOR'!$AB$42,1))*1</f>
        <v>1</v>
      </c>
      <c r="M62" s="11" t="str">
        <f>LEFT('REPORTS PER EVALUATOR'!$AB$54,1)</f>
        <v>A</v>
      </c>
      <c r="N62" s="81">
        <f>(RIGHT('REPORTS PER EVALUATOR'!$AB$54,1))*1</f>
        <v>2</v>
      </c>
      <c r="O62" s="11" t="str">
        <f>LEFT('REPORTS PER EVALUATOR'!$AB$66,1)</f>
        <v>A</v>
      </c>
      <c r="P62" s="81">
        <f>(RIGHT('REPORTS PER EVALUATOR'!$AB$66,1))*1</f>
        <v>3</v>
      </c>
      <c r="Q62" s="11" t="str">
        <f>LEFT('REPORTS PER EVALUATOR'!$AB$78,1)</f>
        <v>A</v>
      </c>
      <c r="R62" s="81">
        <f>(RIGHT('REPORTS PER EVALUATOR'!$AB$78,1))*1</f>
        <v>3</v>
      </c>
      <c r="S62" s="11" t="str">
        <f>LEFT('REPORTS PER EVALUATOR'!$AB$90,1)</f>
        <v>A</v>
      </c>
      <c r="T62" s="81">
        <f>(RIGHT('REPORTS PER EVALUATOR'!$AB$90,1))*1</f>
        <v>6</v>
      </c>
      <c r="U62" s="11" t="str">
        <f>LEFT('REPORTS PER EVALUATOR'!$AB$102,1)</f>
        <v>A</v>
      </c>
      <c r="V62" s="81">
        <f>(RIGHT('REPORTS PER EVALUATOR'!$AB$102,1))*1</f>
        <v>3</v>
      </c>
      <c r="W62" s="11" t="str">
        <f>LEFT('REPORTS PER EVALUATOR'!$AB$114,1)</f>
        <v>A</v>
      </c>
      <c r="X62" s="81">
        <f>(RIGHT('REPORTS PER EVALUATOR'!$AB$114,1))*1</f>
        <v>3</v>
      </c>
      <c r="Y62" s="11" t="str">
        <f>LEFT('REPORTS PER EVALUATOR'!$AB$126,1)</f>
        <v>A</v>
      </c>
      <c r="Z62" s="92">
        <f>(RIGHT('REPORTS PER EVALUATOR'!$AB$126,1))*1</f>
        <v>2</v>
      </c>
      <c r="AA62" s="11" t="e">
        <f>LEFT('REPORTS PER EVALUATOR'!#REF!,1)</f>
        <v>#REF!</v>
      </c>
      <c r="AB62" s="92" t="e">
        <f>(RIGHT('REPORTS PER EVALUATOR'!#REF!,1))*1</f>
        <v>#REF!</v>
      </c>
      <c r="AC62" s="11" t="e">
        <f>LEFT('REPORTS PER EVALUATOR'!#REF!,1)</f>
        <v>#REF!</v>
      </c>
      <c r="AD62" s="92" t="e">
        <f>(RIGHT('REPORTS PER EVALUATOR'!#REF!,1))*1</f>
        <v>#REF!</v>
      </c>
      <c r="AE62" s="11" t="e">
        <f>LEFT('REPORTS PER EVALUATOR'!#REF!,1)</f>
        <v>#REF!</v>
      </c>
      <c r="AF62" s="92" t="e">
        <f>(RIGHT('REPORTS PER EVALUATOR'!#REF!,1))*1</f>
        <v>#REF!</v>
      </c>
      <c r="AG62" s="11" t="e">
        <f>LEFT('REPORTS PER EVALUATOR'!#REF!,1)</f>
        <v>#REF!</v>
      </c>
      <c r="AH62" s="92" t="e">
        <f>(RIGHT('REPORTS PER EVALUATOR'!#REF!,1))*1</f>
        <v>#REF!</v>
      </c>
      <c r="AI62" s="11" t="e">
        <f>LEFT('REPORTS PER EVALUATOR'!#REF!,1)</f>
        <v>#REF!</v>
      </c>
      <c r="AJ62" s="92" t="e">
        <f>(RIGHT('REPORTS PER EVALUATOR'!#REF!,1))*1</f>
        <v>#REF!</v>
      </c>
      <c r="AK62" s="11" t="e">
        <f>LEFT('REPORTS PER EVALUATOR'!#REF!,1)</f>
        <v>#REF!</v>
      </c>
      <c r="AL62" s="92" t="e">
        <f>(RIGHT('REPORTS PER EVALUATOR'!#REF!,1))*1</f>
        <v>#REF!</v>
      </c>
      <c r="AM62" s="11" t="e">
        <f>LEFT('REPORTS PER EVALUATOR'!#REF!,1)</f>
        <v>#REF!</v>
      </c>
      <c r="AN62" s="92" t="e">
        <f>(RIGHT('REPORTS PER EVALUATOR'!#REF!,1))*1</f>
        <v>#REF!</v>
      </c>
      <c r="AO62" s="11" t="e">
        <f>LEFT('REPORTS PER EVALUATOR'!#REF!,1)</f>
        <v>#REF!</v>
      </c>
      <c r="AP62" s="92" t="e">
        <f>(RIGHT('REPORTS PER EVALUATOR'!#REF!,1))*1</f>
        <v>#REF!</v>
      </c>
      <c r="AQ62" s="11" t="e">
        <f>LEFT('REPORTS PER EVALUATOR'!#REF!,1)</f>
        <v>#REF!</v>
      </c>
      <c r="AR62" s="92" t="e">
        <f>(RIGHT('REPORTS PER EVALUATOR'!#REF!,1))*1</f>
        <v>#REF!</v>
      </c>
    </row>
    <row r="63" spans="1:44" x14ac:dyDescent="0.2">
      <c r="A63" s="214"/>
      <c r="B63" s="19" t="str">
        <f t="shared" si="4"/>
        <v>A</v>
      </c>
      <c r="C63" s="18" t="str">
        <f t="shared" si="5"/>
        <v>H</v>
      </c>
      <c r="D63" s="18" t="s">
        <v>16</v>
      </c>
      <c r="E63" s="26" t="str">
        <f>LEFT('REPORTS PER EVALUATOR'!$AC$6,1)</f>
        <v>1</v>
      </c>
      <c r="F63" s="73">
        <f>(RIGHT('REPORTS PER EVALUATOR'!$AC$6,1))*1</f>
        <v>1</v>
      </c>
      <c r="G63" s="11" t="str">
        <f>LEFT('REPORTS PER EVALUATOR'!$AC$18,1)</f>
        <v>A</v>
      </c>
      <c r="H63" s="81">
        <f>(RIGHT('REPORTS PER EVALUATOR'!$AC$18,1))*1</f>
        <v>2</v>
      </c>
      <c r="I63" s="11" t="str">
        <f>LEFT('REPORTS PER EVALUATOR'!$AC$30,1)</f>
        <v>1</v>
      </c>
      <c r="J63" s="81">
        <f>(RIGHT('REPORTS PER EVALUATOR'!$AC$30,1))*1</f>
        <v>1</v>
      </c>
      <c r="K63" s="11" t="str">
        <f>LEFT('REPORTS PER EVALUATOR'!$AC$42,1)</f>
        <v>A</v>
      </c>
      <c r="L63" s="81">
        <f>(RIGHT('REPORTS PER EVALUATOR'!$AC$42,1))*1</f>
        <v>2</v>
      </c>
      <c r="M63" s="11" t="str">
        <f>LEFT('REPORTS PER EVALUATOR'!$AC$54,1)</f>
        <v>1</v>
      </c>
      <c r="N63" s="81">
        <f>(RIGHT('REPORTS PER EVALUATOR'!$AC$54,1))*1</f>
        <v>1</v>
      </c>
      <c r="O63" s="11" t="str">
        <f>LEFT('REPORTS PER EVALUATOR'!$AC$66,1)</f>
        <v>A</v>
      </c>
      <c r="P63" s="81">
        <f>(RIGHT('REPORTS PER EVALUATOR'!$AC$66,1))*1</f>
        <v>2</v>
      </c>
      <c r="Q63" s="11" t="str">
        <f>LEFT('REPORTS PER EVALUATOR'!$AC$78,1)</f>
        <v>A</v>
      </c>
      <c r="R63" s="81">
        <f>(RIGHT('REPORTS PER EVALUATOR'!$AC$78,1))*1</f>
        <v>2</v>
      </c>
      <c r="S63" s="11" t="str">
        <f>LEFT('REPORTS PER EVALUATOR'!$AC$90,1)</f>
        <v>1</v>
      </c>
      <c r="T63" s="81">
        <f>(RIGHT('REPORTS PER EVALUATOR'!$AC$90,1))*1</f>
        <v>1</v>
      </c>
      <c r="U63" s="11" t="str">
        <f>LEFT('REPORTS PER EVALUATOR'!$AC$102,1)</f>
        <v>1</v>
      </c>
      <c r="V63" s="81">
        <f>(RIGHT('REPORTS PER EVALUATOR'!$AC$102,1))*1</f>
        <v>1</v>
      </c>
      <c r="W63" s="11" t="str">
        <f>LEFT('REPORTS PER EVALUATOR'!$AC$114,1)</f>
        <v>1</v>
      </c>
      <c r="X63" s="81">
        <f>(RIGHT('REPORTS PER EVALUATOR'!$AC$114,1))*1</f>
        <v>1</v>
      </c>
      <c r="Y63" s="11" t="str">
        <f>LEFT('REPORTS PER EVALUATOR'!$AC$126,1)</f>
        <v>1</v>
      </c>
      <c r="Z63" s="92">
        <f>(RIGHT('REPORTS PER EVALUATOR'!$AC$126,1))*1</f>
        <v>1</v>
      </c>
      <c r="AA63" s="11" t="e">
        <f>LEFT('REPORTS PER EVALUATOR'!#REF!,1)</f>
        <v>#REF!</v>
      </c>
      <c r="AB63" s="92" t="e">
        <f>(RIGHT('REPORTS PER EVALUATOR'!#REF!,1))*1</f>
        <v>#REF!</v>
      </c>
      <c r="AC63" s="11" t="e">
        <f>LEFT('REPORTS PER EVALUATOR'!#REF!,1)</f>
        <v>#REF!</v>
      </c>
      <c r="AD63" s="92" t="e">
        <f>(RIGHT('REPORTS PER EVALUATOR'!#REF!,1))*1</f>
        <v>#REF!</v>
      </c>
      <c r="AE63" s="11" t="e">
        <f>LEFT('REPORTS PER EVALUATOR'!#REF!,1)</f>
        <v>#REF!</v>
      </c>
      <c r="AF63" s="92" t="e">
        <f>(RIGHT('REPORTS PER EVALUATOR'!#REF!,1))*1</f>
        <v>#REF!</v>
      </c>
      <c r="AG63" s="11" t="e">
        <f>LEFT('REPORTS PER EVALUATOR'!#REF!,1)</f>
        <v>#REF!</v>
      </c>
      <c r="AH63" s="92" t="e">
        <f>(RIGHT('REPORTS PER EVALUATOR'!#REF!,1))*1</f>
        <v>#REF!</v>
      </c>
      <c r="AI63" s="11" t="e">
        <f>LEFT('REPORTS PER EVALUATOR'!#REF!,1)</f>
        <v>#REF!</v>
      </c>
      <c r="AJ63" s="92" t="e">
        <f>(RIGHT('REPORTS PER EVALUATOR'!#REF!,1))*1</f>
        <v>#REF!</v>
      </c>
      <c r="AK63" s="11" t="e">
        <f>LEFT('REPORTS PER EVALUATOR'!#REF!,1)</f>
        <v>#REF!</v>
      </c>
      <c r="AL63" s="92" t="e">
        <f>(RIGHT('REPORTS PER EVALUATOR'!#REF!,1))*1</f>
        <v>#REF!</v>
      </c>
      <c r="AM63" s="11" t="e">
        <f>LEFT('REPORTS PER EVALUATOR'!#REF!,1)</f>
        <v>#REF!</v>
      </c>
      <c r="AN63" s="92" t="e">
        <f>(RIGHT('REPORTS PER EVALUATOR'!#REF!,1))*1</f>
        <v>#REF!</v>
      </c>
      <c r="AO63" s="11" t="e">
        <f>LEFT('REPORTS PER EVALUATOR'!#REF!,1)</f>
        <v>#REF!</v>
      </c>
      <c r="AP63" s="92" t="e">
        <f>(RIGHT('REPORTS PER EVALUATOR'!#REF!,1))*1</f>
        <v>#REF!</v>
      </c>
      <c r="AQ63" s="11" t="e">
        <f>LEFT('REPORTS PER EVALUATOR'!#REF!,1)</f>
        <v>#REF!</v>
      </c>
      <c r="AR63" s="92" t="e">
        <f>(RIGHT('REPORTS PER EVALUATOR'!#REF!,1))*1</f>
        <v>#REF!</v>
      </c>
    </row>
    <row r="64" spans="1:44" x14ac:dyDescent="0.2">
      <c r="A64" s="214"/>
      <c r="B64" s="19" t="str">
        <f t="shared" si="4"/>
        <v>A</v>
      </c>
      <c r="C64" s="18" t="str">
        <f t="shared" si="5"/>
        <v>I</v>
      </c>
      <c r="D64" s="18" t="s">
        <v>17</v>
      </c>
      <c r="E64" s="26" t="str">
        <f>LEFT('REPORTS PER EVALUATOR'!$AD$6,1)</f>
        <v>1</v>
      </c>
      <c r="F64" s="73">
        <f>(RIGHT('REPORTS PER EVALUATOR'!$AD$6,1))*1</f>
        <v>1</v>
      </c>
      <c r="G64" s="11" t="str">
        <f>LEFT('REPORTS PER EVALUATOR'!$AD$18,1)</f>
        <v>A</v>
      </c>
      <c r="H64" s="81">
        <f>(RIGHT('REPORTS PER EVALUATOR'!$AD$18,1))*1</f>
        <v>3</v>
      </c>
      <c r="I64" s="11" t="str">
        <f>LEFT('REPORTS PER EVALUATOR'!$AD$30,1)</f>
        <v>1</v>
      </c>
      <c r="J64" s="81">
        <f>(RIGHT('REPORTS PER EVALUATOR'!$AD$30,1))*1</f>
        <v>1</v>
      </c>
      <c r="K64" s="11" t="str">
        <f>LEFT('REPORTS PER EVALUATOR'!$AD$42,1)</f>
        <v>1</v>
      </c>
      <c r="L64" s="81">
        <f>(RIGHT('REPORTS PER EVALUATOR'!$AD$42,1))*1</f>
        <v>1</v>
      </c>
      <c r="M64" s="11" t="str">
        <f>LEFT('REPORTS PER EVALUATOR'!$AD$54,1)</f>
        <v>A</v>
      </c>
      <c r="N64" s="81">
        <f>(RIGHT('REPORTS PER EVALUATOR'!$AD$54,1))*1</f>
        <v>2</v>
      </c>
      <c r="O64" s="11" t="str">
        <f>LEFT('REPORTS PER EVALUATOR'!$AD$66,1)</f>
        <v>A</v>
      </c>
      <c r="P64" s="81">
        <f>(RIGHT('REPORTS PER EVALUATOR'!$AD$66,1))*1</f>
        <v>2</v>
      </c>
      <c r="Q64" s="11" t="str">
        <f>LEFT('REPORTS PER EVALUATOR'!$AD$78,1)</f>
        <v>A</v>
      </c>
      <c r="R64" s="81">
        <f>(RIGHT('REPORTS PER EVALUATOR'!$AD$78,1))*1</f>
        <v>2</v>
      </c>
      <c r="S64" s="11" t="str">
        <f>LEFT('REPORTS PER EVALUATOR'!$AD$90,1)</f>
        <v>A</v>
      </c>
      <c r="T64" s="81">
        <f>(RIGHT('REPORTS PER EVALUATOR'!$AD$90,1))*1</f>
        <v>3</v>
      </c>
      <c r="U64" s="11" t="str">
        <f>LEFT('REPORTS PER EVALUATOR'!$AD$102,1)</f>
        <v>A</v>
      </c>
      <c r="V64" s="81">
        <f>(RIGHT('REPORTS PER EVALUATOR'!$AD$102,1))*1</f>
        <v>2</v>
      </c>
      <c r="W64" s="11" t="str">
        <f>LEFT('REPORTS PER EVALUATOR'!$AD$114,1)</f>
        <v>1</v>
      </c>
      <c r="X64" s="81">
        <f>(RIGHT('REPORTS PER EVALUATOR'!$AD$114,1))*1</f>
        <v>1</v>
      </c>
      <c r="Y64" s="11" t="str">
        <f>LEFT('REPORTS PER EVALUATOR'!$AD$126,1)</f>
        <v>1</v>
      </c>
      <c r="Z64" s="92">
        <f>(RIGHT('REPORTS PER EVALUATOR'!$AD$126,1))*1</f>
        <v>1</v>
      </c>
      <c r="AA64" s="11" t="e">
        <f>LEFT('REPORTS PER EVALUATOR'!#REF!,1)</f>
        <v>#REF!</v>
      </c>
      <c r="AB64" s="92" t="e">
        <f>(RIGHT('REPORTS PER EVALUATOR'!#REF!,1))*1</f>
        <v>#REF!</v>
      </c>
      <c r="AC64" s="11" t="e">
        <f>LEFT('REPORTS PER EVALUATOR'!#REF!,1)</f>
        <v>#REF!</v>
      </c>
      <c r="AD64" s="92" t="e">
        <f>(RIGHT('REPORTS PER EVALUATOR'!#REF!,1))*1</f>
        <v>#REF!</v>
      </c>
      <c r="AE64" s="11" t="e">
        <f>LEFT('REPORTS PER EVALUATOR'!#REF!,1)</f>
        <v>#REF!</v>
      </c>
      <c r="AF64" s="92" t="e">
        <f>(RIGHT('REPORTS PER EVALUATOR'!#REF!,1))*1</f>
        <v>#REF!</v>
      </c>
      <c r="AG64" s="11" t="e">
        <f>LEFT('REPORTS PER EVALUATOR'!#REF!,1)</f>
        <v>#REF!</v>
      </c>
      <c r="AH64" s="92" t="e">
        <f>(RIGHT('REPORTS PER EVALUATOR'!#REF!,1))*1</f>
        <v>#REF!</v>
      </c>
      <c r="AI64" s="11" t="e">
        <f>LEFT('REPORTS PER EVALUATOR'!#REF!,1)</f>
        <v>#REF!</v>
      </c>
      <c r="AJ64" s="92" t="e">
        <f>(RIGHT('REPORTS PER EVALUATOR'!#REF!,1))*1</f>
        <v>#REF!</v>
      </c>
      <c r="AK64" s="11" t="e">
        <f>LEFT('REPORTS PER EVALUATOR'!#REF!,1)</f>
        <v>#REF!</v>
      </c>
      <c r="AL64" s="92" t="e">
        <f>(RIGHT('REPORTS PER EVALUATOR'!#REF!,1))*1</f>
        <v>#REF!</v>
      </c>
      <c r="AM64" s="11" t="e">
        <f>LEFT('REPORTS PER EVALUATOR'!#REF!,1)</f>
        <v>#REF!</v>
      </c>
      <c r="AN64" s="92" t="e">
        <f>(RIGHT('REPORTS PER EVALUATOR'!#REF!,1))*1</f>
        <v>#REF!</v>
      </c>
      <c r="AO64" s="11" t="e">
        <f>LEFT('REPORTS PER EVALUATOR'!#REF!,1)</f>
        <v>#REF!</v>
      </c>
      <c r="AP64" s="92" t="e">
        <f>(RIGHT('REPORTS PER EVALUATOR'!#REF!,1))*1</f>
        <v>#REF!</v>
      </c>
      <c r="AQ64" s="11" t="e">
        <f>LEFT('REPORTS PER EVALUATOR'!#REF!,1)</f>
        <v>#REF!</v>
      </c>
      <c r="AR64" s="92" t="e">
        <f>(RIGHT('REPORTS PER EVALUATOR'!#REF!,1))*1</f>
        <v>#REF!</v>
      </c>
    </row>
    <row r="65" spans="1:44" x14ac:dyDescent="0.2">
      <c r="A65" s="214"/>
      <c r="B65" s="19" t="str">
        <f t="shared" si="4"/>
        <v>A</v>
      </c>
      <c r="C65" s="18" t="str">
        <f t="shared" si="5"/>
        <v>L</v>
      </c>
      <c r="D65" s="18" t="s">
        <v>18</v>
      </c>
      <c r="E65" s="26" t="str">
        <f>LEFT('REPORTS PER EVALUATOR'!$AE$6,1)</f>
        <v>A</v>
      </c>
      <c r="F65" s="73">
        <f>(RIGHT('REPORTS PER EVALUATOR'!$AE$6,1))*1</f>
        <v>2</v>
      </c>
      <c r="G65" s="11" t="str">
        <f>LEFT('REPORTS PER EVALUATOR'!$AE$18,1)</f>
        <v>A</v>
      </c>
      <c r="H65" s="81">
        <f>(RIGHT('REPORTS PER EVALUATOR'!$AE$18,1))*1</f>
        <v>3</v>
      </c>
      <c r="I65" s="11" t="str">
        <f>LEFT('REPORTS PER EVALUATOR'!$AE$30,1)</f>
        <v>A</v>
      </c>
      <c r="J65" s="81">
        <f>(RIGHT('REPORTS PER EVALUATOR'!$AE$30,1))*1</f>
        <v>3</v>
      </c>
      <c r="K65" s="11" t="str">
        <f>LEFT('REPORTS PER EVALUATOR'!$AE$42,1)</f>
        <v>A</v>
      </c>
      <c r="L65" s="81">
        <f>(RIGHT('REPORTS PER EVALUATOR'!$AE$42,1))*1</f>
        <v>3</v>
      </c>
      <c r="M65" s="11" t="str">
        <f>LEFT('REPORTS PER EVALUATOR'!$AE$54,1)</f>
        <v>A</v>
      </c>
      <c r="N65" s="81">
        <f>(RIGHT('REPORTS PER EVALUATOR'!$AE$54,1))*1</f>
        <v>2</v>
      </c>
      <c r="O65" s="11" t="str">
        <f>LEFT('REPORTS PER EVALUATOR'!$AE$66,1)</f>
        <v>A</v>
      </c>
      <c r="P65" s="81">
        <f>(RIGHT('REPORTS PER EVALUATOR'!$AE$66,1))*1</f>
        <v>3</v>
      </c>
      <c r="Q65" s="11" t="str">
        <f>LEFT('REPORTS PER EVALUATOR'!$AE$78,1)</f>
        <v>A</v>
      </c>
      <c r="R65" s="81">
        <f>(RIGHT('REPORTS PER EVALUATOR'!$AE$78,1))*1</f>
        <v>3</v>
      </c>
      <c r="S65" s="11" t="str">
        <f>LEFT('REPORTS PER EVALUATOR'!$AE$90,1)</f>
        <v>1</v>
      </c>
      <c r="T65" s="81">
        <f>(RIGHT('REPORTS PER EVALUATOR'!$AE$90,1))*1</f>
        <v>1</v>
      </c>
      <c r="U65" s="11" t="str">
        <f>LEFT('REPORTS PER EVALUATOR'!$AE$102,1)</f>
        <v>A</v>
      </c>
      <c r="V65" s="81">
        <f>(RIGHT('REPORTS PER EVALUATOR'!$AE$102,1))*1</f>
        <v>2</v>
      </c>
      <c r="W65" s="11" t="str">
        <f>LEFT('REPORTS PER EVALUATOR'!$AE$114,1)</f>
        <v>A</v>
      </c>
      <c r="X65" s="81">
        <f>(RIGHT('REPORTS PER EVALUATOR'!$AE$114,1))*1</f>
        <v>3</v>
      </c>
      <c r="Y65" s="11" t="str">
        <f>LEFT('REPORTS PER EVALUATOR'!$AE$126,1)</f>
        <v>A</v>
      </c>
      <c r="Z65" s="92">
        <f>(RIGHT('REPORTS PER EVALUATOR'!$AE$126,1))*1</f>
        <v>2</v>
      </c>
      <c r="AA65" s="11" t="e">
        <f>LEFT('REPORTS PER EVALUATOR'!#REF!,1)</f>
        <v>#REF!</v>
      </c>
      <c r="AB65" s="92" t="e">
        <f>(RIGHT('REPORTS PER EVALUATOR'!#REF!,1))*1</f>
        <v>#REF!</v>
      </c>
      <c r="AC65" s="11" t="e">
        <f>LEFT('REPORTS PER EVALUATOR'!#REF!,1)</f>
        <v>#REF!</v>
      </c>
      <c r="AD65" s="92" t="e">
        <f>(RIGHT('REPORTS PER EVALUATOR'!#REF!,1))*1</f>
        <v>#REF!</v>
      </c>
      <c r="AE65" s="11" t="e">
        <f>LEFT('REPORTS PER EVALUATOR'!#REF!,1)</f>
        <v>#REF!</v>
      </c>
      <c r="AF65" s="92" t="e">
        <f>(RIGHT('REPORTS PER EVALUATOR'!#REF!,1))*1</f>
        <v>#REF!</v>
      </c>
      <c r="AG65" s="11" t="e">
        <f>LEFT('REPORTS PER EVALUATOR'!#REF!,1)</f>
        <v>#REF!</v>
      </c>
      <c r="AH65" s="92" t="e">
        <f>(RIGHT('REPORTS PER EVALUATOR'!#REF!,1))*1</f>
        <v>#REF!</v>
      </c>
      <c r="AI65" s="11" t="e">
        <f>LEFT('REPORTS PER EVALUATOR'!#REF!,1)</f>
        <v>#REF!</v>
      </c>
      <c r="AJ65" s="92" t="e">
        <f>(RIGHT('REPORTS PER EVALUATOR'!#REF!,1))*1</f>
        <v>#REF!</v>
      </c>
      <c r="AK65" s="11" t="e">
        <f>LEFT('REPORTS PER EVALUATOR'!#REF!,1)</f>
        <v>#REF!</v>
      </c>
      <c r="AL65" s="92" t="e">
        <f>(RIGHT('REPORTS PER EVALUATOR'!#REF!,1))*1</f>
        <v>#REF!</v>
      </c>
      <c r="AM65" s="11" t="e">
        <f>LEFT('REPORTS PER EVALUATOR'!#REF!,1)</f>
        <v>#REF!</v>
      </c>
      <c r="AN65" s="92" t="e">
        <f>(RIGHT('REPORTS PER EVALUATOR'!#REF!,1))*1</f>
        <v>#REF!</v>
      </c>
      <c r="AO65" s="11" t="e">
        <f>LEFT('REPORTS PER EVALUATOR'!#REF!,1)</f>
        <v>#REF!</v>
      </c>
      <c r="AP65" s="92" t="e">
        <f>(RIGHT('REPORTS PER EVALUATOR'!#REF!,1))*1</f>
        <v>#REF!</v>
      </c>
      <c r="AQ65" s="11" t="e">
        <f>LEFT('REPORTS PER EVALUATOR'!#REF!,1)</f>
        <v>#REF!</v>
      </c>
      <c r="AR65" s="92" t="e">
        <f>(RIGHT('REPORTS PER EVALUATOR'!#REF!,1))*1</f>
        <v>#REF!</v>
      </c>
    </row>
    <row r="66" spans="1:44" x14ac:dyDescent="0.2">
      <c r="A66" s="214"/>
      <c r="B66" s="19" t="str">
        <f t="shared" si="4"/>
        <v>A</v>
      </c>
      <c r="C66" s="18" t="str">
        <f t="shared" si="5"/>
        <v>M</v>
      </c>
      <c r="D66" s="18" t="s">
        <v>157</v>
      </c>
      <c r="E66" s="26" t="str">
        <f>LEFT('REPORTS PER EVALUATOR'!$AF$6,1)</f>
        <v/>
      </c>
      <c r="F66" s="73" t="e">
        <f>(RIGHT('REPORTS PER EVALUATOR'!$AF$6,1))*1</f>
        <v>#VALUE!</v>
      </c>
      <c r="G66" s="11" t="str">
        <f>LEFT('REPORTS PER EVALUATOR'!$AF$18,1)</f>
        <v/>
      </c>
      <c r="H66" s="81" t="e">
        <f>(RIGHT('REPORTS PER EVALUATOR'!$AF$18,1))*1</f>
        <v>#VALUE!</v>
      </c>
      <c r="I66" s="11" t="str">
        <f>LEFT('REPORTS PER EVALUATOR'!$AF$30,1)</f>
        <v/>
      </c>
      <c r="J66" s="81" t="e">
        <f>(RIGHT('REPORTS PER EVALUATOR'!$AF$30,1))*1</f>
        <v>#VALUE!</v>
      </c>
      <c r="K66" s="11" t="str">
        <f>LEFT('REPORTS PER EVALUATOR'!$AF$42,1)</f>
        <v/>
      </c>
      <c r="L66" s="81" t="e">
        <f>(RIGHT('REPORTS PER EVALUATOR'!$AF$42,1))*1</f>
        <v>#VALUE!</v>
      </c>
      <c r="M66" s="11" t="str">
        <f>LEFT('REPORTS PER EVALUATOR'!$AF$54,1)</f>
        <v/>
      </c>
      <c r="N66" s="81" t="e">
        <f>(RIGHT('REPORTS PER EVALUATOR'!$AF$54,1))*1</f>
        <v>#VALUE!</v>
      </c>
      <c r="O66" s="11" t="str">
        <f>LEFT('REPORTS PER EVALUATOR'!$AF$66,1)</f>
        <v/>
      </c>
      <c r="P66" s="81" t="e">
        <f>(RIGHT('REPORTS PER EVALUATOR'!$AF$66,1))*1</f>
        <v>#VALUE!</v>
      </c>
      <c r="Q66" s="11" t="str">
        <f>LEFT('REPORTS PER EVALUATOR'!$AF$78,1)</f>
        <v/>
      </c>
      <c r="R66" s="81" t="e">
        <f>(RIGHT('REPORTS PER EVALUATOR'!$AF$78,1))*1</f>
        <v>#VALUE!</v>
      </c>
      <c r="S66" s="11" t="str">
        <f>LEFT('REPORTS PER EVALUATOR'!$AF$90,1)</f>
        <v/>
      </c>
      <c r="T66" s="81" t="e">
        <f>(RIGHT('REPORTS PER EVALUATOR'!$AF$90,1))*1</f>
        <v>#VALUE!</v>
      </c>
      <c r="U66" s="11" t="str">
        <f>LEFT('REPORTS PER EVALUATOR'!$AF$102,1)</f>
        <v/>
      </c>
      <c r="V66" s="81" t="e">
        <f>(RIGHT('REPORTS PER EVALUATOR'!$AF$102,1))*1</f>
        <v>#VALUE!</v>
      </c>
      <c r="W66" s="11" t="str">
        <f>LEFT('REPORTS PER EVALUATOR'!$AF$114,1)</f>
        <v/>
      </c>
      <c r="X66" s="81" t="e">
        <f>(RIGHT('REPORTS PER EVALUATOR'!$AF$114,1))*1</f>
        <v>#VALUE!</v>
      </c>
      <c r="Y66" s="11" t="str">
        <f>LEFT('REPORTS PER EVALUATOR'!$AF$126,1)</f>
        <v/>
      </c>
      <c r="Z66" s="92" t="e">
        <f>(RIGHT('REPORTS PER EVALUATOR'!$AF$126,1))*1</f>
        <v>#VALUE!</v>
      </c>
      <c r="AA66" s="11" t="e">
        <f>LEFT('REPORTS PER EVALUATOR'!#REF!,1)</f>
        <v>#REF!</v>
      </c>
      <c r="AB66" s="92" t="e">
        <f>(RIGHT('REPORTS PER EVALUATOR'!#REF!,1))*1</f>
        <v>#REF!</v>
      </c>
      <c r="AC66" s="11" t="e">
        <f>LEFT('REPORTS PER EVALUATOR'!#REF!,1)</f>
        <v>#REF!</v>
      </c>
      <c r="AD66" s="92" t="e">
        <f>(RIGHT('REPORTS PER EVALUATOR'!#REF!,1))*1</f>
        <v>#REF!</v>
      </c>
      <c r="AE66" s="11" t="e">
        <f>LEFT('REPORTS PER EVALUATOR'!#REF!,1)</f>
        <v>#REF!</v>
      </c>
      <c r="AF66" s="92" t="e">
        <f>(RIGHT('REPORTS PER EVALUATOR'!#REF!,1))*1</f>
        <v>#REF!</v>
      </c>
      <c r="AG66" s="11" t="e">
        <f>LEFT('REPORTS PER EVALUATOR'!#REF!,1)</f>
        <v>#REF!</v>
      </c>
      <c r="AH66" s="92" t="e">
        <f>(RIGHT('REPORTS PER EVALUATOR'!#REF!,1))*1</f>
        <v>#REF!</v>
      </c>
      <c r="AI66" s="11" t="e">
        <f>LEFT('REPORTS PER EVALUATOR'!#REF!,1)</f>
        <v>#REF!</v>
      </c>
      <c r="AJ66" s="92" t="e">
        <f>(RIGHT('REPORTS PER EVALUATOR'!#REF!,1))*1</f>
        <v>#REF!</v>
      </c>
      <c r="AK66" s="11" t="e">
        <f>LEFT('REPORTS PER EVALUATOR'!#REF!,1)</f>
        <v>#REF!</v>
      </c>
      <c r="AL66" s="92" t="e">
        <f>(RIGHT('REPORTS PER EVALUATOR'!#REF!,1))*1</f>
        <v>#REF!</v>
      </c>
      <c r="AM66" s="11" t="e">
        <f>LEFT('REPORTS PER EVALUATOR'!#REF!,1)</f>
        <v>#REF!</v>
      </c>
      <c r="AN66" s="92" t="e">
        <f>(RIGHT('REPORTS PER EVALUATOR'!#REF!,1))*1</f>
        <v>#REF!</v>
      </c>
      <c r="AO66" s="11" t="e">
        <f>LEFT('REPORTS PER EVALUATOR'!#REF!,1)</f>
        <v>#REF!</v>
      </c>
      <c r="AP66" s="92" t="e">
        <f>(RIGHT('REPORTS PER EVALUATOR'!#REF!,1))*1</f>
        <v>#REF!</v>
      </c>
      <c r="AQ66" s="11" t="e">
        <f>LEFT('REPORTS PER EVALUATOR'!#REF!,1)</f>
        <v>#REF!</v>
      </c>
      <c r="AR66" s="92" t="e">
        <f>(RIGHT('REPORTS PER EVALUATOR'!#REF!,1))*1</f>
        <v>#REF!</v>
      </c>
    </row>
    <row r="67" spans="1:44" x14ac:dyDescent="0.2">
      <c r="A67" s="214"/>
      <c r="B67" s="19" t="str">
        <f t="shared" si="4"/>
        <v>B</v>
      </c>
      <c r="C67" s="18" t="str">
        <f t="shared" si="5"/>
        <v>C</v>
      </c>
      <c r="D67" s="18" t="s">
        <v>20</v>
      </c>
      <c r="E67" s="64" t="str">
        <f>LEFT('REPORTS PER EVALUATOR'!$X$7,1)</f>
        <v>B</v>
      </c>
      <c r="F67" s="76">
        <f>(RIGHT('REPORTS PER EVALUATOR'!$X$7,1))*1</f>
        <v>2</v>
      </c>
      <c r="G67" s="65" t="str">
        <f>LEFT('REPORTS PER EVALUATOR'!$X$19,1)</f>
        <v>B</v>
      </c>
      <c r="H67" s="84">
        <f>(RIGHT('REPORTS PER EVALUATOR'!$X$19,1))*1</f>
        <v>3</v>
      </c>
      <c r="I67" s="65" t="str">
        <f>LEFT('REPORTS PER EVALUATOR'!$X$31,1)</f>
        <v>C</v>
      </c>
      <c r="J67" s="84">
        <f>(RIGHT('REPORTS PER EVALUATOR'!$X$31,1))*1</f>
        <v>2</v>
      </c>
      <c r="K67" s="65" t="str">
        <f>LEFT('REPORTS PER EVALUATOR'!$X$43,1)</f>
        <v>C</v>
      </c>
      <c r="L67" s="84">
        <f>(RIGHT('REPORTS PER EVALUATOR'!$X$43,1))*1</f>
        <v>2</v>
      </c>
      <c r="M67" s="65" t="str">
        <f>LEFT('REPORTS PER EVALUATOR'!$X$55,1)</f>
        <v>B</v>
      </c>
      <c r="N67" s="84">
        <f>(RIGHT('REPORTS PER EVALUATOR'!$X$55,1))*1</f>
        <v>3</v>
      </c>
      <c r="O67" s="65" t="str">
        <f>LEFT('REPORTS PER EVALUATOR'!$X$67,1)</f>
        <v>B</v>
      </c>
      <c r="P67" s="84">
        <f>(RIGHT('REPORTS PER EVALUATOR'!$X$67,1))*1</f>
        <v>3</v>
      </c>
      <c r="Q67" s="65" t="str">
        <f>LEFT('REPORTS PER EVALUATOR'!$X$79,1)</f>
        <v>B</v>
      </c>
      <c r="R67" s="84">
        <f>(RIGHT('REPORTS PER EVALUATOR'!$X$79,1))*1</f>
        <v>3</v>
      </c>
      <c r="S67" s="65" t="str">
        <f>LEFT('REPORTS PER EVALUATOR'!$X$91,1)</f>
        <v>1</v>
      </c>
      <c r="T67" s="84">
        <f>(RIGHT('REPORTS PER EVALUATOR'!$X$91,1))*1</f>
        <v>1</v>
      </c>
      <c r="U67" s="65" t="str">
        <f>LEFT('REPORTS PER EVALUATOR'!$X$103,1)</f>
        <v>B</v>
      </c>
      <c r="V67" s="84">
        <f>(RIGHT('REPORTS PER EVALUATOR'!$X$103,1))*1</f>
        <v>2</v>
      </c>
      <c r="W67" s="65" t="str">
        <f>LEFT('REPORTS PER EVALUATOR'!$X$115,1)</f>
        <v>B</v>
      </c>
      <c r="X67" s="84">
        <f>(RIGHT('REPORTS PER EVALUATOR'!$X$115,1))*1</f>
        <v>2</v>
      </c>
      <c r="Y67" s="65" t="str">
        <f>LEFT('REPORTS PER EVALUATOR'!$X$127,1)</f>
        <v>B</v>
      </c>
      <c r="Z67" s="96">
        <f>(RIGHT('REPORTS PER EVALUATOR'!$X$127,1))*1</f>
        <v>2</v>
      </c>
      <c r="AA67" s="65" t="e">
        <f>LEFT('REPORTS PER EVALUATOR'!#REF!,1)</f>
        <v>#REF!</v>
      </c>
      <c r="AB67" s="96" t="e">
        <f>(RIGHT('REPORTS PER EVALUATOR'!#REF!,1))*1</f>
        <v>#REF!</v>
      </c>
      <c r="AC67" s="65" t="e">
        <f>LEFT('REPORTS PER EVALUATOR'!#REF!,1)</f>
        <v>#REF!</v>
      </c>
      <c r="AD67" s="96" t="e">
        <f>(RIGHT('REPORTS PER EVALUATOR'!#REF!,1))*1</f>
        <v>#REF!</v>
      </c>
      <c r="AE67" s="65" t="e">
        <f>LEFT('REPORTS PER EVALUATOR'!#REF!,1)</f>
        <v>#REF!</v>
      </c>
      <c r="AF67" s="96" t="e">
        <f>(RIGHT('REPORTS PER EVALUATOR'!#REF!,1))*1</f>
        <v>#REF!</v>
      </c>
      <c r="AG67" s="65" t="e">
        <f>LEFT('REPORTS PER EVALUATOR'!#REF!,1)</f>
        <v>#REF!</v>
      </c>
      <c r="AH67" s="96" t="e">
        <f>(RIGHT('REPORTS PER EVALUATOR'!#REF!,1))*1</f>
        <v>#REF!</v>
      </c>
      <c r="AI67" s="65" t="e">
        <f>LEFT('REPORTS PER EVALUATOR'!#REF!,1)</f>
        <v>#REF!</v>
      </c>
      <c r="AJ67" s="96" t="e">
        <f>(RIGHT('REPORTS PER EVALUATOR'!#REF!,1))*1</f>
        <v>#REF!</v>
      </c>
      <c r="AK67" s="65" t="e">
        <f>LEFT('REPORTS PER EVALUATOR'!#REF!,1)</f>
        <v>#REF!</v>
      </c>
      <c r="AL67" s="96" t="e">
        <f>(RIGHT('REPORTS PER EVALUATOR'!#REF!,1))*1</f>
        <v>#REF!</v>
      </c>
      <c r="AM67" s="65" t="e">
        <f>LEFT('REPORTS PER EVALUATOR'!#REF!,1)</f>
        <v>#REF!</v>
      </c>
      <c r="AN67" s="96" t="e">
        <f>(RIGHT('REPORTS PER EVALUATOR'!#REF!,1))*1</f>
        <v>#REF!</v>
      </c>
      <c r="AO67" s="65" t="e">
        <f>LEFT('REPORTS PER EVALUATOR'!#REF!,1)</f>
        <v>#REF!</v>
      </c>
      <c r="AP67" s="96" t="e">
        <f>(RIGHT('REPORTS PER EVALUATOR'!#REF!,1))*1</f>
        <v>#REF!</v>
      </c>
      <c r="AQ67" s="65" t="e">
        <f>LEFT('REPORTS PER EVALUATOR'!#REF!,1)</f>
        <v>#REF!</v>
      </c>
      <c r="AR67" s="96" t="e">
        <f>(RIGHT('REPORTS PER EVALUATOR'!#REF!,1))*1</f>
        <v>#REF!</v>
      </c>
    </row>
    <row r="68" spans="1:44" x14ac:dyDescent="0.2">
      <c r="A68" s="214"/>
      <c r="B68" s="19" t="str">
        <f t="shared" si="4"/>
        <v>B</v>
      </c>
      <c r="C68" s="18" t="str">
        <f t="shared" si="5"/>
        <v>D</v>
      </c>
      <c r="D68" s="18" t="s">
        <v>21</v>
      </c>
      <c r="E68" s="26" t="str">
        <f>LEFT('REPORTS PER EVALUATOR'!$Y$7,1)</f>
        <v>D</v>
      </c>
      <c r="F68" s="73">
        <f>(RIGHT('REPORTS PER EVALUATOR'!$Y$7,1))*1</f>
        <v>2</v>
      </c>
      <c r="G68" s="11" t="str">
        <f>LEFT('REPORTS PER EVALUATOR'!$Y$19,1)</f>
        <v>D</v>
      </c>
      <c r="H68" s="81">
        <f>(RIGHT('REPORTS PER EVALUATOR'!$Y$19,1))*1</f>
        <v>3</v>
      </c>
      <c r="I68" s="11" t="str">
        <f>LEFT('REPORTS PER EVALUATOR'!$Y$31,1)</f>
        <v>1</v>
      </c>
      <c r="J68" s="81">
        <f>(RIGHT('REPORTS PER EVALUATOR'!$Y$31,1))*1</f>
        <v>1</v>
      </c>
      <c r="K68" s="11" t="str">
        <f>LEFT('REPORTS PER EVALUATOR'!$Y$43,1)</f>
        <v>B</v>
      </c>
      <c r="L68" s="81">
        <f>(RIGHT('REPORTS PER EVALUATOR'!$Y$43,1))*1</f>
        <v>2</v>
      </c>
      <c r="M68" s="11" t="str">
        <f>LEFT('REPORTS PER EVALUATOR'!$Y$55,1)</f>
        <v>B</v>
      </c>
      <c r="N68" s="81">
        <f>(RIGHT('REPORTS PER EVALUATOR'!$Y$55,1))*1</f>
        <v>2</v>
      </c>
      <c r="O68" s="11" t="str">
        <f>LEFT('REPORTS PER EVALUATOR'!$Y$67,1)</f>
        <v>1</v>
      </c>
      <c r="P68" s="81">
        <f>(RIGHT('REPORTS PER EVALUATOR'!$Y$67,1))*1</f>
        <v>1</v>
      </c>
      <c r="Q68" s="11" t="str">
        <f>LEFT('REPORTS PER EVALUATOR'!$Y$79,1)</f>
        <v>1</v>
      </c>
      <c r="R68" s="81">
        <f>(RIGHT('REPORTS PER EVALUATOR'!$Y$79,1))*1</f>
        <v>1</v>
      </c>
      <c r="S68" s="11" t="str">
        <f>LEFT('REPORTS PER EVALUATOR'!$Y$91,1)</f>
        <v>D</v>
      </c>
      <c r="T68" s="81">
        <f>(RIGHT('REPORTS PER EVALUATOR'!$Y$91,1))*1</f>
        <v>3</v>
      </c>
      <c r="U68" s="11" t="str">
        <f>LEFT('REPORTS PER EVALUATOR'!$Y$103,1)</f>
        <v>D</v>
      </c>
      <c r="V68" s="81">
        <f>(RIGHT('REPORTS PER EVALUATOR'!$Y$103,1))*1</f>
        <v>2</v>
      </c>
      <c r="W68" s="11" t="str">
        <f>LEFT('REPORTS PER EVALUATOR'!$Y$115,1)</f>
        <v>D</v>
      </c>
      <c r="X68" s="81">
        <f>(RIGHT('REPORTS PER EVALUATOR'!$Y$115,1))*1</f>
        <v>2</v>
      </c>
      <c r="Y68" s="11" t="str">
        <f>LEFT('REPORTS PER EVALUATOR'!$Y$127,1)</f>
        <v>B</v>
      </c>
      <c r="Z68" s="92">
        <f>(RIGHT('REPORTS PER EVALUATOR'!$Y$127,1))*1</f>
        <v>2</v>
      </c>
      <c r="AA68" s="11" t="e">
        <f>LEFT('REPORTS PER EVALUATOR'!#REF!,1)</f>
        <v>#REF!</v>
      </c>
      <c r="AB68" s="92" t="e">
        <f>(RIGHT('REPORTS PER EVALUATOR'!#REF!,1))*1</f>
        <v>#REF!</v>
      </c>
      <c r="AC68" s="11" t="e">
        <f>LEFT('REPORTS PER EVALUATOR'!#REF!,1)</f>
        <v>#REF!</v>
      </c>
      <c r="AD68" s="92" t="e">
        <f>(RIGHT('REPORTS PER EVALUATOR'!#REF!,1))*1</f>
        <v>#REF!</v>
      </c>
      <c r="AE68" s="11" t="e">
        <f>LEFT('REPORTS PER EVALUATOR'!#REF!,1)</f>
        <v>#REF!</v>
      </c>
      <c r="AF68" s="92" t="e">
        <f>(RIGHT('REPORTS PER EVALUATOR'!#REF!,1))*1</f>
        <v>#REF!</v>
      </c>
      <c r="AG68" s="11" t="e">
        <f>LEFT('REPORTS PER EVALUATOR'!#REF!,1)</f>
        <v>#REF!</v>
      </c>
      <c r="AH68" s="92" t="e">
        <f>(RIGHT('REPORTS PER EVALUATOR'!#REF!,1))*1</f>
        <v>#REF!</v>
      </c>
      <c r="AI68" s="11" t="e">
        <f>LEFT('REPORTS PER EVALUATOR'!#REF!,1)</f>
        <v>#REF!</v>
      </c>
      <c r="AJ68" s="92" t="e">
        <f>(RIGHT('REPORTS PER EVALUATOR'!#REF!,1))*1</f>
        <v>#REF!</v>
      </c>
      <c r="AK68" s="11" t="e">
        <f>LEFT('REPORTS PER EVALUATOR'!#REF!,1)</f>
        <v>#REF!</v>
      </c>
      <c r="AL68" s="92" t="e">
        <f>(RIGHT('REPORTS PER EVALUATOR'!#REF!,1))*1</f>
        <v>#REF!</v>
      </c>
      <c r="AM68" s="11" t="e">
        <f>LEFT('REPORTS PER EVALUATOR'!#REF!,1)</f>
        <v>#REF!</v>
      </c>
      <c r="AN68" s="92" t="e">
        <f>(RIGHT('REPORTS PER EVALUATOR'!#REF!,1))*1</f>
        <v>#REF!</v>
      </c>
      <c r="AO68" s="11" t="e">
        <f>LEFT('REPORTS PER EVALUATOR'!#REF!,1)</f>
        <v>#REF!</v>
      </c>
      <c r="AP68" s="92" t="e">
        <f>(RIGHT('REPORTS PER EVALUATOR'!#REF!,1))*1</f>
        <v>#REF!</v>
      </c>
      <c r="AQ68" s="11" t="e">
        <f>LEFT('REPORTS PER EVALUATOR'!#REF!,1)</f>
        <v>#REF!</v>
      </c>
      <c r="AR68" s="92" t="e">
        <f>(RIGHT('REPORTS PER EVALUATOR'!#REF!,1))*1</f>
        <v>#REF!</v>
      </c>
    </row>
    <row r="69" spans="1:44" x14ac:dyDescent="0.2">
      <c r="A69" s="214"/>
      <c r="B69" s="19" t="str">
        <f t="shared" si="4"/>
        <v>B</v>
      </c>
      <c r="C69" s="18" t="str">
        <f t="shared" si="5"/>
        <v>E</v>
      </c>
      <c r="D69" s="18" t="s">
        <v>22</v>
      </c>
      <c r="E69" s="26" t="str">
        <f>LEFT('REPORTS PER EVALUATOR'!$Z$7,1)</f>
        <v>1</v>
      </c>
      <c r="F69" s="73">
        <f>(RIGHT('REPORTS PER EVALUATOR'!$Z$7,1))*1</f>
        <v>1</v>
      </c>
      <c r="G69" s="11" t="str">
        <f>LEFT('REPORTS PER EVALUATOR'!$Z$19,1)</f>
        <v>E</v>
      </c>
      <c r="H69" s="81">
        <f>(RIGHT('REPORTS PER EVALUATOR'!$Z$19,1))*1</f>
        <v>3</v>
      </c>
      <c r="I69" s="11" t="str">
        <f>LEFT('REPORTS PER EVALUATOR'!$Z$31,1)</f>
        <v>1</v>
      </c>
      <c r="J69" s="81">
        <f>(RIGHT('REPORTS PER EVALUATOR'!$Z$31,1))*1</f>
        <v>1</v>
      </c>
      <c r="K69" s="11" t="str">
        <f>LEFT('REPORTS PER EVALUATOR'!$Z$43,1)</f>
        <v>1</v>
      </c>
      <c r="L69" s="81">
        <f>(RIGHT('REPORTS PER EVALUATOR'!$Z$43,1))*1</f>
        <v>1</v>
      </c>
      <c r="M69" s="11" t="str">
        <f>LEFT('REPORTS PER EVALUATOR'!$Z$55,1)</f>
        <v>E</v>
      </c>
      <c r="N69" s="81">
        <f>(RIGHT('REPORTS PER EVALUATOR'!$Z$55,1))*1</f>
        <v>2</v>
      </c>
      <c r="O69" s="11" t="str">
        <f>LEFT('REPORTS PER EVALUATOR'!$Z$67,1)</f>
        <v>E</v>
      </c>
      <c r="P69" s="81">
        <f>(RIGHT('REPORTS PER EVALUATOR'!$Z$67,1))*1</f>
        <v>3</v>
      </c>
      <c r="Q69" s="11" t="str">
        <f>LEFT('REPORTS PER EVALUATOR'!$Z$79,1)</f>
        <v>E</v>
      </c>
      <c r="R69" s="81">
        <f>(RIGHT('REPORTS PER EVALUATOR'!$Z$79,1))*1</f>
        <v>2</v>
      </c>
      <c r="S69" s="11" t="str">
        <f>LEFT('REPORTS PER EVALUATOR'!$Z$91,1)</f>
        <v>E</v>
      </c>
      <c r="T69" s="81">
        <f>(RIGHT('REPORTS PER EVALUATOR'!$Z$91,1))*1</f>
        <v>2</v>
      </c>
      <c r="U69" s="11" t="str">
        <f>LEFT('REPORTS PER EVALUATOR'!$Z$103,1)</f>
        <v>B</v>
      </c>
      <c r="V69" s="81">
        <f>(RIGHT('REPORTS PER EVALUATOR'!$Z$103,1))*1</f>
        <v>2</v>
      </c>
      <c r="W69" s="11" t="str">
        <f>LEFT('REPORTS PER EVALUATOR'!$Z$115,1)</f>
        <v>E</v>
      </c>
      <c r="X69" s="81">
        <f>(RIGHT('REPORTS PER EVALUATOR'!$Z$115,1))*1</f>
        <v>2</v>
      </c>
      <c r="Y69" s="11" t="str">
        <f>LEFT('REPORTS PER EVALUATOR'!$Z$127,1)</f>
        <v>B</v>
      </c>
      <c r="Z69" s="92">
        <f>(RIGHT('REPORTS PER EVALUATOR'!$Z$127,1))*1</f>
        <v>2</v>
      </c>
      <c r="AA69" s="11" t="e">
        <f>LEFT('REPORTS PER EVALUATOR'!#REF!,1)</f>
        <v>#REF!</v>
      </c>
      <c r="AB69" s="92" t="e">
        <f>(RIGHT('REPORTS PER EVALUATOR'!#REF!,1))*1</f>
        <v>#REF!</v>
      </c>
      <c r="AC69" s="11" t="e">
        <f>LEFT('REPORTS PER EVALUATOR'!#REF!,1)</f>
        <v>#REF!</v>
      </c>
      <c r="AD69" s="92" t="e">
        <f>(RIGHT('REPORTS PER EVALUATOR'!#REF!,1))*1</f>
        <v>#REF!</v>
      </c>
      <c r="AE69" s="11" t="e">
        <f>LEFT('REPORTS PER EVALUATOR'!#REF!,1)</f>
        <v>#REF!</v>
      </c>
      <c r="AF69" s="92" t="e">
        <f>(RIGHT('REPORTS PER EVALUATOR'!#REF!,1))*1</f>
        <v>#REF!</v>
      </c>
      <c r="AG69" s="11" t="e">
        <f>LEFT('REPORTS PER EVALUATOR'!#REF!,1)</f>
        <v>#REF!</v>
      </c>
      <c r="AH69" s="92" t="e">
        <f>(RIGHT('REPORTS PER EVALUATOR'!#REF!,1))*1</f>
        <v>#REF!</v>
      </c>
      <c r="AI69" s="11" t="e">
        <f>LEFT('REPORTS PER EVALUATOR'!#REF!,1)</f>
        <v>#REF!</v>
      </c>
      <c r="AJ69" s="92" t="e">
        <f>(RIGHT('REPORTS PER EVALUATOR'!#REF!,1))*1</f>
        <v>#REF!</v>
      </c>
      <c r="AK69" s="11" t="e">
        <f>LEFT('REPORTS PER EVALUATOR'!#REF!,1)</f>
        <v>#REF!</v>
      </c>
      <c r="AL69" s="92" t="e">
        <f>(RIGHT('REPORTS PER EVALUATOR'!#REF!,1))*1</f>
        <v>#REF!</v>
      </c>
      <c r="AM69" s="11" t="e">
        <f>LEFT('REPORTS PER EVALUATOR'!#REF!,1)</f>
        <v>#REF!</v>
      </c>
      <c r="AN69" s="92" t="e">
        <f>(RIGHT('REPORTS PER EVALUATOR'!#REF!,1))*1</f>
        <v>#REF!</v>
      </c>
      <c r="AO69" s="11" t="e">
        <f>LEFT('REPORTS PER EVALUATOR'!#REF!,1)</f>
        <v>#REF!</v>
      </c>
      <c r="AP69" s="92" t="e">
        <f>(RIGHT('REPORTS PER EVALUATOR'!#REF!,1))*1</f>
        <v>#REF!</v>
      </c>
      <c r="AQ69" s="11" t="e">
        <f>LEFT('REPORTS PER EVALUATOR'!#REF!,1)</f>
        <v>#REF!</v>
      </c>
      <c r="AR69" s="92" t="e">
        <f>(RIGHT('REPORTS PER EVALUATOR'!#REF!,1))*1</f>
        <v>#REF!</v>
      </c>
    </row>
    <row r="70" spans="1:44" x14ac:dyDescent="0.2">
      <c r="A70" s="214"/>
      <c r="B70" s="19" t="str">
        <f t="shared" si="4"/>
        <v>B</v>
      </c>
      <c r="C70" s="18" t="str">
        <f t="shared" si="5"/>
        <v>F</v>
      </c>
      <c r="D70" s="18" t="s">
        <v>23</v>
      </c>
      <c r="E70" s="26" t="str">
        <f>LEFT('REPORTS PER EVALUATOR'!$AA$7,1)</f>
        <v>1</v>
      </c>
      <c r="F70" s="73">
        <f>(RIGHT('REPORTS PER EVALUATOR'!$AA$7,1))*1</f>
        <v>1</v>
      </c>
      <c r="G70" s="11" t="str">
        <f>LEFT('REPORTS PER EVALUATOR'!$AA$19,1)</f>
        <v>F</v>
      </c>
      <c r="H70" s="81">
        <f>(RIGHT('REPORTS PER EVALUATOR'!$AA$19,1))*1</f>
        <v>2</v>
      </c>
      <c r="I70" s="11" t="str">
        <f>LEFT('REPORTS PER EVALUATOR'!$AA$31,1)</f>
        <v>F</v>
      </c>
      <c r="J70" s="81">
        <f>(RIGHT('REPORTS PER EVALUATOR'!$AA$31,1))*1</f>
        <v>2</v>
      </c>
      <c r="K70" s="11" t="str">
        <f>LEFT('REPORTS PER EVALUATOR'!$AA$43,1)</f>
        <v>F</v>
      </c>
      <c r="L70" s="81">
        <f>(RIGHT('REPORTS PER EVALUATOR'!$AA$43,1))*1</f>
        <v>2</v>
      </c>
      <c r="M70" s="11" t="str">
        <f>LEFT('REPORTS PER EVALUATOR'!$AA$55,1)</f>
        <v>F</v>
      </c>
      <c r="N70" s="81">
        <f>(RIGHT('REPORTS PER EVALUATOR'!$AA$55,1))*1</f>
        <v>2</v>
      </c>
      <c r="O70" s="11" t="str">
        <f>LEFT('REPORTS PER EVALUATOR'!$AA$67,1)</f>
        <v>F</v>
      </c>
      <c r="P70" s="81">
        <f>(RIGHT('REPORTS PER EVALUATOR'!$AA$67,1))*1</f>
        <v>3</v>
      </c>
      <c r="Q70" s="11" t="str">
        <f>LEFT('REPORTS PER EVALUATOR'!$AA$79,1)</f>
        <v>F</v>
      </c>
      <c r="R70" s="81">
        <f>(RIGHT('REPORTS PER EVALUATOR'!$AA$79,1))*1</f>
        <v>2</v>
      </c>
      <c r="S70" s="11" t="str">
        <f>LEFT('REPORTS PER EVALUATOR'!$AA$91,1)</f>
        <v>1</v>
      </c>
      <c r="T70" s="81">
        <f>(RIGHT('REPORTS PER EVALUATOR'!$AA$91,1))*1</f>
        <v>1</v>
      </c>
      <c r="U70" s="11" t="str">
        <f>LEFT('REPORTS PER EVALUATOR'!$AA$103,1)</f>
        <v>B</v>
      </c>
      <c r="V70" s="81">
        <f>(RIGHT('REPORTS PER EVALUATOR'!$AA$103,1))*1</f>
        <v>2</v>
      </c>
      <c r="W70" s="11" t="str">
        <f>LEFT('REPORTS PER EVALUATOR'!$AA$115,1)</f>
        <v>B</v>
      </c>
      <c r="X70" s="81">
        <f>(RIGHT('REPORTS PER EVALUATOR'!$AA$115,1))*1</f>
        <v>2</v>
      </c>
      <c r="Y70" s="11" t="str">
        <f>LEFT('REPORTS PER EVALUATOR'!$AA$127,1)</f>
        <v>1</v>
      </c>
      <c r="Z70" s="92">
        <f>(RIGHT('REPORTS PER EVALUATOR'!$AA$127,1))*1</f>
        <v>1</v>
      </c>
      <c r="AA70" s="11" t="e">
        <f>LEFT('REPORTS PER EVALUATOR'!#REF!,1)</f>
        <v>#REF!</v>
      </c>
      <c r="AB70" s="92" t="e">
        <f>(RIGHT('REPORTS PER EVALUATOR'!#REF!,1))*1</f>
        <v>#REF!</v>
      </c>
      <c r="AC70" s="11" t="e">
        <f>LEFT('REPORTS PER EVALUATOR'!#REF!,1)</f>
        <v>#REF!</v>
      </c>
      <c r="AD70" s="92" t="e">
        <f>(RIGHT('REPORTS PER EVALUATOR'!#REF!,1))*1</f>
        <v>#REF!</v>
      </c>
      <c r="AE70" s="11" t="e">
        <f>LEFT('REPORTS PER EVALUATOR'!#REF!,1)</f>
        <v>#REF!</v>
      </c>
      <c r="AF70" s="92" t="e">
        <f>(RIGHT('REPORTS PER EVALUATOR'!#REF!,1))*1</f>
        <v>#REF!</v>
      </c>
      <c r="AG70" s="11" t="e">
        <f>LEFT('REPORTS PER EVALUATOR'!#REF!,1)</f>
        <v>#REF!</v>
      </c>
      <c r="AH70" s="92" t="e">
        <f>(RIGHT('REPORTS PER EVALUATOR'!#REF!,1))*1</f>
        <v>#REF!</v>
      </c>
      <c r="AI70" s="11" t="e">
        <f>LEFT('REPORTS PER EVALUATOR'!#REF!,1)</f>
        <v>#REF!</v>
      </c>
      <c r="AJ70" s="92" t="e">
        <f>(RIGHT('REPORTS PER EVALUATOR'!#REF!,1))*1</f>
        <v>#REF!</v>
      </c>
      <c r="AK70" s="11" t="e">
        <f>LEFT('REPORTS PER EVALUATOR'!#REF!,1)</f>
        <v>#REF!</v>
      </c>
      <c r="AL70" s="92" t="e">
        <f>(RIGHT('REPORTS PER EVALUATOR'!#REF!,1))*1</f>
        <v>#REF!</v>
      </c>
      <c r="AM70" s="11" t="e">
        <f>LEFT('REPORTS PER EVALUATOR'!#REF!,1)</f>
        <v>#REF!</v>
      </c>
      <c r="AN70" s="92" t="e">
        <f>(RIGHT('REPORTS PER EVALUATOR'!#REF!,1))*1</f>
        <v>#REF!</v>
      </c>
      <c r="AO70" s="11" t="e">
        <f>LEFT('REPORTS PER EVALUATOR'!#REF!,1)</f>
        <v>#REF!</v>
      </c>
      <c r="AP70" s="92" t="e">
        <f>(RIGHT('REPORTS PER EVALUATOR'!#REF!,1))*1</f>
        <v>#REF!</v>
      </c>
      <c r="AQ70" s="11" t="e">
        <f>LEFT('REPORTS PER EVALUATOR'!#REF!,1)</f>
        <v>#REF!</v>
      </c>
      <c r="AR70" s="92" t="e">
        <f>(RIGHT('REPORTS PER EVALUATOR'!#REF!,1))*1</f>
        <v>#REF!</v>
      </c>
    </row>
    <row r="71" spans="1:44" x14ac:dyDescent="0.2">
      <c r="A71" s="214"/>
      <c r="B71" s="19" t="str">
        <f t="shared" si="4"/>
        <v>B</v>
      </c>
      <c r="C71" s="18" t="str">
        <f t="shared" si="5"/>
        <v>G</v>
      </c>
      <c r="D71" s="18" t="s">
        <v>24</v>
      </c>
      <c r="E71" s="26" t="str">
        <f>LEFT('REPORTS PER EVALUATOR'!$AB$7,1)</f>
        <v>B</v>
      </c>
      <c r="F71" s="73">
        <f>(RIGHT('REPORTS PER EVALUATOR'!$AB$7,1))*1</f>
        <v>3</v>
      </c>
      <c r="G71" s="11" t="str">
        <f>LEFT('REPORTS PER EVALUATOR'!$AB$19,1)</f>
        <v>B</v>
      </c>
      <c r="H71" s="81">
        <f>(RIGHT('REPORTS PER EVALUATOR'!$AB$19,1))*1</f>
        <v>2</v>
      </c>
      <c r="I71" s="11" t="str">
        <f>LEFT('REPORTS PER EVALUATOR'!$AB$31,1)</f>
        <v>G</v>
      </c>
      <c r="J71" s="81">
        <f>(RIGHT('REPORTS PER EVALUATOR'!$AB$31,1))*1</f>
        <v>2</v>
      </c>
      <c r="K71" s="11" t="str">
        <f>LEFT('REPORTS PER EVALUATOR'!$AB$43,1)</f>
        <v>G</v>
      </c>
      <c r="L71" s="81">
        <f>(RIGHT('REPORTS PER EVALUATOR'!$AB$43,1))*1</f>
        <v>2</v>
      </c>
      <c r="M71" s="11" t="str">
        <f>LEFT('REPORTS PER EVALUATOR'!$AB$55,1)</f>
        <v>1</v>
      </c>
      <c r="N71" s="81">
        <f>(RIGHT('REPORTS PER EVALUATOR'!$AB$55,1))*1</f>
        <v>1</v>
      </c>
      <c r="O71" s="11" t="str">
        <f>LEFT('REPORTS PER EVALUATOR'!$AB$67,1)</f>
        <v>1</v>
      </c>
      <c r="P71" s="81">
        <f>(RIGHT('REPORTS PER EVALUATOR'!$AB$67,1))*1</f>
        <v>1</v>
      </c>
      <c r="Q71" s="11" t="str">
        <f>LEFT('REPORTS PER EVALUATOR'!$AB$79,1)</f>
        <v>B</v>
      </c>
      <c r="R71" s="81">
        <f>(RIGHT('REPORTS PER EVALUATOR'!$AB$79,1))*1</f>
        <v>2</v>
      </c>
      <c r="S71" s="11" t="str">
        <f>LEFT('REPORTS PER EVALUATOR'!$AB$91,1)</f>
        <v>B</v>
      </c>
      <c r="T71" s="81">
        <f>(RIGHT('REPORTS PER EVALUATOR'!$AB$91,1))*1</f>
        <v>6</v>
      </c>
      <c r="U71" s="11" t="str">
        <f>LEFT('REPORTS PER EVALUATOR'!$AB$103,1)</f>
        <v>B</v>
      </c>
      <c r="V71" s="81">
        <f>(RIGHT('REPORTS PER EVALUATOR'!$AB$103,1))*1</f>
        <v>4</v>
      </c>
      <c r="W71" s="11" t="str">
        <f>LEFT('REPORTS PER EVALUATOR'!$AB$115,1)</f>
        <v>B</v>
      </c>
      <c r="X71" s="81">
        <f>(RIGHT('REPORTS PER EVALUATOR'!$AB$115,1))*1</f>
        <v>4</v>
      </c>
      <c r="Y71" s="11" t="str">
        <f>LEFT('REPORTS PER EVALUATOR'!$AB$127,1)</f>
        <v>B</v>
      </c>
      <c r="Z71" s="92">
        <f>(RIGHT('REPORTS PER EVALUATOR'!$AB$127,1))*1</f>
        <v>3</v>
      </c>
      <c r="AA71" s="11" t="e">
        <f>LEFT('REPORTS PER EVALUATOR'!#REF!,1)</f>
        <v>#REF!</v>
      </c>
      <c r="AB71" s="92" t="e">
        <f>(RIGHT('REPORTS PER EVALUATOR'!#REF!,1))*1</f>
        <v>#REF!</v>
      </c>
      <c r="AC71" s="11" t="e">
        <f>LEFT('REPORTS PER EVALUATOR'!#REF!,1)</f>
        <v>#REF!</v>
      </c>
      <c r="AD71" s="92" t="e">
        <f>(RIGHT('REPORTS PER EVALUATOR'!#REF!,1))*1</f>
        <v>#REF!</v>
      </c>
      <c r="AE71" s="11" t="e">
        <f>LEFT('REPORTS PER EVALUATOR'!#REF!,1)</f>
        <v>#REF!</v>
      </c>
      <c r="AF71" s="92" t="e">
        <f>(RIGHT('REPORTS PER EVALUATOR'!#REF!,1))*1</f>
        <v>#REF!</v>
      </c>
      <c r="AG71" s="11" t="e">
        <f>LEFT('REPORTS PER EVALUATOR'!#REF!,1)</f>
        <v>#REF!</v>
      </c>
      <c r="AH71" s="92" t="e">
        <f>(RIGHT('REPORTS PER EVALUATOR'!#REF!,1))*1</f>
        <v>#REF!</v>
      </c>
      <c r="AI71" s="11" t="e">
        <f>LEFT('REPORTS PER EVALUATOR'!#REF!,1)</f>
        <v>#REF!</v>
      </c>
      <c r="AJ71" s="92" t="e">
        <f>(RIGHT('REPORTS PER EVALUATOR'!#REF!,1))*1</f>
        <v>#REF!</v>
      </c>
      <c r="AK71" s="11" t="e">
        <f>LEFT('REPORTS PER EVALUATOR'!#REF!,1)</f>
        <v>#REF!</v>
      </c>
      <c r="AL71" s="92" t="e">
        <f>(RIGHT('REPORTS PER EVALUATOR'!#REF!,1))*1</f>
        <v>#REF!</v>
      </c>
      <c r="AM71" s="11" t="e">
        <f>LEFT('REPORTS PER EVALUATOR'!#REF!,1)</f>
        <v>#REF!</v>
      </c>
      <c r="AN71" s="92" t="e">
        <f>(RIGHT('REPORTS PER EVALUATOR'!#REF!,1))*1</f>
        <v>#REF!</v>
      </c>
      <c r="AO71" s="11" t="e">
        <f>LEFT('REPORTS PER EVALUATOR'!#REF!,1)</f>
        <v>#REF!</v>
      </c>
      <c r="AP71" s="92" t="e">
        <f>(RIGHT('REPORTS PER EVALUATOR'!#REF!,1))*1</f>
        <v>#REF!</v>
      </c>
      <c r="AQ71" s="11" t="e">
        <f>LEFT('REPORTS PER EVALUATOR'!#REF!,1)</f>
        <v>#REF!</v>
      </c>
      <c r="AR71" s="92" t="e">
        <f>(RIGHT('REPORTS PER EVALUATOR'!#REF!,1))*1</f>
        <v>#REF!</v>
      </c>
    </row>
    <row r="72" spans="1:44" x14ac:dyDescent="0.2">
      <c r="A72" s="214"/>
      <c r="B72" s="19" t="str">
        <f t="shared" si="4"/>
        <v>B</v>
      </c>
      <c r="C72" s="18" t="str">
        <f t="shared" si="5"/>
        <v>H</v>
      </c>
      <c r="D72" s="18" t="s">
        <v>25</v>
      </c>
      <c r="E72" s="26" t="str">
        <f>LEFT('REPORTS PER EVALUATOR'!$AC$7,1)</f>
        <v>1</v>
      </c>
      <c r="F72" s="73">
        <f>(RIGHT('REPORTS PER EVALUATOR'!$AC$7,1))*1</f>
        <v>1</v>
      </c>
      <c r="G72" s="11" t="str">
        <f>LEFT('REPORTS PER EVALUATOR'!$AC$19,1)</f>
        <v>H</v>
      </c>
      <c r="H72" s="81">
        <f>(RIGHT('REPORTS PER EVALUATOR'!$AC$19,1))*1</f>
        <v>3</v>
      </c>
      <c r="I72" s="11" t="str">
        <f>LEFT('REPORTS PER EVALUATOR'!$AC$31,1)</f>
        <v>B</v>
      </c>
      <c r="J72" s="81">
        <f>(RIGHT('REPORTS PER EVALUATOR'!$AC$31,1))*1</f>
        <v>2</v>
      </c>
      <c r="K72" s="11" t="str">
        <f>LEFT('REPORTS PER EVALUATOR'!$AC$43,1)</f>
        <v>B</v>
      </c>
      <c r="L72" s="81">
        <f>(RIGHT('REPORTS PER EVALUATOR'!$AC$43,1))*1</f>
        <v>2</v>
      </c>
      <c r="M72" s="11" t="str">
        <f>LEFT('REPORTS PER EVALUATOR'!$AC$55,1)</f>
        <v>H</v>
      </c>
      <c r="N72" s="81">
        <f>(RIGHT('REPORTS PER EVALUATOR'!$AC$55,1))*1</f>
        <v>2</v>
      </c>
      <c r="O72" s="11" t="str">
        <f>LEFT('REPORTS PER EVALUATOR'!$AC$67,1)</f>
        <v>H</v>
      </c>
      <c r="P72" s="81">
        <f>(RIGHT('REPORTS PER EVALUATOR'!$AC$67,1))*1</f>
        <v>2</v>
      </c>
      <c r="Q72" s="11" t="str">
        <f>LEFT('REPORTS PER EVALUATOR'!$AC$79,1)</f>
        <v>H</v>
      </c>
      <c r="R72" s="81">
        <f>(RIGHT('REPORTS PER EVALUATOR'!$AC$79,1))*1</f>
        <v>2</v>
      </c>
      <c r="S72" s="11" t="str">
        <f>LEFT('REPORTS PER EVALUATOR'!$AC$91,1)</f>
        <v>H</v>
      </c>
      <c r="T72" s="81">
        <f>(RIGHT('REPORTS PER EVALUATOR'!$AC$91,1))*1</f>
        <v>2</v>
      </c>
      <c r="U72" s="11" t="str">
        <f>LEFT('REPORTS PER EVALUATOR'!$AC$103,1)</f>
        <v>H</v>
      </c>
      <c r="V72" s="81">
        <f>(RIGHT('REPORTS PER EVALUATOR'!$AC$103,1))*1</f>
        <v>2</v>
      </c>
      <c r="W72" s="11" t="str">
        <f>LEFT('REPORTS PER EVALUATOR'!$AC$115,1)</f>
        <v>H</v>
      </c>
      <c r="X72" s="81">
        <f>(RIGHT('REPORTS PER EVALUATOR'!$AC$115,1))*1</f>
        <v>2</v>
      </c>
      <c r="Y72" s="11" t="str">
        <f>LEFT('REPORTS PER EVALUATOR'!$AC$127,1)</f>
        <v>1</v>
      </c>
      <c r="Z72" s="92">
        <f>(RIGHT('REPORTS PER EVALUATOR'!$AC$127,1))*1</f>
        <v>1</v>
      </c>
      <c r="AA72" s="11" t="e">
        <f>LEFT('REPORTS PER EVALUATOR'!#REF!,1)</f>
        <v>#REF!</v>
      </c>
      <c r="AB72" s="92" t="e">
        <f>(RIGHT('REPORTS PER EVALUATOR'!#REF!,1))*1</f>
        <v>#REF!</v>
      </c>
      <c r="AC72" s="11" t="e">
        <f>LEFT('REPORTS PER EVALUATOR'!#REF!,1)</f>
        <v>#REF!</v>
      </c>
      <c r="AD72" s="92" t="e">
        <f>(RIGHT('REPORTS PER EVALUATOR'!#REF!,1))*1</f>
        <v>#REF!</v>
      </c>
      <c r="AE72" s="11" t="e">
        <f>LEFT('REPORTS PER EVALUATOR'!#REF!,1)</f>
        <v>#REF!</v>
      </c>
      <c r="AF72" s="92" t="e">
        <f>(RIGHT('REPORTS PER EVALUATOR'!#REF!,1))*1</f>
        <v>#REF!</v>
      </c>
      <c r="AG72" s="11" t="e">
        <f>LEFT('REPORTS PER EVALUATOR'!#REF!,1)</f>
        <v>#REF!</v>
      </c>
      <c r="AH72" s="92" t="e">
        <f>(RIGHT('REPORTS PER EVALUATOR'!#REF!,1))*1</f>
        <v>#REF!</v>
      </c>
      <c r="AI72" s="11" t="e">
        <f>LEFT('REPORTS PER EVALUATOR'!#REF!,1)</f>
        <v>#REF!</v>
      </c>
      <c r="AJ72" s="92" t="e">
        <f>(RIGHT('REPORTS PER EVALUATOR'!#REF!,1))*1</f>
        <v>#REF!</v>
      </c>
      <c r="AK72" s="11" t="e">
        <f>LEFT('REPORTS PER EVALUATOR'!#REF!,1)</f>
        <v>#REF!</v>
      </c>
      <c r="AL72" s="92" t="e">
        <f>(RIGHT('REPORTS PER EVALUATOR'!#REF!,1))*1</f>
        <v>#REF!</v>
      </c>
      <c r="AM72" s="11" t="e">
        <f>LEFT('REPORTS PER EVALUATOR'!#REF!,1)</f>
        <v>#REF!</v>
      </c>
      <c r="AN72" s="92" t="e">
        <f>(RIGHT('REPORTS PER EVALUATOR'!#REF!,1))*1</f>
        <v>#REF!</v>
      </c>
      <c r="AO72" s="11" t="e">
        <f>LEFT('REPORTS PER EVALUATOR'!#REF!,1)</f>
        <v>#REF!</v>
      </c>
      <c r="AP72" s="92" t="e">
        <f>(RIGHT('REPORTS PER EVALUATOR'!#REF!,1))*1</f>
        <v>#REF!</v>
      </c>
      <c r="AQ72" s="11" t="e">
        <f>LEFT('REPORTS PER EVALUATOR'!#REF!,1)</f>
        <v>#REF!</v>
      </c>
      <c r="AR72" s="92" t="e">
        <f>(RIGHT('REPORTS PER EVALUATOR'!#REF!,1))*1</f>
        <v>#REF!</v>
      </c>
    </row>
    <row r="73" spans="1:44" x14ac:dyDescent="0.2">
      <c r="A73" s="214"/>
      <c r="B73" s="19" t="str">
        <f t="shared" si="4"/>
        <v>B</v>
      </c>
      <c r="C73" s="18" t="str">
        <f t="shared" si="5"/>
        <v>I</v>
      </c>
      <c r="D73" s="18" t="s">
        <v>26</v>
      </c>
      <c r="E73" s="26" t="str">
        <f>LEFT('REPORTS PER EVALUATOR'!$AD$7,1)</f>
        <v>I</v>
      </c>
      <c r="F73" s="73">
        <f>(RIGHT('REPORTS PER EVALUATOR'!$AD$7,1))*1</f>
        <v>2</v>
      </c>
      <c r="G73" s="11" t="str">
        <f>LEFT('REPORTS PER EVALUATOR'!$AD$19,1)</f>
        <v>I</v>
      </c>
      <c r="H73" s="81">
        <f>(RIGHT('REPORTS PER EVALUATOR'!$AD$19,1))*1</f>
        <v>2</v>
      </c>
      <c r="I73" s="11" t="str">
        <f>LEFT('REPORTS PER EVALUATOR'!$AD$31,1)</f>
        <v>I</v>
      </c>
      <c r="J73" s="81">
        <f>(RIGHT('REPORTS PER EVALUATOR'!$AD$31,1))*1</f>
        <v>2</v>
      </c>
      <c r="K73" s="11" t="str">
        <f>LEFT('REPORTS PER EVALUATOR'!$AD$43,1)</f>
        <v>I</v>
      </c>
      <c r="L73" s="81">
        <f>(RIGHT('REPORTS PER EVALUATOR'!$AD$43,1))*1</f>
        <v>3</v>
      </c>
      <c r="M73" s="11" t="str">
        <f>LEFT('REPORTS PER EVALUATOR'!$AD$55,1)</f>
        <v>1</v>
      </c>
      <c r="N73" s="81">
        <f>(RIGHT('REPORTS PER EVALUATOR'!$AD$55,1))*1</f>
        <v>1</v>
      </c>
      <c r="O73" s="11" t="str">
        <f>LEFT('REPORTS PER EVALUATOR'!$AD$67,1)</f>
        <v>1</v>
      </c>
      <c r="P73" s="81">
        <f>(RIGHT('REPORTS PER EVALUATOR'!$AD$67,1))*1</f>
        <v>1</v>
      </c>
      <c r="Q73" s="11" t="str">
        <f>LEFT('REPORTS PER EVALUATOR'!$AD$79,1)</f>
        <v>1</v>
      </c>
      <c r="R73" s="81">
        <f>(RIGHT('REPORTS PER EVALUATOR'!$AD$79,1))*1</f>
        <v>1</v>
      </c>
      <c r="S73" s="11" t="str">
        <f>LEFT('REPORTS PER EVALUATOR'!$AD$91,1)</f>
        <v>B</v>
      </c>
      <c r="T73" s="81">
        <f>(RIGHT('REPORTS PER EVALUATOR'!$AD$91,1))*1</f>
        <v>2</v>
      </c>
      <c r="U73" s="11" t="str">
        <f>LEFT('REPORTS PER EVALUATOR'!$AD$103,1)</f>
        <v>B</v>
      </c>
      <c r="V73" s="81">
        <f>(RIGHT('REPORTS PER EVALUATOR'!$AD$103,1))*1</f>
        <v>2</v>
      </c>
      <c r="W73" s="11" t="str">
        <f>LEFT('REPORTS PER EVALUATOR'!$AD$115,1)</f>
        <v>I</v>
      </c>
      <c r="X73" s="81">
        <f>(RIGHT('REPORTS PER EVALUATOR'!$AD$115,1))*1</f>
        <v>2</v>
      </c>
      <c r="Y73" s="11" t="str">
        <f>LEFT('REPORTS PER EVALUATOR'!$AD$127,1)</f>
        <v>1</v>
      </c>
      <c r="Z73" s="92">
        <f>(RIGHT('REPORTS PER EVALUATOR'!$AD$127,1))*1</f>
        <v>1</v>
      </c>
      <c r="AA73" s="11" t="e">
        <f>LEFT('REPORTS PER EVALUATOR'!#REF!,1)</f>
        <v>#REF!</v>
      </c>
      <c r="AB73" s="92" t="e">
        <f>(RIGHT('REPORTS PER EVALUATOR'!#REF!,1))*1</f>
        <v>#REF!</v>
      </c>
      <c r="AC73" s="11" t="e">
        <f>LEFT('REPORTS PER EVALUATOR'!#REF!,1)</f>
        <v>#REF!</v>
      </c>
      <c r="AD73" s="92" t="e">
        <f>(RIGHT('REPORTS PER EVALUATOR'!#REF!,1))*1</f>
        <v>#REF!</v>
      </c>
      <c r="AE73" s="11" t="e">
        <f>LEFT('REPORTS PER EVALUATOR'!#REF!,1)</f>
        <v>#REF!</v>
      </c>
      <c r="AF73" s="92" t="e">
        <f>(RIGHT('REPORTS PER EVALUATOR'!#REF!,1))*1</f>
        <v>#REF!</v>
      </c>
      <c r="AG73" s="11" t="e">
        <f>LEFT('REPORTS PER EVALUATOR'!#REF!,1)</f>
        <v>#REF!</v>
      </c>
      <c r="AH73" s="92" t="e">
        <f>(RIGHT('REPORTS PER EVALUATOR'!#REF!,1))*1</f>
        <v>#REF!</v>
      </c>
      <c r="AI73" s="11" t="e">
        <f>LEFT('REPORTS PER EVALUATOR'!#REF!,1)</f>
        <v>#REF!</v>
      </c>
      <c r="AJ73" s="92" t="e">
        <f>(RIGHT('REPORTS PER EVALUATOR'!#REF!,1))*1</f>
        <v>#REF!</v>
      </c>
      <c r="AK73" s="11" t="e">
        <f>LEFT('REPORTS PER EVALUATOR'!#REF!,1)</f>
        <v>#REF!</v>
      </c>
      <c r="AL73" s="92" t="e">
        <f>(RIGHT('REPORTS PER EVALUATOR'!#REF!,1))*1</f>
        <v>#REF!</v>
      </c>
      <c r="AM73" s="11" t="e">
        <f>LEFT('REPORTS PER EVALUATOR'!#REF!,1)</f>
        <v>#REF!</v>
      </c>
      <c r="AN73" s="92" t="e">
        <f>(RIGHT('REPORTS PER EVALUATOR'!#REF!,1))*1</f>
        <v>#REF!</v>
      </c>
      <c r="AO73" s="11" t="e">
        <f>LEFT('REPORTS PER EVALUATOR'!#REF!,1)</f>
        <v>#REF!</v>
      </c>
      <c r="AP73" s="92" t="e">
        <f>(RIGHT('REPORTS PER EVALUATOR'!#REF!,1))*1</f>
        <v>#REF!</v>
      </c>
      <c r="AQ73" s="11" t="e">
        <f>LEFT('REPORTS PER EVALUATOR'!#REF!,1)</f>
        <v>#REF!</v>
      </c>
      <c r="AR73" s="92" t="e">
        <f>(RIGHT('REPORTS PER EVALUATOR'!#REF!,1))*1</f>
        <v>#REF!</v>
      </c>
    </row>
    <row r="74" spans="1:44" x14ac:dyDescent="0.2">
      <c r="B74" s="19" t="str">
        <f t="shared" si="4"/>
        <v>B</v>
      </c>
      <c r="C74" s="18" t="str">
        <f t="shared" si="5"/>
        <v>L</v>
      </c>
      <c r="D74" s="18" t="s">
        <v>27</v>
      </c>
      <c r="E74" s="26" t="str">
        <f>LEFT('REPORTS PER EVALUATOR'!$AE$7,1)</f>
        <v>B</v>
      </c>
      <c r="F74" s="73">
        <f>(RIGHT('REPORTS PER EVALUATOR'!$AE$7,1))*1</f>
        <v>3</v>
      </c>
      <c r="G74" s="11" t="str">
        <f>LEFT('REPORTS PER EVALUATOR'!$AE$19,1)</f>
        <v>1</v>
      </c>
      <c r="H74" s="81">
        <f>(RIGHT('REPORTS PER EVALUATOR'!$AE$19,1))*1</f>
        <v>1</v>
      </c>
      <c r="I74" s="11" t="str">
        <f>LEFT('REPORTS PER EVALUATOR'!$AE$31,1)</f>
        <v>B</v>
      </c>
      <c r="J74" s="81">
        <f>(RIGHT('REPORTS PER EVALUATOR'!$AE$31,1))*1</f>
        <v>2</v>
      </c>
      <c r="K74" s="11" t="str">
        <f>LEFT('REPORTS PER EVALUATOR'!$AE$43,1)</f>
        <v>B</v>
      </c>
      <c r="L74" s="81">
        <f>(RIGHT('REPORTS PER EVALUATOR'!$AE$43,1))*1</f>
        <v>3</v>
      </c>
      <c r="M74" s="11" t="str">
        <f>LEFT('REPORTS PER EVALUATOR'!$AE$55,1)</f>
        <v>1</v>
      </c>
      <c r="N74" s="81">
        <f>(RIGHT('REPORTS PER EVALUATOR'!$AE$55,1))*1</f>
        <v>1</v>
      </c>
      <c r="O74" s="11" t="str">
        <f>LEFT('REPORTS PER EVALUATOR'!$AE$67,1)</f>
        <v>1</v>
      </c>
      <c r="P74" s="81">
        <f>(RIGHT('REPORTS PER EVALUATOR'!$AE$67,1))*1</f>
        <v>1</v>
      </c>
      <c r="Q74" s="11" t="str">
        <f>LEFT('REPORTS PER EVALUATOR'!$AE$79,1)</f>
        <v>1</v>
      </c>
      <c r="R74" s="81">
        <f>(RIGHT('REPORTS PER EVALUATOR'!$AE$79,1))*1</f>
        <v>1</v>
      </c>
      <c r="S74" s="11" t="str">
        <f>LEFT('REPORTS PER EVALUATOR'!$AE$91,1)</f>
        <v>L</v>
      </c>
      <c r="T74" s="81">
        <f>(RIGHT('REPORTS PER EVALUATOR'!$AE$91,1))*1</f>
        <v>3</v>
      </c>
      <c r="U74" s="11" t="str">
        <f>LEFT('REPORTS PER EVALUATOR'!$AE$103,1)</f>
        <v>B</v>
      </c>
      <c r="V74" s="81">
        <f>(RIGHT('REPORTS PER EVALUATOR'!$AE$103,1))*1</f>
        <v>2</v>
      </c>
      <c r="W74" s="11" t="str">
        <f>LEFT('REPORTS PER EVALUATOR'!$AE$115,1)</f>
        <v>1</v>
      </c>
      <c r="X74" s="81">
        <f>(RIGHT('REPORTS PER EVALUATOR'!$AE$115,1))*1</f>
        <v>1</v>
      </c>
      <c r="Y74" s="11" t="str">
        <f>LEFT('REPORTS PER EVALUATOR'!$AE$127,1)</f>
        <v>1</v>
      </c>
      <c r="Z74" s="92">
        <f>(RIGHT('REPORTS PER EVALUATOR'!$AE$127,1))*1</f>
        <v>1</v>
      </c>
      <c r="AA74" s="11" t="e">
        <f>LEFT('REPORTS PER EVALUATOR'!#REF!,1)</f>
        <v>#REF!</v>
      </c>
      <c r="AB74" s="92" t="e">
        <f>(RIGHT('REPORTS PER EVALUATOR'!#REF!,1))*1</f>
        <v>#REF!</v>
      </c>
      <c r="AC74" s="11" t="e">
        <f>LEFT('REPORTS PER EVALUATOR'!#REF!,1)</f>
        <v>#REF!</v>
      </c>
      <c r="AD74" s="92" t="e">
        <f>(RIGHT('REPORTS PER EVALUATOR'!#REF!,1))*1</f>
        <v>#REF!</v>
      </c>
      <c r="AE74" s="11" t="e">
        <f>LEFT('REPORTS PER EVALUATOR'!#REF!,1)</f>
        <v>#REF!</v>
      </c>
      <c r="AF74" s="92" t="e">
        <f>(RIGHT('REPORTS PER EVALUATOR'!#REF!,1))*1</f>
        <v>#REF!</v>
      </c>
      <c r="AG74" s="11" t="e">
        <f>LEFT('REPORTS PER EVALUATOR'!#REF!,1)</f>
        <v>#REF!</v>
      </c>
      <c r="AH74" s="92" t="e">
        <f>(RIGHT('REPORTS PER EVALUATOR'!#REF!,1))*1</f>
        <v>#REF!</v>
      </c>
      <c r="AI74" s="11" t="e">
        <f>LEFT('REPORTS PER EVALUATOR'!#REF!,1)</f>
        <v>#REF!</v>
      </c>
      <c r="AJ74" s="92" t="e">
        <f>(RIGHT('REPORTS PER EVALUATOR'!#REF!,1))*1</f>
        <v>#REF!</v>
      </c>
      <c r="AK74" s="11" t="e">
        <f>LEFT('REPORTS PER EVALUATOR'!#REF!,1)</f>
        <v>#REF!</v>
      </c>
      <c r="AL74" s="92" t="e">
        <f>(RIGHT('REPORTS PER EVALUATOR'!#REF!,1))*1</f>
        <v>#REF!</v>
      </c>
      <c r="AM74" s="11" t="e">
        <f>LEFT('REPORTS PER EVALUATOR'!#REF!,1)</f>
        <v>#REF!</v>
      </c>
      <c r="AN74" s="92" t="e">
        <f>(RIGHT('REPORTS PER EVALUATOR'!#REF!,1))*1</f>
        <v>#REF!</v>
      </c>
      <c r="AO74" s="11" t="e">
        <f>LEFT('REPORTS PER EVALUATOR'!#REF!,1)</f>
        <v>#REF!</v>
      </c>
      <c r="AP74" s="92" t="e">
        <f>(RIGHT('REPORTS PER EVALUATOR'!#REF!,1))*1</f>
        <v>#REF!</v>
      </c>
      <c r="AQ74" s="11" t="e">
        <f>LEFT('REPORTS PER EVALUATOR'!#REF!,1)</f>
        <v>#REF!</v>
      </c>
      <c r="AR74" s="92" t="e">
        <f>(RIGHT('REPORTS PER EVALUATOR'!#REF!,1))*1</f>
        <v>#REF!</v>
      </c>
    </row>
    <row r="75" spans="1:44" x14ac:dyDescent="0.2">
      <c r="B75" s="19" t="str">
        <f t="shared" si="4"/>
        <v>B</v>
      </c>
      <c r="C75" s="18" t="str">
        <f t="shared" si="5"/>
        <v>M</v>
      </c>
      <c r="D75" s="18" t="s">
        <v>158</v>
      </c>
      <c r="E75" s="26" t="str">
        <f>LEFT('REPORTS PER EVALUATOR'!$AF$7,1)</f>
        <v/>
      </c>
      <c r="F75" s="73" t="e">
        <f>(RIGHT('REPORTS PER EVALUATOR'!$AF$7,1))*1</f>
        <v>#VALUE!</v>
      </c>
      <c r="G75" s="11" t="str">
        <f>LEFT('REPORTS PER EVALUATOR'!$AF$19,1)</f>
        <v/>
      </c>
      <c r="H75" s="81" t="e">
        <f>(RIGHT('REPORTS PER EVALUATOR'!$AF$19,1))*1</f>
        <v>#VALUE!</v>
      </c>
      <c r="I75" s="11" t="str">
        <f>LEFT('REPORTS PER EVALUATOR'!$AF$31,1)</f>
        <v/>
      </c>
      <c r="J75" s="81" t="e">
        <f>(RIGHT('REPORTS PER EVALUATOR'!$AF$31,1))*1</f>
        <v>#VALUE!</v>
      </c>
      <c r="K75" s="11" t="str">
        <f>LEFT('REPORTS PER EVALUATOR'!$AF$43,1)</f>
        <v/>
      </c>
      <c r="L75" s="81" t="e">
        <f>(RIGHT('REPORTS PER EVALUATOR'!$AF$43,1))*1</f>
        <v>#VALUE!</v>
      </c>
      <c r="M75" s="11" t="str">
        <f>LEFT('REPORTS PER EVALUATOR'!$AF$55,1)</f>
        <v/>
      </c>
      <c r="N75" s="81" t="e">
        <f>(RIGHT('REPORTS PER EVALUATOR'!$AF$55,1))*1</f>
        <v>#VALUE!</v>
      </c>
      <c r="O75" s="11" t="str">
        <f>LEFT('REPORTS PER EVALUATOR'!$AF$67,1)</f>
        <v/>
      </c>
      <c r="P75" s="81" t="e">
        <f>(RIGHT('REPORTS PER EVALUATOR'!$AF$67,1))*1</f>
        <v>#VALUE!</v>
      </c>
      <c r="Q75" s="11" t="str">
        <f>LEFT('REPORTS PER EVALUATOR'!$AF$79,1)</f>
        <v/>
      </c>
      <c r="R75" s="81" t="e">
        <f>(RIGHT('REPORTS PER EVALUATOR'!$AF$79,1))*1</f>
        <v>#VALUE!</v>
      </c>
      <c r="S75" s="11" t="str">
        <f>LEFT('REPORTS PER EVALUATOR'!$AF$91,1)</f>
        <v/>
      </c>
      <c r="T75" s="81" t="e">
        <f>(RIGHT('REPORTS PER EVALUATOR'!$AF$91,1))*1</f>
        <v>#VALUE!</v>
      </c>
      <c r="U75" s="11" t="str">
        <f>LEFT('REPORTS PER EVALUATOR'!$AF$103,1)</f>
        <v/>
      </c>
      <c r="V75" s="81" t="e">
        <f>(RIGHT('REPORTS PER EVALUATOR'!$AF$103,1))*1</f>
        <v>#VALUE!</v>
      </c>
      <c r="W75" s="11" t="str">
        <f>LEFT('REPORTS PER EVALUATOR'!$AF$115,1)</f>
        <v/>
      </c>
      <c r="X75" s="81" t="e">
        <f>(RIGHT('REPORTS PER EVALUATOR'!$AF$115,1))*1</f>
        <v>#VALUE!</v>
      </c>
      <c r="Y75" s="11" t="str">
        <f>LEFT('REPORTS PER EVALUATOR'!$AF$127,1)</f>
        <v/>
      </c>
      <c r="Z75" s="92" t="e">
        <f>(RIGHT('REPORTS PER EVALUATOR'!$AF$127,1))*1</f>
        <v>#VALUE!</v>
      </c>
      <c r="AA75" s="11" t="e">
        <f>LEFT('REPORTS PER EVALUATOR'!#REF!,1)</f>
        <v>#REF!</v>
      </c>
      <c r="AB75" s="92" t="e">
        <f>(RIGHT('REPORTS PER EVALUATOR'!#REF!,1))*1</f>
        <v>#REF!</v>
      </c>
      <c r="AC75" s="11" t="e">
        <f>LEFT('REPORTS PER EVALUATOR'!#REF!,1)</f>
        <v>#REF!</v>
      </c>
      <c r="AD75" s="92" t="e">
        <f>(RIGHT('REPORTS PER EVALUATOR'!#REF!,1))*1</f>
        <v>#REF!</v>
      </c>
      <c r="AE75" s="11" t="e">
        <f>LEFT('REPORTS PER EVALUATOR'!#REF!,1)</f>
        <v>#REF!</v>
      </c>
      <c r="AF75" s="92" t="e">
        <f>(RIGHT('REPORTS PER EVALUATOR'!#REF!,1))*1</f>
        <v>#REF!</v>
      </c>
      <c r="AG75" s="11" t="e">
        <f>LEFT('REPORTS PER EVALUATOR'!#REF!,1)</f>
        <v>#REF!</v>
      </c>
      <c r="AH75" s="92" t="e">
        <f>(RIGHT('REPORTS PER EVALUATOR'!#REF!,1))*1</f>
        <v>#REF!</v>
      </c>
      <c r="AI75" s="11" t="e">
        <f>LEFT('REPORTS PER EVALUATOR'!#REF!,1)</f>
        <v>#REF!</v>
      </c>
      <c r="AJ75" s="92" t="e">
        <f>(RIGHT('REPORTS PER EVALUATOR'!#REF!,1))*1</f>
        <v>#REF!</v>
      </c>
      <c r="AK75" s="11" t="e">
        <f>LEFT('REPORTS PER EVALUATOR'!#REF!,1)</f>
        <v>#REF!</v>
      </c>
      <c r="AL75" s="92" t="e">
        <f>(RIGHT('REPORTS PER EVALUATOR'!#REF!,1))*1</f>
        <v>#REF!</v>
      </c>
      <c r="AM75" s="11" t="e">
        <f>LEFT('REPORTS PER EVALUATOR'!#REF!,1)</f>
        <v>#REF!</v>
      </c>
      <c r="AN75" s="92" t="e">
        <f>(RIGHT('REPORTS PER EVALUATOR'!#REF!,1))*1</f>
        <v>#REF!</v>
      </c>
      <c r="AO75" s="11" t="e">
        <f>LEFT('REPORTS PER EVALUATOR'!#REF!,1)</f>
        <v>#REF!</v>
      </c>
      <c r="AP75" s="92" t="e">
        <f>(RIGHT('REPORTS PER EVALUATOR'!#REF!,1))*1</f>
        <v>#REF!</v>
      </c>
      <c r="AQ75" s="11" t="e">
        <f>LEFT('REPORTS PER EVALUATOR'!#REF!,1)</f>
        <v>#REF!</v>
      </c>
      <c r="AR75" s="92" t="e">
        <f>(RIGHT('REPORTS PER EVALUATOR'!#REF!,1))*1</f>
        <v>#REF!</v>
      </c>
    </row>
    <row r="76" spans="1:44" x14ac:dyDescent="0.2">
      <c r="B76" s="19" t="str">
        <f t="shared" si="4"/>
        <v>C</v>
      </c>
      <c r="C76" s="18" t="str">
        <f t="shared" si="5"/>
        <v>D</v>
      </c>
      <c r="D76" s="18" t="s">
        <v>28</v>
      </c>
      <c r="E76" s="64" t="str">
        <f>LEFT('REPORTS PER EVALUATOR'!$Y$8,1)</f>
        <v>D</v>
      </c>
      <c r="F76" s="76">
        <f>(RIGHT('REPORTS PER EVALUATOR'!$Y$8,1))*1</f>
        <v>4</v>
      </c>
      <c r="G76" s="65" t="str">
        <f>LEFT('REPORTS PER EVALUATOR'!$Y$20,1)</f>
        <v>D</v>
      </c>
      <c r="H76" s="84">
        <f>(RIGHT('REPORTS PER EVALUATOR'!$Y$20,1))*1</f>
        <v>4</v>
      </c>
      <c r="I76" s="65" t="str">
        <f>LEFT('REPORTS PER EVALUATOR'!$Y$32,1)</f>
        <v>D</v>
      </c>
      <c r="J76" s="84">
        <f>(RIGHT('REPORTS PER EVALUATOR'!$Y$32,1))*1</f>
        <v>4</v>
      </c>
      <c r="K76" s="65" t="str">
        <f>LEFT('REPORTS PER EVALUATOR'!$Y$44,1)</f>
        <v>D</v>
      </c>
      <c r="L76" s="84">
        <f>(RIGHT('REPORTS PER EVALUATOR'!$Y$44,1))*1</f>
        <v>2</v>
      </c>
      <c r="M76" s="65" t="str">
        <f>LEFT('REPORTS PER EVALUATOR'!$Y$56,1)</f>
        <v>D</v>
      </c>
      <c r="N76" s="84">
        <f>(RIGHT('REPORTS PER EVALUATOR'!$Y$56,1))*1</f>
        <v>3</v>
      </c>
      <c r="O76" s="65" t="str">
        <f>LEFT('REPORTS PER EVALUATOR'!$Y$68,1)</f>
        <v>D</v>
      </c>
      <c r="P76" s="84">
        <f>(RIGHT('REPORTS PER EVALUATOR'!$Y$68,1))*1</f>
        <v>3</v>
      </c>
      <c r="Q76" s="65" t="str">
        <f>LEFT('REPORTS PER EVALUATOR'!$Y$80,1)</f>
        <v>D</v>
      </c>
      <c r="R76" s="84">
        <f>(RIGHT('REPORTS PER EVALUATOR'!$Y$80,1))*1</f>
        <v>4</v>
      </c>
      <c r="S76" s="65" t="str">
        <f>LEFT('REPORTS PER EVALUATOR'!$Y$92,1)</f>
        <v>D</v>
      </c>
      <c r="T76" s="84">
        <f>(RIGHT('REPORTS PER EVALUATOR'!$Y$92,1))*1</f>
        <v>3</v>
      </c>
      <c r="U76" s="65" t="str">
        <f>LEFT('REPORTS PER EVALUATOR'!$Y$104,1)</f>
        <v>1</v>
      </c>
      <c r="V76" s="84">
        <f>(RIGHT('REPORTS PER EVALUATOR'!$Y$104,1))*1</f>
        <v>1</v>
      </c>
      <c r="W76" s="65" t="str">
        <f>LEFT('REPORTS PER EVALUATOR'!$Y$116,1)</f>
        <v>1</v>
      </c>
      <c r="X76" s="84">
        <f>(RIGHT('REPORTS PER EVALUATOR'!$Y$116,1))*1</f>
        <v>1</v>
      </c>
      <c r="Y76" s="65" t="str">
        <f>LEFT('REPORTS PER EVALUATOR'!$Y$128,1)</f>
        <v>D</v>
      </c>
      <c r="Z76" s="96">
        <f>(RIGHT('REPORTS PER EVALUATOR'!$Y$128,1))*1</f>
        <v>2</v>
      </c>
      <c r="AA76" s="65" t="e">
        <f>LEFT('REPORTS PER EVALUATOR'!#REF!,1)</f>
        <v>#REF!</v>
      </c>
      <c r="AB76" s="96" t="e">
        <f>(RIGHT('REPORTS PER EVALUATOR'!#REF!,1))*1</f>
        <v>#REF!</v>
      </c>
      <c r="AC76" s="65" t="e">
        <f>LEFT('REPORTS PER EVALUATOR'!#REF!,1)</f>
        <v>#REF!</v>
      </c>
      <c r="AD76" s="96" t="e">
        <f>(RIGHT('REPORTS PER EVALUATOR'!#REF!,1))*1</f>
        <v>#REF!</v>
      </c>
      <c r="AE76" s="65" t="e">
        <f>LEFT('REPORTS PER EVALUATOR'!#REF!,1)</f>
        <v>#REF!</v>
      </c>
      <c r="AF76" s="96" t="e">
        <f>(RIGHT('REPORTS PER EVALUATOR'!#REF!,1))*1</f>
        <v>#REF!</v>
      </c>
      <c r="AG76" s="65" t="e">
        <f>LEFT('REPORTS PER EVALUATOR'!#REF!,1)</f>
        <v>#REF!</v>
      </c>
      <c r="AH76" s="96" t="e">
        <f>(RIGHT('REPORTS PER EVALUATOR'!#REF!,1))*1</f>
        <v>#REF!</v>
      </c>
      <c r="AI76" s="65" t="e">
        <f>LEFT('REPORTS PER EVALUATOR'!#REF!,1)</f>
        <v>#REF!</v>
      </c>
      <c r="AJ76" s="96" t="e">
        <f>(RIGHT('REPORTS PER EVALUATOR'!#REF!,1))*1</f>
        <v>#REF!</v>
      </c>
      <c r="AK76" s="65" t="e">
        <f>LEFT('REPORTS PER EVALUATOR'!#REF!,1)</f>
        <v>#REF!</v>
      </c>
      <c r="AL76" s="96" t="e">
        <f>(RIGHT('REPORTS PER EVALUATOR'!#REF!,1))*1</f>
        <v>#REF!</v>
      </c>
      <c r="AM76" s="65" t="e">
        <f>LEFT('REPORTS PER EVALUATOR'!#REF!,1)</f>
        <v>#REF!</v>
      </c>
      <c r="AN76" s="96" t="e">
        <f>(RIGHT('REPORTS PER EVALUATOR'!#REF!,1))*1</f>
        <v>#REF!</v>
      </c>
      <c r="AO76" s="65" t="e">
        <f>LEFT('REPORTS PER EVALUATOR'!#REF!,1)</f>
        <v>#REF!</v>
      </c>
      <c r="AP76" s="96" t="e">
        <f>(RIGHT('REPORTS PER EVALUATOR'!#REF!,1))*1</f>
        <v>#REF!</v>
      </c>
      <c r="AQ76" s="65" t="e">
        <f>LEFT('REPORTS PER EVALUATOR'!#REF!,1)</f>
        <v>#REF!</v>
      </c>
      <c r="AR76" s="96" t="e">
        <f>(RIGHT('REPORTS PER EVALUATOR'!#REF!,1))*1</f>
        <v>#REF!</v>
      </c>
    </row>
    <row r="77" spans="1:44" x14ac:dyDescent="0.2">
      <c r="B77" s="19" t="str">
        <f t="shared" si="4"/>
        <v>C</v>
      </c>
      <c r="C77" s="18" t="str">
        <f t="shared" si="5"/>
        <v>E</v>
      </c>
      <c r="D77" s="18" t="s">
        <v>29</v>
      </c>
      <c r="E77" s="26" t="str">
        <f>LEFT('REPORTS PER EVALUATOR'!$Z$8,1)</f>
        <v>E</v>
      </c>
      <c r="F77" s="73">
        <f>(RIGHT('REPORTS PER EVALUATOR'!$Z$8,1))*1</f>
        <v>4</v>
      </c>
      <c r="G77" s="11" t="str">
        <f>LEFT('REPORTS PER EVALUATOR'!$Z$20,1)</f>
        <v>E</v>
      </c>
      <c r="H77" s="81">
        <f>(RIGHT('REPORTS PER EVALUATOR'!$Z$20,1))*1</f>
        <v>4</v>
      </c>
      <c r="I77" s="11" t="str">
        <f>LEFT('REPORTS PER EVALUATOR'!$Z$32,1)</f>
        <v>1</v>
      </c>
      <c r="J77" s="81">
        <f>(RIGHT('REPORTS PER EVALUATOR'!$Z$32,1))*1</f>
        <v>1</v>
      </c>
      <c r="K77" s="11" t="str">
        <f>LEFT('REPORTS PER EVALUATOR'!$Z$44,1)</f>
        <v>1</v>
      </c>
      <c r="L77" s="81">
        <f>(RIGHT('REPORTS PER EVALUATOR'!$Z$44,1))*1</f>
        <v>1</v>
      </c>
      <c r="M77" s="11" t="str">
        <f>LEFT('REPORTS PER EVALUATOR'!$Z$56,1)</f>
        <v>E</v>
      </c>
      <c r="N77" s="81">
        <f>(RIGHT('REPORTS PER EVALUATOR'!$Z$56,1))*1</f>
        <v>3</v>
      </c>
      <c r="O77" s="11" t="str">
        <f>LEFT('REPORTS PER EVALUATOR'!$Z$68,1)</f>
        <v>E</v>
      </c>
      <c r="P77" s="81">
        <f>(RIGHT('REPORTS PER EVALUATOR'!$Z$68,1))*1</f>
        <v>4</v>
      </c>
      <c r="Q77" s="11" t="str">
        <f>LEFT('REPORTS PER EVALUATOR'!$Z$80,1)</f>
        <v>E</v>
      </c>
      <c r="R77" s="81">
        <f>(RIGHT('REPORTS PER EVALUATOR'!$Z$80,1))*1</f>
        <v>5</v>
      </c>
      <c r="S77" s="11" t="str">
        <f>LEFT('REPORTS PER EVALUATOR'!$Z$92,1)</f>
        <v>E</v>
      </c>
      <c r="T77" s="81">
        <f>(RIGHT('REPORTS PER EVALUATOR'!$Z$92,1))*1</f>
        <v>2</v>
      </c>
      <c r="U77" s="11" t="str">
        <f>LEFT('REPORTS PER EVALUATOR'!$Z$104,1)</f>
        <v>1</v>
      </c>
      <c r="V77" s="81">
        <f>(RIGHT('REPORTS PER EVALUATOR'!$Z$104,1))*1</f>
        <v>1</v>
      </c>
      <c r="W77" s="11" t="str">
        <f>LEFT('REPORTS PER EVALUATOR'!$Z$116,1)</f>
        <v>E</v>
      </c>
      <c r="X77" s="81">
        <f>(RIGHT('REPORTS PER EVALUATOR'!$Z$116,1))*1</f>
        <v>2</v>
      </c>
      <c r="Y77" s="11" t="str">
        <f>LEFT('REPORTS PER EVALUATOR'!$Z$128,1)</f>
        <v>E</v>
      </c>
      <c r="Z77" s="92">
        <f>(RIGHT('REPORTS PER EVALUATOR'!$Z$128,1))*1</f>
        <v>2</v>
      </c>
      <c r="AA77" s="11" t="e">
        <f>LEFT('REPORTS PER EVALUATOR'!#REF!,1)</f>
        <v>#REF!</v>
      </c>
      <c r="AB77" s="92" t="e">
        <f>(RIGHT('REPORTS PER EVALUATOR'!#REF!,1))*1</f>
        <v>#REF!</v>
      </c>
      <c r="AC77" s="11" t="e">
        <f>LEFT('REPORTS PER EVALUATOR'!#REF!,1)</f>
        <v>#REF!</v>
      </c>
      <c r="AD77" s="92" t="e">
        <f>(RIGHT('REPORTS PER EVALUATOR'!#REF!,1))*1</f>
        <v>#REF!</v>
      </c>
      <c r="AE77" s="11" t="e">
        <f>LEFT('REPORTS PER EVALUATOR'!#REF!,1)</f>
        <v>#REF!</v>
      </c>
      <c r="AF77" s="92" t="e">
        <f>(RIGHT('REPORTS PER EVALUATOR'!#REF!,1))*1</f>
        <v>#REF!</v>
      </c>
      <c r="AG77" s="11" t="e">
        <f>LEFT('REPORTS PER EVALUATOR'!#REF!,1)</f>
        <v>#REF!</v>
      </c>
      <c r="AH77" s="92" t="e">
        <f>(RIGHT('REPORTS PER EVALUATOR'!#REF!,1))*1</f>
        <v>#REF!</v>
      </c>
      <c r="AI77" s="11" t="e">
        <f>LEFT('REPORTS PER EVALUATOR'!#REF!,1)</f>
        <v>#REF!</v>
      </c>
      <c r="AJ77" s="92" t="e">
        <f>(RIGHT('REPORTS PER EVALUATOR'!#REF!,1))*1</f>
        <v>#REF!</v>
      </c>
      <c r="AK77" s="11" t="e">
        <f>LEFT('REPORTS PER EVALUATOR'!#REF!,1)</f>
        <v>#REF!</v>
      </c>
      <c r="AL77" s="92" t="e">
        <f>(RIGHT('REPORTS PER EVALUATOR'!#REF!,1))*1</f>
        <v>#REF!</v>
      </c>
      <c r="AM77" s="11" t="e">
        <f>LEFT('REPORTS PER EVALUATOR'!#REF!,1)</f>
        <v>#REF!</v>
      </c>
      <c r="AN77" s="92" t="e">
        <f>(RIGHT('REPORTS PER EVALUATOR'!#REF!,1))*1</f>
        <v>#REF!</v>
      </c>
      <c r="AO77" s="11" t="e">
        <f>LEFT('REPORTS PER EVALUATOR'!#REF!,1)</f>
        <v>#REF!</v>
      </c>
      <c r="AP77" s="92" t="e">
        <f>(RIGHT('REPORTS PER EVALUATOR'!#REF!,1))*1</f>
        <v>#REF!</v>
      </c>
      <c r="AQ77" s="11" t="e">
        <f>LEFT('REPORTS PER EVALUATOR'!#REF!,1)</f>
        <v>#REF!</v>
      </c>
      <c r="AR77" s="92" t="e">
        <f>(RIGHT('REPORTS PER EVALUATOR'!#REF!,1))*1</f>
        <v>#REF!</v>
      </c>
    </row>
    <row r="78" spans="1:44" x14ac:dyDescent="0.2">
      <c r="B78" s="19" t="str">
        <f t="shared" si="4"/>
        <v>C</v>
      </c>
      <c r="C78" s="18" t="str">
        <f t="shared" si="5"/>
        <v>F</v>
      </c>
      <c r="D78" s="18" t="s">
        <v>30</v>
      </c>
      <c r="E78" s="26" t="str">
        <f>LEFT('REPORTS PER EVALUATOR'!$AA$8,1)</f>
        <v>F</v>
      </c>
      <c r="F78" s="73">
        <f>(RIGHT('REPORTS PER EVALUATOR'!$AA$8,1))*1</f>
        <v>3</v>
      </c>
      <c r="G78" s="11" t="str">
        <f>LEFT('REPORTS PER EVALUATOR'!$AA$20,1)</f>
        <v>F</v>
      </c>
      <c r="H78" s="81">
        <f>(RIGHT('REPORTS PER EVALUATOR'!$AA$20,1))*1</f>
        <v>3</v>
      </c>
      <c r="I78" s="11" t="str">
        <f>LEFT('REPORTS PER EVALUATOR'!$AA$32,1)</f>
        <v>F</v>
      </c>
      <c r="J78" s="81">
        <f>(RIGHT('REPORTS PER EVALUATOR'!$AA$32,1))*1</f>
        <v>2</v>
      </c>
      <c r="K78" s="11" t="str">
        <f>LEFT('REPORTS PER EVALUATOR'!$AA$44,1)</f>
        <v>F</v>
      </c>
      <c r="L78" s="81">
        <f>(RIGHT('REPORTS PER EVALUATOR'!$AA$44,1))*1</f>
        <v>2</v>
      </c>
      <c r="M78" s="11" t="str">
        <f>LEFT('REPORTS PER EVALUATOR'!$AA$56,1)</f>
        <v>F</v>
      </c>
      <c r="N78" s="81">
        <f>(RIGHT('REPORTS PER EVALUATOR'!$AA$56,1))*1</f>
        <v>3</v>
      </c>
      <c r="O78" s="11" t="str">
        <f>LEFT('REPORTS PER EVALUATOR'!$AA$68,1)</f>
        <v>F</v>
      </c>
      <c r="P78" s="81">
        <f>(RIGHT('REPORTS PER EVALUATOR'!$AA$68,1))*1</f>
        <v>4</v>
      </c>
      <c r="Q78" s="11" t="str">
        <f>LEFT('REPORTS PER EVALUATOR'!$AA$80,1)</f>
        <v>F</v>
      </c>
      <c r="R78" s="81">
        <f>(RIGHT('REPORTS PER EVALUATOR'!$AA$80,1))*1</f>
        <v>4</v>
      </c>
      <c r="S78" s="11" t="str">
        <f>LEFT('REPORTS PER EVALUATOR'!$AA$92,1)</f>
        <v>1</v>
      </c>
      <c r="T78" s="81">
        <f>(RIGHT('REPORTS PER EVALUATOR'!$AA$92,1))*1</f>
        <v>1</v>
      </c>
      <c r="U78" s="11" t="str">
        <f>LEFT('REPORTS PER EVALUATOR'!$AA$104,1)</f>
        <v>C</v>
      </c>
      <c r="V78" s="81">
        <f>(RIGHT('REPORTS PER EVALUATOR'!$AA$104,1))*1</f>
        <v>2</v>
      </c>
      <c r="W78" s="11" t="str">
        <f>LEFT('REPORTS PER EVALUATOR'!$AA$116,1)</f>
        <v>1</v>
      </c>
      <c r="X78" s="81">
        <f>(RIGHT('REPORTS PER EVALUATOR'!$AA$116,1))*1</f>
        <v>1</v>
      </c>
      <c r="Y78" s="11" t="str">
        <f>LEFT('REPORTS PER EVALUATOR'!$AA$128,1)</f>
        <v>1</v>
      </c>
      <c r="Z78" s="92">
        <f>(RIGHT('REPORTS PER EVALUATOR'!$AA$128,1))*1</f>
        <v>1</v>
      </c>
      <c r="AA78" s="11" t="e">
        <f>LEFT('REPORTS PER EVALUATOR'!#REF!,1)</f>
        <v>#REF!</v>
      </c>
      <c r="AB78" s="92" t="e">
        <f>(RIGHT('REPORTS PER EVALUATOR'!#REF!,1))*1</f>
        <v>#REF!</v>
      </c>
      <c r="AC78" s="11" t="e">
        <f>LEFT('REPORTS PER EVALUATOR'!#REF!,1)</f>
        <v>#REF!</v>
      </c>
      <c r="AD78" s="92" t="e">
        <f>(RIGHT('REPORTS PER EVALUATOR'!#REF!,1))*1</f>
        <v>#REF!</v>
      </c>
      <c r="AE78" s="11" t="e">
        <f>LEFT('REPORTS PER EVALUATOR'!#REF!,1)</f>
        <v>#REF!</v>
      </c>
      <c r="AF78" s="92" t="e">
        <f>(RIGHT('REPORTS PER EVALUATOR'!#REF!,1))*1</f>
        <v>#REF!</v>
      </c>
      <c r="AG78" s="11" t="e">
        <f>LEFT('REPORTS PER EVALUATOR'!#REF!,1)</f>
        <v>#REF!</v>
      </c>
      <c r="AH78" s="92" t="e">
        <f>(RIGHT('REPORTS PER EVALUATOR'!#REF!,1))*1</f>
        <v>#REF!</v>
      </c>
      <c r="AI78" s="11" t="e">
        <f>LEFT('REPORTS PER EVALUATOR'!#REF!,1)</f>
        <v>#REF!</v>
      </c>
      <c r="AJ78" s="92" t="e">
        <f>(RIGHT('REPORTS PER EVALUATOR'!#REF!,1))*1</f>
        <v>#REF!</v>
      </c>
      <c r="AK78" s="11" t="e">
        <f>LEFT('REPORTS PER EVALUATOR'!#REF!,1)</f>
        <v>#REF!</v>
      </c>
      <c r="AL78" s="92" t="e">
        <f>(RIGHT('REPORTS PER EVALUATOR'!#REF!,1))*1</f>
        <v>#REF!</v>
      </c>
      <c r="AM78" s="11" t="e">
        <f>LEFT('REPORTS PER EVALUATOR'!#REF!,1)</f>
        <v>#REF!</v>
      </c>
      <c r="AN78" s="92" t="e">
        <f>(RIGHT('REPORTS PER EVALUATOR'!#REF!,1))*1</f>
        <v>#REF!</v>
      </c>
      <c r="AO78" s="11" t="e">
        <f>LEFT('REPORTS PER EVALUATOR'!#REF!,1)</f>
        <v>#REF!</v>
      </c>
      <c r="AP78" s="92" t="e">
        <f>(RIGHT('REPORTS PER EVALUATOR'!#REF!,1))*1</f>
        <v>#REF!</v>
      </c>
      <c r="AQ78" s="11" t="e">
        <f>LEFT('REPORTS PER EVALUATOR'!#REF!,1)</f>
        <v>#REF!</v>
      </c>
      <c r="AR78" s="92" t="e">
        <f>(RIGHT('REPORTS PER EVALUATOR'!#REF!,1))*1</f>
        <v>#REF!</v>
      </c>
    </row>
    <row r="79" spans="1:44" x14ac:dyDescent="0.2">
      <c r="B79" s="19" t="str">
        <f t="shared" si="4"/>
        <v>C</v>
      </c>
      <c r="C79" s="18" t="str">
        <f t="shared" si="5"/>
        <v>G</v>
      </c>
      <c r="D79" s="18" t="s">
        <v>31</v>
      </c>
      <c r="E79" s="26" t="str">
        <f>LEFT('REPORTS PER EVALUATOR'!$AB$8,1)</f>
        <v>G</v>
      </c>
      <c r="F79" s="73">
        <f>(RIGHT('REPORTS PER EVALUATOR'!$AB$8,1))*1</f>
        <v>3</v>
      </c>
      <c r="G79" s="11" t="str">
        <f>LEFT('REPORTS PER EVALUATOR'!$AB$20,1)</f>
        <v>G</v>
      </c>
      <c r="H79" s="81">
        <f>(RIGHT('REPORTS PER EVALUATOR'!$AB$20,1))*1</f>
        <v>3</v>
      </c>
      <c r="I79" s="11" t="str">
        <f>LEFT('REPORTS PER EVALUATOR'!$AB$32,1)</f>
        <v>G</v>
      </c>
      <c r="J79" s="81">
        <f>(RIGHT('REPORTS PER EVALUATOR'!$AB$32,1))*1</f>
        <v>2</v>
      </c>
      <c r="K79" s="11" t="str">
        <f>LEFT('REPORTS PER EVALUATOR'!$AB$44,1)</f>
        <v>G</v>
      </c>
      <c r="L79" s="81">
        <f>(RIGHT('REPORTS PER EVALUATOR'!$AB$44,1))*1</f>
        <v>2</v>
      </c>
      <c r="M79" s="11" t="str">
        <f>LEFT('REPORTS PER EVALUATOR'!$AB$56,1)</f>
        <v>G</v>
      </c>
      <c r="N79" s="81">
        <f>(RIGHT('REPORTS PER EVALUATOR'!$AB$56,1))*1</f>
        <v>2</v>
      </c>
      <c r="O79" s="11" t="str">
        <f>LEFT('REPORTS PER EVALUATOR'!$AB$68,1)</f>
        <v>1</v>
      </c>
      <c r="P79" s="81">
        <f>(RIGHT('REPORTS PER EVALUATOR'!$AB$68,1))*1</f>
        <v>1</v>
      </c>
      <c r="Q79" s="11" t="str">
        <f>LEFT('REPORTS PER EVALUATOR'!$AB$80,1)</f>
        <v>1</v>
      </c>
      <c r="R79" s="81">
        <f>(RIGHT('REPORTS PER EVALUATOR'!$AB$80,1))*1</f>
        <v>1</v>
      </c>
      <c r="S79" s="11" t="str">
        <f>LEFT('REPORTS PER EVALUATOR'!$AB$92,1)</f>
        <v>C</v>
      </c>
      <c r="T79" s="81">
        <f>(RIGHT('REPORTS PER EVALUATOR'!$AB$92,1))*1</f>
        <v>6</v>
      </c>
      <c r="U79" s="11" t="str">
        <f>LEFT('REPORTS PER EVALUATOR'!$AB$104,1)</f>
        <v>C</v>
      </c>
      <c r="V79" s="81">
        <f>(RIGHT('REPORTS PER EVALUATOR'!$AB$104,1))*1</f>
        <v>4</v>
      </c>
      <c r="W79" s="11" t="str">
        <f>LEFT('REPORTS PER EVALUATOR'!$AB$116,1)</f>
        <v>1</v>
      </c>
      <c r="X79" s="81">
        <f>(RIGHT('REPORTS PER EVALUATOR'!$AB$116,1))*1</f>
        <v>1</v>
      </c>
      <c r="Y79" s="11" t="str">
        <f>LEFT('REPORTS PER EVALUATOR'!$AB$128,1)</f>
        <v>C</v>
      </c>
      <c r="Z79" s="92">
        <f>(RIGHT('REPORTS PER EVALUATOR'!$AB$128,1))*1</f>
        <v>2</v>
      </c>
      <c r="AA79" s="11" t="e">
        <f>LEFT('REPORTS PER EVALUATOR'!#REF!,1)</f>
        <v>#REF!</v>
      </c>
      <c r="AB79" s="92" t="e">
        <f>(RIGHT('REPORTS PER EVALUATOR'!#REF!,1))*1</f>
        <v>#REF!</v>
      </c>
      <c r="AC79" s="11" t="e">
        <f>LEFT('REPORTS PER EVALUATOR'!#REF!,1)</f>
        <v>#REF!</v>
      </c>
      <c r="AD79" s="92" t="e">
        <f>(RIGHT('REPORTS PER EVALUATOR'!#REF!,1))*1</f>
        <v>#REF!</v>
      </c>
      <c r="AE79" s="11" t="e">
        <f>LEFT('REPORTS PER EVALUATOR'!#REF!,1)</f>
        <v>#REF!</v>
      </c>
      <c r="AF79" s="92" t="e">
        <f>(RIGHT('REPORTS PER EVALUATOR'!#REF!,1))*1</f>
        <v>#REF!</v>
      </c>
      <c r="AG79" s="11" t="e">
        <f>LEFT('REPORTS PER EVALUATOR'!#REF!,1)</f>
        <v>#REF!</v>
      </c>
      <c r="AH79" s="92" t="e">
        <f>(RIGHT('REPORTS PER EVALUATOR'!#REF!,1))*1</f>
        <v>#REF!</v>
      </c>
      <c r="AI79" s="11" t="e">
        <f>LEFT('REPORTS PER EVALUATOR'!#REF!,1)</f>
        <v>#REF!</v>
      </c>
      <c r="AJ79" s="92" t="e">
        <f>(RIGHT('REPORTS PER EVALUATOR'!#REF!,1))*1</f>
        <v>#REF!</v>
      </c>
      <c r="AK79" s="11" t="e">
        <f>LEFT('REPORTS PER EVALUATOR'!#REF!,1)</f>
        <v>#REF!</v>
      </c>
      <c r="AL79" s="92" t="e">
        <f>(RIGHT('REPORTS PER EVALUATOR'!#REF!,1))*1</f>
        <v>#REF!</v>
      </c>
      <c r="AM79" s="11" t="e">
        <f>LEFT('REPORTS PER EVALUATOR'!#REF!,1)</f>
        <v>#REF!</v>
      </c>
      <c r="AN79" s="92" t="e">
        <f>(RIGHT('REPORTS PER EVALUATOR'!#REF!,1))*1</f>
        <v>#REF!</v>
      </c>
      <c r="AO79" s="11" t="e">
        <f>LEFT('REPORTS PER EVALUATOR'!#REF!,1)</f>
        <v>#REF!</v>
      </c>
      <c r="AP79" s="92" t="e">
        <f>(RIGHT('REPORTS PER EVALUATOR'!#REF!,1))*1</f>
        <v>#REF!</v>
      </c>
      <c r="AQ79" s="11" t="e">
        <f>LEFT('REPORTS PER EVALUATOR'!#REF!,1)</f>
        <v>#REF!</v>
      </c>
      <c r="AR79" s="92" t="e">
        <f>(RIGHT('REPORTS PER EVALUATOR'!#REF!,1))*1</f>
        <v>#REF!</v>
      </c>
    </row>
    <row r="80" spans="1:44" x14ac:dyDescent="0.2">
      <c r="B80" s="19" t="str">
        <f t="shared" si="4"/>
        <v>C</v>
      </c>
      <c r="C80" s="18" t="str">
        <f t="shared" si="5"/>
        <v>H</v>
      </c>
      <c r="D80" s="18" t="s">
        <v>32</v>
      </c>
      <c r="E80" s="26" t="str">
        <f>LEFT('REPORTS PER EVALUATOR'!$AC$8,1)</f>
        <v>H</v>
      </c>
      <c r="F80" s="73">
        <f>(RIGHT('REPORTS PER EVALUATOR'!$AC$8,1))*1</f>
        <v>3</v>
      </c>
      <c r="G80" s="11" t="str">
        <f>LEFT('REPORTS PER EVALUATOR'!$AC$20,1)</f>
        <v>H</v>
      </c>
      <c r="H80" s="81">
        <f>(RIGHT('REPORTS PER EVALUATOR'!$AC$20,1))*1</f>
        <v>4</v>
      </c>
      <c r="I80" s="11" t="str">
        <f>LEFT('REPORTS PER EVALUATOR'!$AC$32,1)</f>
        <v>C</v>
      </c>
      <c r="J80" s="81">
        <f>(RIGHT('REPORTS PER EVALUATOR'!$AC$32,1))*1</f>
        <v>3</v>
      </c>
      <c r="K80" s="11" t="str">
        <f>LEFT('REPORTS PER EVALUATOR'!$AC$44,1)</f>
        <v>C</v>
      </c>
      <c r="L80" s="81">
        <f>(RIGHT('REPORTS PER EVALUATOR'!$AC$44,1))*1</f>
        <v>3</v>
      </c>
      <c r="M80" s="11" t="str">
        <f>LEFT('REPORTS PER EVALUATOR'!$AC$56,1)</f>
        <v>H</v>
      </c>
      <c r="N80" s="81">
        <f>(RIGHT('REPORTS PER EVALUATOR'!$AC$56,1))*1</f>
        <v>3</v>
      </c>
      <c r="O80" s="11" t="str">
        <f>LEFT('REPORTS PER EVALUATOR'!$AC$68,1)</f>
        <v>H</v>
      </c>
      <c r="P80" s="81">
        <f>(RIGHT('REPORTS PER EVALUATOR'!$AC$68,1))*1</f>
        <v>3</v>
      </c>
      <c r="Q80" s="11" t="str">
        <f>LEFT('REPORTS PER EVALUATOR'!$AC$80,1)</f>
        <v>H</v>
      </c>
      <c r="R80" s="81">
        <f>(RIGHT('REPORTS PER EVALUATOR'!$AC$80,1))*1</f>
        <v>3</v>
      </c>
      <c r="S80" s="11" t="str">
        <f>LEFT('REPORTS PER EVALUATOR'!$AC$92,1)</f>
        <v>H</v>
      </c>
      <c r="T80" s="81">
        <f>(RIGHT('REPORTS PER EVALUATOR'!$AC$92,1))*1</f>
        <v>3</v>
      </c>
      <c r="U80" s="11" t="str">
        <f>LEFT('REPORTS PER EVALUATOR'!$AC$104,1)</f>
        <v>H</v>
      </c>
      <c r="V80" s="81">
        <f>(RIGHT('REPORTS PER EVALUATOR'!$AC$104,1))*1</f>
        <v>2</v>
      </c>
      <c r="W80" s="11" t="str">
        <f>LEFT('REPORTS PER EVALUATOR'!$AC$116,1)</f>
        <v>H</v>
      </c>
      <c r="X80" s="81">
        <f>(RIGHT('REPORTS PER EVALUATOR'!$AC$116,1))*1</f>
        <v>2</v>
      </c>
      <c r="Y80" s="11" t="str">
        <f>LEFT('REPORTS PER EVALUATOR'!$AC$128,1)</f>
        <v>H</v>
      </c>
      <c r="Z80" s="92">
        <f>(RIGHT('REPORTS PER EVALUATOR'!$AC$128,1))*1</f>
        <v>2</v>
      </c>
      <c r="AA80" s="11" t="e">
        <f>LEFT('REPORTS PER EVALUATOR'!#REF!,1)</f>
        <v>#REF!</v>
      </c>
      <c r="AB80" s="92" t="e">
        <f>(RIGHT('REPORTS PER EVALUATOR'!#REF!,1))*1</f>
        <v>#REF!</v>
      </c>
      <c r="AC80" s="11" t="e">
        <f>LEFT('REPORTS PER EVALUATOR'!#REF!,1)</f>
        <v>#REF!</v>
      </c>
      <c r="AD80" s="92" t="e">
        <f>(RIGHT('REPORTS PER EVALUATOR'!#REF!,1))*1</f>
        <v>#REF!</v>
      </c>
      <c r="AE80" s="11" t="e">
        <f>LEFT('REPORTS PER EVALUATOR'!#REF!,1)</f>
        <v>#REF!</v>
      </c>
      <c r="AF80" s="92" t="e">
        <f>(RIGHT('REPORTS PER EVALUATOR'!#REF!,1))*1</f>
        <v>#REF!</v>
      </c>
      <c r="AG80" s="11" t="e">
        <f>LEFT('REPORTS PER EVALUATOR'!#REF!,1)</f>
        <v>#REF!</v>
      </c>
      <c r="AH80" s="92" t="e">
        <f>(RIGHT('REPORTS PER EVALUATOR'!#REF!,1))*1</f>
        <v>#REF!</v>
      </c>
      <c r="AI80" s="11" t="e">
        <f>LEFT('REPORTS PER EVALUATOR'!#REF!,1)</f>
        <v>#REF!</v>
      </c>
      <c r="AJ80" s="92" t="e">
        <f>(RIGHT('REPORTS PER EVALUATOR'!#REF!,1))*1</f>
        <v>#REF!</v>
      </c>
      <c r="AK80" s="11" t="e">
        <f>LEFT('REPORTS PER EVALUATOR'!#REF!,1)</f>
        <v>#REF!</v>
      </c>
      <c r="AL80" s="92" t="e">
        <f>(RIGHT('REPORTS PER EVALUATOR'!#REF!,1))*1</f>
        <v>#REF!</v>
      </c>
      <c r="AM80" s="11" t="e">
        <f>LEFT('REPORTS PER EVALUATOR'!#REF!,1)</f>
        <v>#REF!</v>
      </c>
      <c r="AN80" s="92" t="e">
        <f>(RIGHT('REPORTS PER EVALUATOR'!#REF!,1))*1</f>
        <v>#REF!</v>
      </c>
      <c r="AO80" s="11" t="e">
        <f>LEFT('REPORTS PER EVALUATOR'!#REF!,1)</f>
        <v>#REF!</v>
      </c>
      <c r="AP80" s="92" t="e">
        <f>(RIGHT('REPORTS PER EVALUATOR'!#REF!,1))*1</f>
        <v>#REF!</v>
      </c>
      <c r="AQ80" s="11" t="e">
        <f>LEFT('REPORTS PER EVALUATOR'!#REF!,1)</f>
        <v>#REF!</v>
      </c>
      <c r="AR80" s="92" t="e">
        <f>(RIGHT('REPORTS PER EVALUATOR'!#REF!,1))*1</f>
        <v>#REF!</v>
      </c>
    </row>
    <row r="81" spans="2:44" x14ac:dyDescent="0.2">
      <c r="B81" s="19" t="str">
        <f t="shared" si="4"/>
        <v>C</v>
      </c>
      <c r="C81" s="18" t="str">
        <f t="shared" si="5"/>
        <v>I</v>
      </c>
      <c r="D81" s="18" t="s">
        <v>33</v>
      </c>
      <c r="E81" s="26" t="str">
        <f>LEFT('REPORTS PER EVALUATOR'!$AD$8,1)</f>
        <v>I</v>
      </c>
      <c r="F81" s="73">
        <f>(RIGHT('REPORTS PER EVALUATOR'!$AD$8,1))*1</f>
        <v>3</v>
      </c>
      <c r="G81" s="11" t="str">
        <f>LEFT('REPORTS PER EVALUATOR'!$AD$20,1)</f>
        <v>I</v>
      </c>
      <c r="H81" s="81">
        <f>(RIGHT('REPORTS PER EVALUATOR'!$AD$20,1))*1</f>
        <v>3</v>
      </c>
      <c r="I81" s="11" t="str">
        <f>LEFT('REPORTS PER EVALUATOR'!$AD$32,1)</f>
        <v>I</v>
      </c>
      <c r="J81" s="81">
        <f>(RIGHT('REPORTS PER EVALUATOR'!$AD$32,1))*1</f>
        <v>2</v>
      </c>
      <c r="K81" s="11" t="str">
        <f>LEFT('REPORTS PER EVALUATOR'!$AD$44,1)</f>
        <v>I</v>
      </c>
      <c r="L81" s="81">
        <f>(RIGHT('REPORTS PER EVALUATOR'!$AD$44,1))*1</f>
        <v>2</v>
      </c>
      <c r="M81" s="11" t="str">
        <f>LEFT('REPORTS PER EVALUATOR'!$AD$56,1)</f>
        <v>I</v>
      </c>
      <c r="N81" s="81">
        <f>(RIGHT('REPORTS PER EVALUATOR'!$AD$56,1))*1</f>
        <v>3</v>
      </c>
      <c r="O81" s="11" t="str">
        <f>LEFT('REPORTS PER EVALUATOR'!$AD$68,1)</f>
        <v>I</v>
      </c>
      <c r="P81" s="81">
        <f>(RIGHT('REPORTS PER EVALUATOR'!$AD$68,1))*1</f>
        <v>3</v>
      </c>
      <c r="Q81" s="11" t="str">
        <f>LEFT('REPORTS PER EVALUATOR'!$AD$80,1)</f>
        <v>I</v>
      </c>
      <c r="R81" s="81">
        <f>(RIGHT('REPORTS PER EVALUATOR'!$AD$80,1))*1</f>
        <v>3</v>
      </c>
      <c r="S81" s="11" t="str">
        <f>LEFT('REPORTS PER EVALUATOR'!$AD$92,1)</f>
        <v>C</v>
      </c>
      <c r="T81" s="81">
        <f>(RIGHT('REPORTS PER EVALUATOR'!$AD$92,1))*1</f>
        <v>2</v>
      </c>
      <c r="U81" s="11" t="str">
        <f>LEFT('REPORTS PER EVALUATOR'!$AD$104,1)</f>
        <v>C</v>
      </c>
      <c r="V81" s="81">
        <f>(RIGHT('REPORTS PER EVALUATOR'!$AD$104,1))*1</f>
        <v>2</v>
      </c>
      <c r="W81" s="11" t="str">
        <f>LEFT('REPORTS PER EVALUATOR'!$AD$116,1)</f>
        <v>I</v>
      </c>
      <c r="X81" s="81">
        <f>(RIGHT('REPORTS PER EVALUATOR'!$AD$116,1))*1</f>
        <v>2</v>
      </c>
      <c r="Y81" s="11" t="str">
        <f>LEFT('REPORTS PER EVALUATOR'!$AD$128,1)</f>
        <v>I</v>
      </c>
      <c r="Z81" s="92">
        <f>(RIGHT('REPORTS PER EVALUATOR'!$AD$128,1))*1</f>
        <v>2</v>
      </c>
      <c r="AA81" s="11" t="e">
        <f>LEFT('REPORTS PER EVALUATOR'!#REF!,1)</f>
        <v>#REF!</v>
      </c>
      <c r="AB81" s="92" t="e">
        <f>(RIGHT('REPORTS PER EVALUATOR'!#REF!,1))*1</f>
        <v>#REF!</v>
      </c>
      <c r="AC81" s="11" t="e">
        <f>LEFT('REPORTS PER EVALUATOR'!#REF!,1)</f>
        <v>#REF!</v>
      </c>
      <c r="AD81" s="92" t="e">
        <f>(RIGHT('REPORTS PER EVALUATOR'!#REF!,1))*1</f>
        <v>#REF!</v>
      </c>
      <c r="AE81" s="11" t="e">
        <f>LEFT('REPORTS PER EVALUATOR'!#REF!,1)</f>
        <v>#REF!</v>
      </c>
      <c r="AF81" s="92" t="e">
        <f>(RIGHT('REPORTS PER EVALUATOR'!#REF!,1))*1</f>
        <v>#REF!</v>
      </c>
      <c r="AG81" s="11" t="e">
        <f>LEFT('REPORTS PER EVALUATOR'!#REF!,1)</f>
        <v>#REF!</v>
      </c>
      <c r="AH81" s="92" t="e">
        <f>(RIGHT('REPORTS PER EVALUATOR'!#REF!,1))*1</f>
        <v>#REF!</v>
      </c>
      <c r="AI81" s="11" t="e">
        <f>LEFT('REPORTS PER EVALUATOR'!#REF!,1)</f>
        <v>#REF!</v>
      </c>
      <c r="AJ81" s="92" t="e">
        <f>(RIGHT('REPORTS PER EVALUATOR'!#REF!,1))*1</f>
        <v>#REF!</v>
      </c>
      <c r="AK81" s="11" t="e">
        <f>LEFT('REPORTS PER EVALUATOR'!#REF!,1)</f>
        <v>#REF!</v>
      </c>
      <c r="AL81" s="92" t="e">
        <f>(RIGHT('REPORTS PER EVALUATOR'!#REF!,1))*1</f>
        <v>#REF!</v>
      </c>
      <c r="AM81" s="11" t="e">
        <f>LEFT('REPORTS PER EVALUATOR'!#REF!,1)</f>
        <v>#REF!</v>
      </c>
      <c r="AN81" s="92" t="e">
        <f>(RIGHT('REPORTS PER EVALUATOR'!#REF!,1))*1</f>
        <v>#REF!</v>
      </c>
      <c r="AO81" s="11" t="e">
        <f>LEFT('REPORTS PER EVALUATOR'!#REF!,1)</f>
        <v>#REF!</v>
      </c>
      <c r="AP81" s="92" t="e">
        <f>(RIGHT('REPORTS PER EVALUATOR'!#REF!,1))*1</f>
        <v>#REF!</v>
      </c>
      <c r="AQ81" s="11" t="e">
        <f>LEFT('REPORTS PER EVALUATOR'!#REF!,1)</f>
        <v>#REF!</v>
      </c>
      <c r="AR81" s="92" t="e">
        <f>(RIGHT('REPORTS PER EVALUATOR'!#REF!,1))*1</f>
        <v>#REF!</v>
      </c>
    </row>
    <row r="82" spans="2:44" x14ac:dyDescent="0.2">
      <c r="B82" s="19" t="str">
        <f t="shared" si="4"/>
        <v>C</v>
      </c>
      <c r="C82" s="18" t="str">
        <f t="shared" si="5"/>
        <v>L</v>
      </c>
      <c r="D82" s="18" t="s">
        <v>34</v>
      </c>
      <c r="E82" s="26" t="str">
        <f>LEFT('REPORTS PER EVALUATOR'!$AE$8,1)</f>
        <v>L</v>
      </c>
      <c r="F82" s="73">
        <f>(RIGHT('REPORTS PER EVALUATOR'!$AE$8,1))*1</f>
        <v>2</v>
      </c>
      <c r="G82" s="11" t="str">
        <f>LEFT('REPORTS PER EVALUATOR'!$AE$20,1)</f>
        <v>L</v>
      </c>
      <c r="H82" s="81">
        <f>(RIGHT('REPORTS PER EVALUATOR'!$AE$20,1))*1</f>
        <v>2</v>
      </c>
      <c r="I82" s="11" t="str">
        <f>LEFT('REPORTS PER EVALUATOR'!$AE$32,1)</f>
        <v>1</v>
      </c>
      <c r="J82" s="81">
        <f>(RIGHT('REPORTS PER EVALUATOR'!$AE$32,1))*1</f>
        <v>1</v>
      </c>
      <c r="K82" s="11" t="str">
        <f>LEFT('REPORTS PER EVALUATOR'!$AE$44,1)</f>
        <v>1</v>
      </c>
      <c r="L82" s="81">
        <f>(RIGHT('REPORTS PER EVALUATOR'!$AE$44,1))*1</f>
        <v>1</v>
      </c>
      <c r="M82" s="11" t="str">
        <f>LEFT('REPORTS PER EVALUATOR'!$AE$56,1)</f>
        <v>L</v>
      </c>
      <c r="N82" s="81">
        <f>(RIGHT('REPORTS PER EVALUATOR'!$AE$56,1))*1</f>
        <v>3</v>
      </c>
      <c r="O82" s="11" t="str">
        <f>LEFT('REPORTS PER EVALUATOR'!$AE$68,1)</f>
        <v>L</v>
      </c>
      <c r="P82" s="81">
        <f>(RIGHT('REPORTS PER EVALUATOR'!$AE$68,1))*1</f>
        <v>3</v>
      </c>
      <c r="Q82" s="11" t="str">
        <f>LEFT('REPORTS PER EVALUATOR'!$AE$80,1)</f>
        <v>L</v>
      </c>
      <c r="R82" s="81">
        <f>(RIGHT('REPORTS PER EVALUATOR'!$AE$80,1))*1</f>
        <v>3</v>
      </c>
      <c r="S82" s="11" t="str">
        <f>LEFT('REPORTS PER EVALUATOR'!$AE$92,1)</f>
        <v>L</v>
      </c>
      <c r="T82" s="81">
        <f>(RIGHT('REPORTS PER EVALUATOR'!$AE$92,1))*1</f>
        <v>3</v>
      </c>
      <c r="U82" s="11" t="str">
        <f>LEFT('REPORTS PER EVALUATOR'!$AE$104,1)</f>
        <v>C</v>
      </c>
      <c r="V82" s="81">
        <f>(RIGHT('REPORTS PER EVALUATOR'!$AE$104,1))*1</f>
        <v>3</v>
      </c>
      <c r="W82" s="11" t="str">
        <f>LEFT('REPORTS PER EVALUATOR'!$AE$116,1)</f>
        <v>L</v>
      </c>
      <c r="X82" s="81">
        <f>(RIGHT('REPORTS PER EVALUATOR'!$AE$116,1))*1</f>
        <v>2</v>
      </c>
      <c r="Y82" s="11" t="str">
        <f>LEFT('REPORTS PER EVALUATOR'!$AE$128,1)</f>
        <v>1</v>
      </c>
      <c r="Z82" s="92">
        <f>(RIGHT('REPORTS PER EVALUATOR'!$AE$128,1))*1</f>
        <v>1</v>
      </c>
      <c r="AA82" s="11" t="e">
        <f>LEFT('REPORTS PER EVALUATOR'!#REF!,1)</f>
        <v>#REF!</v>
      </c>
      <c r="AB82" s="92" t="e">
        <f>(RIGHT('REPORTS PER EVALUATOR'!#REF!,1))*1</f>
        <v>#REF!</v>
      </c>
      <c r="AC82" s="11" t="e">
        <f>LEFT('REPORTS PER EVALUATOR'!#REF!,1)</f>
        <v>#REF!</v>
      </c>
      <c r="AD82" s="92" t="e">
        <f>(RIGHT('REPORTS PER EVALUATOR'!#REF!,1))*1</f>
        <v>#REF!</v>
      </c>
      <c r="AE82" s="11" t="e">
        <f>LEFT('REPORTS PER EVALUATOR'!#REF!,1)</f>
        <v>#REF!</v>
      </c>
      <c r="AF82" s="92" t="e">
        <f>(RIGHT('REPORTS PER EVALUATOR'!#REF!,1))*1</f>
        <v>#REF!</v>
      </c>
      <c r="AG82" s="11" t="e">
        <f>LEFT('REPORTS PER EVALUATOR'!#REF!,1)</f>
        <v>#REF!</v>
      </c>
      <c r="AH82" s="92" t="e">
        <f>(RIGHT('REPORTS PER EVALUATOR'!#REF!,1))*1</f>
        <v>#REF!</v>
      </c>
      <c r="AI82" s="11" t="e">
        <f>LEFT('REPORTS PER EVALUATOR'!#REF!,1)</f>
        <v>#REF!</v>
      </c>
      <c r="AJ82" s="92" t="e">
        <f>(RIGHT('REPORTS PER EVALUATOR'!#REF!,1))*1</f>
        <v>#REF!</v>
      </c>
      <c r="AK82" s="11" t="e">
        <f>LEFT('REPORTS PER EVALUATOR'!#REF!,1)</f>
        <v>#REF!</v>
      </c>
      <c r="AL82" s="92" t="e">
        <f>(RIGHT('REPORTS PER EVALUATOR'!#REF!,1))*1</f>
        <v>#REF!</v>
      </c>
      <c r="AM82" s="11" t="e">
        <f>LEFT('REPORTS PER EVALUATOR'!#REF!,1)</f>
        <v>#REF!</v>
      </c>
      <c r="AN82" s="92" t="e">
        <f>(RIGHT('REPORTS PER EVALUATOR'!#REF!,1))*1</f>
        <v>#REF!</v>
      </c>
      <c r="AO82" s="11" t="e">
        <f>LEFT('REPORTS PER EVALUATOR'!#REF!,1)</f>
        <v>#REF!</v>
      </c>
      <c r="AP82" s="92" t="e">
        <f>(RIGHT('REPORTS PER EVALUATOR'!#REF!,1))*1</f>
        <v>#REF!</v>
      </c>
      <c r="AQ82" s="11" t="e">
        <f>LEFT('REPORTS PER EVALUATOR'!#REF!,1)</f>
        <v>#REF!</v>
      </c>
      <c r="AR82" s="92" t="e">
        <f>(RIGHT('REPORTS PER EVALUATOR'!#REF!,1))*1</f>
        <v>#REF!</v>
      </c>
    </row>
    <row r="83" spans="2:44" x14ac:dyDescent="0.2">
      <c r="B83" s="19" t="str">
        <f t="shared" si="4"/>
        <v>C</v>
      </c>
      <c r="C83" s="18" t="str">
        <f t="shared" si="5"/>
        <v>M</v>
      </c>
      <c r="D83" s="18" t="s">
        <v>159</v>
      </c>
      <c r="E83" s="26" t="str">
        <f>LEFT('REPORTS PER EVALUATOR'!$AF$8,1)</f>
        <v/>
      </c>
      <c r="F83" s="73" t="e">
        <f>(RIGHT('REPORTS PER EVALUATOR'!$AF$8,1))*1</f>
        <v>#VALUE!</v>
      </c>
      <c r="G83" s="11" t="str">
        <f>LEFT('REPORTS PER EVALUATOR'!$AF$20,1)</f>
        <v/>
      </c>
      <c r="H83" s="81" t="e">
        <f>(RIGHT('REPORTS PER EVALUATOR'!$AF$20,1))*1</f>
        <v>#VALUE!</v>
      </c>
      <c r="I83" s="11" t="str">
        <f>LEFT('REPORTS PER EVALUATOR'!$AF$32,1)</f>
        <v/>
      </c>
      <c r="J83" s="81" t="e">
        <f>(RIGHT('REPORTS PER EVALUATOR'!$AF$32,1))*1</f>
        <v>#VALUE!</v>
      </c>
      <c r="K83" s="11" t="str">
        <f>LEFT('REPORTS PER EVALUATOR'!$AF$44,1)</f>
        <v/>
      </c>
      <c r="L83" s="81" t="e">
        <f>(RIGHT('REPORTS PER EVALUATOR'!$AF$44,1))*1</f>
        <v>#VALUE!</v>
      </c>
      <c r="M83" s="11" t="str">
        <f>LEFT('REPORTS PER EVALUATOR'!$AF$56,1)</f>
        <v/>
      </c>
      <c r="N83" s="81" t="e">
        <f>(RIGHT('REPORTS PER EVALUATOR'!$AF$56,1))*1</f>
        <v>#VALUE!</v>
      </c>
      <c r="O83" s="11" t="str">
        <f>LEFT('REPORTS PER EVALUATOR'!$AF$68,1)</f>
        <v/>
      </c>
      <c r="P83" s="81" t="e">
        <f>(RIGHT('REPORTS PER EVALUATOR'!$AF$68,1))*1</f>
        <v>#VALUE!</v>
      </c>
      <c r="Q83" s="11" t="str">
        <f>LEFT('REPORTS PER EVALUATOR'!$AF$80,1)</f>
        <v/>
      </c>
      <c r="R83" s="81" t="e">
        <f>(RIGHT('REPORTS PER EVALUATOR'!$AF$80,1))*1</f>
        <v>#VALUE!</v>
      </c>
      <c r="S83" s="11" t="str">
        <f>LEFT('REPORTS PER EVALUATOR'!$AF$92,1)</f>
        <v/>
      </c>
      <c r="T83" s="81" t="e">
        <f>(RIGHT('REPORTS PER EVALUATOR'!$AF$92,1))*1</f>
        <v>#VALUE!</v>
      </c>
      <c r="U83" s="11" t="str">
        <f>LEFT('REPORTS PER EVALUATOR'!$AF$104,1)</f>
        <v/>
      </c>
      <c r="V83" s="81" t="e">
        <f>(RIGHT('REPORTS PER EVALUATOR'!$AF$104,1))*1</f>
        <v>#VALUE!</v>
      </c>
      <c r="W83" s="11" t="str">
        <f>LEFT('REPORTS PER EVALUATOR'!$AF$116,1)</f>
        <v/>
      </c>
      <c r="X83" s="81" t="e">
        <f>(RIGHT('REPORTS PER EVALUATOR'!$AF$116,1))*1</f>
        <v>#VALUE!</v>
      </c>
      <c r="Y83" s="11" t="str">
        <f>LEFT('REPORTS PER EVALUATOR'!$AF$128,1)</f>
        <v/>
      </c>
      <c r="Z83" s="92" t="e">
        <f>(RIGHT('REPORTS PER EVALUATOR'!$AF$128,1))*1</f>
        <v>#VALUE!</v>
      </c>
      <c r="AA83" s="11" t="e">
        <f>LEFT('REPORTS PER EVALUATOR'!#REF!,1)</f>
        <v>#REF!</v>
      </c>
      <c r="AB83" s="92" t="e">
        <f>(RIGHT('REPORTS PER EVALUATOR'!#REF!,1))*1</f>
        <v>#REF!</v>
      </c>
      <c r="AC83" s="11" t="e">
        <f>LEFT('REPORTS PER EVALUATOR'!#REF!,1)</f>
        <v>#REF!</v>
      </c>
      <c r="AD83" s="92" t="e">
        <f>(RIGHT('REPORTS PER EVALUATOR'!#REF!,1))*1</f>
        <v>#REF!</v>
      </c>
      <c r="AE83" s="11" t="e">
        <f>LEFT('REPORTS PER EVALUATOR'!#REF!,1)</f>
        <v>#REF!</v>
      </c>
      <c r="AF83" s="92" t="e">
        <f>(RIGHT('REPORTS PER EVALUATOR'!#REF!,1))*1</f>
        <v>#REF!</v>
      </c>
      <c r="AG83" s="11" t="e">
        <f>LEFT('REPORTS PER EVALUATOR'!#REF!,1)</f>
        <v>#REF!</v>
      </c>
      <c r="AH83" s="92" t="e">
        <f>(RIGHT('REPORTS PER EVALUATOR'!#REF!,1))*1</f>
        <v>#REF!</v>
      </c>
      <c r="AI83" s="11" t="e">
        <f>LEFT('REPORTS PER EVALUATOR'!#REF!,1)</f>
        <v>#REF!</v>
      </c>
      <c r="AJ83" s="92" t="e">
        <f>(RIGHT('REPORTS PER EVALUATOR'!#REF!,1))*1</f>
        <v>#REF!</v>
      </c>
      <c r="AK83" s="11" t="e">
        <f>LEFT('REPORTS PER EVALUATOR'!#REF!,1)</f>
        <v>#REF!</v>
      </c>
      <c r="AL83" s="92" t="e">
        <f>(RIGHT('REPORTS PER EVALUATOR'!#REF!,1))*1</f>
        <v>#REF!</v>
      </c>
      <c r="AM83" s="11" t="e">
        <f>LEFT('REPORTS PER EVALUATOR'!#REF!,1)</f>
        <v>#REF!</v>
      </c>
      <c r="AN83" s="92" t="e">
        <f>(RIGHT('REPORTS PER EVALUATOR'!#REF!,1))*1</f>
        <v>#REF!</v>
      </c>
      <c r="AO83" s="11" t="e">
        <f>LEFT('REPORTS PER EVALUATOR'!#REF!,1)</f>
        <v>#REF!</v>
      </c>
      <c r="AP83" s="92" t="e">
        <f>(RIGHT('REPORTS PER EVALUATOR'!#REF!,1))*1</f>
        <v>#REF!</v>
      </c>
      <c r="AQ83" s="11" t="e">
        <f>LEFT('REPORTS PER EVALUATOR'!#REF!,1)</f>
        <v>#REF!</v>
      </c>
      <c r="AR83" s="92" t="e">
        <f>(RIGHT('REPORTS PER EVALUATOR'!#REF!,1))*1</f>
        <v>#REF!</v>
      </c>
    </row>
    <row r="84" spans="2:44" x14ac:dyDescent="0.2">
      <c r="B84" s="19" t="str">
        <f t="shared" si="4"/>
        <v>D</v>
      </c>
      <c r="C84" s="18" t="str">
        <f t="shared" si="5"/>
        <v>E</v>
      </c>
      <c r="D84" s="18" t="s">
        <v>35</v>
      </c>
      <c r="E84" s="64" t="str">
        <f>LEFT('REPORTS PER EVALUATOR'!$Z$9,1)</f>
        <v>D</v>
      </c>
      <c r="F84" s="76">
        <f>(RIGHT('REPORTS PER EVALUATOR'!$Z$9,1))*1</f>
        <v>2</v>
      </c>
      <c r="G84" s="65" t="str">
        <f>LEFT('REPORTS PER EVALUATOR'!$Z$21,1)</f>
        <v>1</v>
      </c>
      <c r="H84" s="84">
        <f>(RIGHT('REPORTS PER EVALUATOR'!$Z$21,1))*1</f>
        <v>1</v>
      </c>
      <c r="I84" s="65" t="str">
        <f>LEFT('REPORTS PER EVALUATOR'!$Z$33,1)</f>
        <v>D</v>
      </c>
      <c r="J84" s="84">
        <f>(RIGHT('REPORTS PER EVALUATOR'!$Z$33,1))*1</f>
        <v>2</v>
      </c>
      <c r="K84" s="65" t="str">
        <f>LEFT('REPORTS PER EVALUATOR'!$Z$45,1)</f>
        <v>D</v>
      </c>
      <c r="L84" s="84">
        <f>(RIGHT('REPORTS PER EVALUATOR'!$Z$45,1))*1</f>
        <v>2</v>
      </c>
      <c r="M84" s="65" t="str">
        <f>LEFT('REPORTS PER EVALUATOR'!$Z$57,1)</f>
        <v>E</v>
      </c>
      <c r="N84" s="84">
        <f>(RIGHT('REPORTS PER EVALUATOR'!$Z$57,1))*1</f>
        <v>3</v>
      </c>
      <c r="O84" s="65" t="str">
        <f>LEFT('REPORTS PER EVALUATOR'!$Z$69,1)</f>
        <v>E</v>
      </c>
      <c r="P84" s="84">
        <f>(RIGHT('REPORTS PER EVALUATOR'!$Z$69,1))*1</f>
        <v>2</v>
      </c>
      <c r="Q84" s="65" t="str">
        <f>LEFT('REPORTS PER EVALUATOR'!$Z$81,1)</f>
        <v>E</v>
      </c>
      <c r="R84" s="84">
        <f>(RIGHT('REPORTS PER EVALUATOR'!$Z$81,1))*1</f>
        <v>2</v>
      </c>
      <c r="S84" s="65" t="str">
        <f>LEFT('REPORTS PER EVALUATOR'!$Z$93,1)</f>
        <v>1</v>
      </c>
      <c r="T84" s="84">
        <f>(RIGHT('REPORTS PER EVALUATOR'!$Z$93,1))*1</f>
        <v>1</v>
      </c>
      <c r="U84" s="65" t="str">
        <f>LEFT('REPORTS PER EVALUATOR'!$Z$105,1)</f>
        <v>D</v>
      </c>
      <c r="V84" s="84">
        <f>(RIGHT('REPORTS PER EVALUATOR'!$Z$105,1))*1</f>
        <v>2</v>
      </c>
      <c r="W84" s="65" t="str">
        <f>LEFT('REPORTS PER EVALUATOR'!$Z$117,1)</f>
        <v>1</v>
      </c>
      <c r="X84" s="84">
        <f>(RIGHT('REPORTS PER EVALUATOR'!$Z$117,1))*1</f>
        <v>1</v>
      </c>
      <c r="Y84" s="65" t="str">
        <f>LEFT('REPORTS PER EVALUATOR'!$Z$129,1)</f>
        <v>1</v>
      </c>
      <c r="Z84" s="96">
        <f>(RIGHT('REPORTS PER EVALUATOR'!$Z$129,1))*1</f>
        <v>1</v>
      </c>
      <c r="AA84" s="65" t="e">
        <f>LEFT('REPORTS PER EVALUATOR'!#REF!,1)</f>
        <v>#REF!</v>
      </c>
      <c r="AB84" s="96" t="e">
        <f>(RIGHT('REPORTS PER EVALUATOR'!#REF!,1))*1</f>
        <v>#REF!</v>
      </c>
      <c r="AC84" s="65" t="e">
        <f>LEFT('REPORTS PER EVALUATOR'!#REF!,1)</f>
        <v>#REF!</v>
      </c>
      <c r="AD84" s="96" t="e">
        <f>(RIGHT('REPORTS PER EVALUATOR'!#REF!,1))*1</f>
        <v>#REF!</v>
      </c>
      <c r="AE84" s="65" t="e">
        <f>LEFT('REPORTS PER EVALUATOR'!#REF!,1)</f>
        <v>#REF!</v>
      </c>
      <c r="AF84" s="96" t="e">
        <f>(RIGHT('REPORTS PER EVALUATOR'!#REF!,1))*1</f>
        <v>#REF!</v>
      </c>
      <c r="AG84" s="65" t="e">
        <f>LEFT('REPORTS PER EVALUATOR'!#REF!,1)</f>
        <v>#REF!</v>
      </c>
      <c r="AH84" s="96" t="e">
        <f>(RIGHT('REPORTS PER EVALUATOR'!#REF!,1))*1</f>
        <v>#REF!</v>
      </c>
      <c r="AI84" s="65" t="e">
        <f>LEFT('REPORTS PER EVALUATOR'!#REF!,1)</f>
        <v>#REF!</v>
      </c>
      <c r="AJ84" s="96" t="e">
        <f>(RIGHT('REPORTS PER EVALUATOR'!#REF!,1))*1</f>
        <v>#REF!</v>
      </c>
      <c r="AK84" s="65" t="e">
        <f>LEFT('REPORTS PER EVALUATOR'!#REF!,1)</f>
        <v>#REF!</v>
      </c>
      <c r="AL84" s="96" t="e">
        <f>(RIGHT('REPORTS PER EVALUATOR'!#REF!,1))*1</f>
        <v>#REF!</v>
      </c>
      <c r="AM84" s="65" t="e">
        <f>LEFT('REPORTS PER EVALUATOR'!#REF!,1)</f>
        <v>#REF!</v>
      </c>
      <c r="AN84" s="96" t="e">
        <f>(RIGHT('REPORTS PER EVALUATOR'!#REF!,1))*1</f>
        <v>#REF!</v>
      </c>
      <c r="AO84" s="65" t="e">
        <f>LEFT('REPORTS PER EVALUATOR'!#REF!,1)</f>
        <v>#REF!</v>
      </c>
      <c r="AP84" s="96" t="e">
        <f>(RIGHT('REPORTS PER EVALUATOR'!#REF!,1))*1</f>
        <v>#REF!</v>
      </c>
      <c r="AQ84" s="65" t="e">
        <f>LEFT('REPORTS PER EVALUATOR'!#REF!,1)</f>
        <v>#REF!</v>
      </c>
      <c r="AR84" s="96" t="e">
        <f>(RIGHT('REPORTS PER EVALUATOR'!#REF!,1))*1</f>
        <v>#REF!</v>
      </c>
    </row>
    <row r="85" spans="2:44" x14ac:dyDescent="0.2">
      <c r="B85" s="19" t="str">
        <f t="shared" si="4"/>
        <v>D</v>
      </c>
      <c r="C85" s="18" t="str">
        <f t="shared" si="5"/>
        <v>F</v>
      </c>
      <c r="D85" s="18" t="s">
        <v>36</v>
      </c>
      <c r="E85" s="26" t="str">
        <f>LEFT('REPORTS PER EVALUATOR'!$AA$9,1)</f>
        <v>1</v>
      </c>
      <c r="F85" s="73">
        <f>(RIGHT('REPORTS PER EVALUATOR'!$AA$9,1))*1</f>
        <v>1</v>
      </c>
      <c r="G85" s="11" t="str">
        <f>LEFT('REPORTS PER EVALUATOR'!$AA$21,1)</f>
        <v>D</v>
      </c>
      <c r="H85" s="81">
        <f>(RIGHT('REPORTS PER EVALUATOR'!$AA$21,1))*1</f>
        <v>2</v>
      </c>
      <c r="I85" s="11" t="str">
        <f>LEFT('REPORTS PER EVALUATOR'!$AA$33,1)</f>
        <v>F</v>
      </c>
      <c r="J85" s="81">
        <f>(RIGHT('REPORTS PER EVALUATOR'!$AA$33,1))*1</f>
        <v>2</v>
      </c>
      <c r="K85" s="11" t="str">
        <f>LEFT('REPORTS PER EVALUATOR'!$AA$45,1)</f>
        <v>1</v>
      </c>
      <c r="L85" s="81">
        <f>(RIGHT('REPORTS PER EVALUATOR'!$AA$45,1))*1</f>
        <v>1</v>
      </c>
      <c r="M85" s="11" t="str">
        <f>LEFT('REPORTS PER EVALUATOR'!$AA$57,1)</f>
        <v>F</v>
      </c>
      <c r="N85" s="81">
        <f>(RIGHT('REPORTS PER EVALUATOR'!$AA$57,1))*1</f>
        <v>3</v>
      </c>
      <c r="O85" s="11" t="str">
        <f>LEFT('REPORTS PER EVALUATOR'!$AA$69,1)</f>
        <v>F</v>
      </c>
      <c r="P85" s="81">
        <f>(RIGHT('REPORTS PER EVALUATOR'!$AA$69,1))*1</f>
        <v>2</v>
      </c>
      <c r="Q85" s="11" t="str">
        <f>LEFT('REPORTS PER EVALUATOR'!$AA$81,1)</f>
        <v>F</v>
      </c>
      <c r="R85" s="81">
        <f>(RIGHT('REPORTS PER EVALUATOR'!$AA$81,1))*1</f>
        <v>2</v>
      </c>
      <c r="S85" s="11" t="str">
        <f>LEFT('REPORTS PER EVALUATOR'!$AA$93,1)</f>
        <v>D</v>
      </c>
      <c r="T85" s="81">
        <f>(RIGHT('REPORTS PER EVALUATOR'!$AA$93,1))*1</f>
        <v>3</v>
      </c>
      <c r="U85" s="11" t="str">
        <f>LEFT('REPORTS PER EVALUATOR'!$AA$105,1)</f>
        <v>D</v>
      </c>
      <c r="V85" s="81">
        <f>(RIGHT('REPORTS PER EVALUATOR'!$AA$105,1))*1</f>
        <v>2</v>
      </c>
      <c r="W85" s="11" t="str">
        <f>LEFT('REPORTS PER EVALUATOR'!$AA$117,1)</f>
        <v>1</v>
      </c>
      <c r="X85" s="81">
        <f>(RIGHT('REPORTS PER EVALUATOR'!$AA$117,1))*1</f>
        <v>1</v>
      </c>
      <c r="Y85" s="11" t="str">
        <f>LEFT('REPORTS PER EVALUATOR'!$AA$129,1)</f>
        <v>1</v>
      </c>
      <c r="Z85" s="92">
        <f>(RIGHT('REPORTS PER EVALUATOR'!$AA$129,1))*1</f>
        <v>1</v>
      </c>
      <c r="AA85" s="11" t="e">
        <f>LEFT('REPORTS PER EVALUATOR'!#REF!,1)</f>
        <v>#REF!</v>
      </c>
      <c r="AB85" s="92" t="e">
        <f>(RIGHT('REPORTS PER EVALUATOR'!#REF!,1))*1</f>
        <v>#REF!</v>
      </c>
      <c r="AC85" s="11" t="e">
        <f>LEFT('REPORTS PER EVALUATOR'!#REF!,1)</f>
        <v>#REF!</v>
      </c>
      <c r="AD85" s="92" t="e">
        <f>(RIGHT('REPORTS PER EVALUATOR'!#REF!,1))*1</f>
        <v>#REF!</v>
      </c>
      <c r="AE85" s="11" t="e">
        <f>LEFT('REPORTS PER EVALUATOR'!#REF!,1)</f>
        <v>#REF!</v>
      </c>
      <c r="AF85" s="92" t="e">
        <f>(RIGHT('REPORTS PER EVALUATOR'!#REF!,1))*1</f>
        <v>#REF!</v>
      </c>
      <c r="AG85" s="11" t="e">
        <f>LEFT('REPORTS PER EVALUATOR'!#REF!,1)</f>
        <v>#REF!</v>
      </c>
      <c r="AH85" s="92" t="e">
        <f>(RIGHT('REPORTS PER EVALUATOR'!#REF!,1))*1</f>
        <v>#REF!</v>
      </c>
      <c r="AI85" s="11" t="e">
        <f>LEFT('REPORTS PER EVALUATOR'!#REF!,1)</f>
        <v>#REF!</v>
      </c>
      <c r="AJ85" s="92" t="e">
        <f>(RIGHT('REPORTS PER EVALUATOR'!#REF!,1))*1</f>
        <v>#REF!</v>
      </c>
      <c r="AK85" s="11" t="e">
        <f>LEFT('REPORTS PER EVALUATOR'!#REF!,1)</f>
        <v>#REF!</v>
      </c>
      <c r="AL85" s="92" t="e">
        <f>(RIGHT('REPORTS PER EVALUATOR'!#REF!,1))*1</f>
        <v>#REF!</v>
      </c>
      <c r="AM85" s="11" t="e">
        <f>LEFT('REPORTS PER EVALUATOR'!#REF!,1)</f>
        <v>#REF!</v>
      </c>
      <c r="AN85" s="92" t="e">
        <f>(RIGHT('REPORTS PER EVALUATOR'!#REF!,1))*1</f>
        <v>#REF!</v>
      </c>
      <c r="AO85" s="11" t="e">
        <f>LEFT('REPORTS PER EVALUATOR'!#REF!,1)</f>
        <v>#REF!</v>
      </c>
      <c r="AP85" s="92" t="e">
        <f>(RIGHT('REPORTS PER EVALUATOR'!#REF!,1))*1</f>
        <v>#REF!</v>
      </c>
      <c r="AQ85" s="11" t="e">
        <f>LEFT('REPORTS PER EVALUATOR'!#REF!,1)</f>
        <v>#REF!</v>
      </c>
      <c r="AR85" s="92" t="e">
        <f>(RIGHT('REPORTS PER EVALUATOR'!#REF!,1))*1</f>
        <v>#REF!</v>
      </c>
    </row>
    <row r="86" spans="2:44" x14ac:dyDescent="0.2">
      <c r="B86" s="19" t="str">
        <f t="shared" si="4"/>
        <v>D</v>
      </c>
      <c r="C86" s="18" t="str">
        <f t="shared" si="5"/>
        <v>G</v>
      </c>
      <c r="D86" s="18" t="s">
        <v>37</v>
      </c>
      <c r="E86" s="26" t="str">
        <f>LEFT('REPORTS PER EVALUATOR'!$AB$9,1)</f>
        <v>D</v>
      </c>
      <c r="F86" s="73">
        <f>(RIGHT('REPORTS PER EVALUATOR'!$AB$9,1))*1</f>
        <v>3</v>
      </c>
      <c r="G86" s="11" t="str">
        <f>LEFT('REPORTS PER EVALUATOR'!$AB$21,1)</f>
        <v>D</v>
      </c>
      <c r="H86" s="81">
        <f>(RIGHT('REPORTS PER EVALUATOR'!$AB$21,1))*1</f>
        <v>2</v>
      </c>
      <c r="I86" s="11" t="str">
        <f>LEFT('REPORTS PER EVALUATOR'!$AB$33,1)</f>
        <v>1</v>
      </c>
      <c r="J86" s="81">
        <f>(RIGHT('REPORTS PER EVALUATOR'!$AB$33,1))*1</f>
        <v>1</v>
      </c>
      <c r="K86" s="11" t="str">
        <f>LEFT('REPORTS PER EVALUATOR'!$AB$45,1)</f>
        <v>1</v>
      </c>
      <c r="L86" s="81">
        <f>(RIGHT('REPORTS PER EVALUATOR'!$AB$45,1))*1</f>
        <v>1</v>
      </c>
      <c r="M86" s="11" t="str">
        <f>LEFT('REPORTS PER EVALUATOR'!$AB$57,1)</f>
        <v>G</v>
      </c>
      <c r="N86" s="81">
        <f>(RIGHT('REPORTS PER EVALUATOR'!$AB$57,1))*1</f>
        <v>3</v>
      </c>
      <c r="O86" s="11" t="str">
        <f>LEFT('REPORTS PER EVALUATOR'!$AB$69,1)</f>
        <v>D</v>
      </c>
      <c r="P86" s="81">
        <f>(RIGHT('REPORTS PER EVALUATOR'!$AB$69,1))*1</f>
        <v>3</v>
      </c>
      <c r="Q86" s="11" t="str">
        <f>LEFT('REPORTS PER EVALUATOR'!$AB$81,1)</f>
        <v>D</v>
      </c>
      <c r="R86" s="81">
        <f>(RIGHT('REPORTS PER EVALUATOR'!$AB$81,1))*1</f>
        <v>2</v>
      </c>
      <c r="S86" s="11" t="str">
        <f>LEFT('REPORTS PER EVALUATOR'!$AB$93,1)</f>
        <v>D</v>
      </c>
      <c r="T86" s="81">
        <f>(RIGHT('REPORTS PER EVALUATOR'!$AB$93,1))*1</f>
        <v>6</v>
      </c>
      <c r="U86" s="11" t="str">
        <f>LEFT('REPORTS PER EVALUATOR'!$AB$105,1)</f>
        <v>D</v>
      </c>
      <c r="V86" s="81">
        <f>(RIGHT('REPORTS PER EVALUATOR'!$AB$105,1))*1</f>
        <v>5</v>
      </c>
      <c r="W86" s="11" t="str">
        <f>LEFT('REPORTS PER EVALUATOR'!$AB$117,1)</f>
        <v>D</v>
      </c>
      <c r="X86" s="81">
        <f>(RIGHT('REPORTS PER EVALUATOR'!$AB$117,1))*1</f>
        <v>2</v>
      </c>
      <c r="Y86" s="11" t="str">
        <f>LEFT('REPORTS PER EVALUATOR'!$AB$129,1)</f>
        <v>D</v>
      </c>
      <c r="Z86" s="92">
        <f>(RIGHT('REPORTS PER EVALUATOR'!$AB$129,1))*1</f>
        <v>2</v>
      </c>
      <c r="AA86" s="11" t="e">
        <f>LEFT('REPORTS PER EVALUATOR'!#REF!,1)</f>
        <v>#REF!</v>
      </c>
      <c r="AB86" s="92" t="e">
        <f>(RIGHT('REPORTS PER EVALUATOR'!#REF!,1))*1</f>
        <v>#REF!</v>
      </c>
      <c r="AC86" s="11" t="e">
        <f>LEFT('REPORTS PER EVALUATOR'!#REF!,1)</f>
        <v>#REF!</v>
      </c>
      <c r="AD86" s="92" t="e">
        <f>(RIGHT('REPORTS PER EVALUATOR'!#REF!,1))*1</f>
        <v>#REF!</v>
      </c>
      <c r="AE86" s="11" t="e">
        <f>LEFT('REPORTS PER EVALUATOR'!#REF!,1)</f>
        <v>#REF!</v>
      </c>
      <c r="AF86" s="92" t="e">
        <f>(RIGHT('REPORTS PER EVALUATOR'!#REF!,1))*1</f>
        <v>#REF!</v>
      </c>
      <c r="AG86" s="11" t="e">
        <f>LEFT('REPORTS PER EVALUATOR'!#REF!,1)</f>
        <v>#REF!</v>
      </c>
      <c r="AH86" s="92" t="e">
        <f>(RIGHT('REPORTS PER EVALUATOR'!#REF!,1))*1</f>
        <v>#REF!</v>
      </c>
      <c r="AI86" s="11" t="e">
        <f>LEFT('REPORTS PER EVALUATOR'!#REF!,1)</f>
        <v>#REF!</v>
      </c>
      <c r="AJ86" s="92" t="e">
        <f>(RIGHT('REPORTS PER EVALUATOR'!#REF!,1))*1</f>
        <v>#REF!</v>
      </c>
      <c r="AK86" s="11" t="e">
        <f>LEFT('REPORTS PER EVALUATOR'!#REF!,1)</f>
        <v>#REF!</v>
      </c>
      <c r="AL86" s="92" t="e">
        <f>(RIGHT('REPORTS PER EVALUATOR'!#REF!,1))*1</f>
        <v>#REF!</v>
      </c>
      <c r="AM86" s="11" t="e">
        <f>LEFT('REPORTS PER EVALUATOR'!#REF!,1)</f>
        <v>#REF!</v>
      </c>
      <c r="AN86" s="92" t="e">
        <f>(RIGHT('REPORTS PER EVALUATOR'!#REF!,1))*1</f>
        <v>#REF!</v>
      </c>
      <c r="AO86" s="11" t="e">
        <f>LEFT('REPORTS PER EVALUATOR'!#REF!,1)</f>
        <v>#REF!</v>
      </c>
      <c r="AP86" s="92" t="e">
        <f>(RIGHT('REPORTS PER EVALUATOR'!#REF!,1))*1</f>
        <v>#REF!</v>
      </c>
      <c r="AQ86" s="11" t="e">
        <f>LEFT('REPORTS PER EVALUATOR'!#REF!,1)</f>
        <v>#REF!</v>
      </c>
      <c r="AR86" s="92" t="e">
        <f>(RIGHT('REPORTS PER EVALUATOR'!#REF!,1))*1</f>
        <v>#REF!</v>
      </c>
    </row>
    <row r="87" spans="2:44" x14ac:dyDescent="0.2">
      <c r="B87" s="19" t="str">
        <f t="shared" si="4"/>
        <v>D</v>
      </c>
      <c r="C87" s="18" t="str">
        <f t="shared" si="5"/>
        <v>H</v>
      </c>
      <c r="D87" s="18" t="s">
        <v>38</v>
      </c>
      <c r="E87" s="26" t="str">
        <f>LEFT('REPORTS PER EVALUATOR'!$AC$9,1)</f>
        <v>D</v>
      </c>
      <c r="F87" s="73">
        <f>(RIGHT('REPORTS PER EVALUATOR'!$AC$9,1))*1</f>
        <v>2</v>
      </c>
      <c r="G87" s="11" t="str">
        <f>LEFT('REPORTS PER EVALUATOR'!$AC$21,1)</f>
        <v>1</v>
      </c>
      <c r="H87" s="81">
        <f>(RIGHT('REPORTS PER EVALUATOR'!$AC$21,1))*1</f>
        <v>1</v>
      </c>
      <c r="I87" s="11" t="str">
        <f>LEFT('REPORTS PER EVALUATOR'!$AC$33,1)</f>
        <v>D</v>
      </c>
      <c r="J87" s="81">
        <f>(RIGHT('REPORTS PER EVALUATOR'!$AC$33,1))*1</f>
        <v>3</v>
      </c>
      <c r="K87" s="11" t="str">
        <f>LEFT('REPORTS PER EVALUATOR'!$AC$45,1)</f>
        <v>D</v>
      </c>
      <c r="L87" s="81">
        <f>(RIGHT('REPORTS PER EVALUATOR'!$AC$45,1))*1</f>
        <v>2</v>
      </c>
      <c r="M87" s="11" t="str">
        <f>LEFT('REPORTS PER EVALUATOR'!$AC$57,1)</f>
        <v>D</v>
      </c>
      <c r="N87" s="81">
        <f>(RIGHT('REPORTS PER EVALUATOR'!$AC$57,1))*1</f>
        <v>3</v>
      </c>
      <c r="O87" s="11" t="str">
        <f>LEFT('REPORTS PER EVALUATOR'!$AC$69,1)</f>
        <v>D</v>
      </c>
      <c r="P87" s="81">
        <f>(RIGHT('REPORTS PER EVALUATOR'!$AC$69,1))*1</f>
        <v>2</v>
      </c>
      <c r="Q87" s="11" t="str">
        <f>LEFT('REPORTS PER EVALUATOR'!$AC$81,1)</f>
        <v>D</v>
      </c>
      <c r="R87" s="81">
        <f>(RIGHT('REPORTS PER EVALUATOR'!$AC$81,1))*1</f>
        <v>2</v>
      </c>
      <c r="S87" s="11" t="str">
        <f>LEFT('REPORTS PER EVALUATOR'!$AC$93,1)</f>
        <v>H</v>
      </c>
      <c r="T87" s="81">
        <f>(RIGHT('REPORTS PER EVALUATOR'!$AC$93,1))*1</f>
        <v>2</v>
      </c>
      <c r="U87" s="11" t="str">
        <f>LEFT('REPORTS PER EVALUATOR'!$AC$105,1)</f>
        <v>D</v>
      </c>
      <c r="V87" s="81">
        <f>(RIGHT('REPORTS PER EVALUATOR'!$AC$105,1))*1</f>
        <v>2</v>
      </c>
      <c r="W87" s="11" t="str">
        <f>LEFT('REPORTS PER EVALUATOR'!$AC$117,1)</f>
        <v>H</v>
      </c>
      <c r="X87" s="81">
        <f>(RIGHT('REPORTS PER EVALUATOR'!$AC$117,1))*1</f>
        <v>2</v>
      </c>
      <c r="Y87" s="11" t="str">
        <f>LEFT('REPORTS PER EVALUATOR'!$AC$129,1)</f>
        <v>1</v>
      </c>
      <c r="Z87" s="92">
        <f>(RIGHT('REPORTS PER EVALUATOR'!$AC$129,1))*1</f>
        <v>1</v>
      </c>
      <c r="AA87" s="11" t="e">
        <f>LEFT('REPORTS PER EVALUATOR'!#REF!,1)</f>
        <v>#REF!</v>
      </c>
      <c r="AB87" s="92" t="e">
        <f>(RIGHT('REPORTS PER EVALUATOR'!#REF!,1))*1</f>
        <v>#REF!</v>
      </c>
      <c r="AC87" s="11" t="e">
        <f>LEFT('REPORTS PER EVALUATOR'!#REF!,1)</f>
        <v>#REF!</v>
      </c>
      <c r="AD87" s="92" t="e">
        <f>(RIGHT('REPORTS PER EVALUATOR'!#REF!,1))*1</f>
        <v>#REF!</v>
      </c>
      <c r="AE87" s="11" t="e">
        <f>LEFT('REPORTS PER EVALUATOR'!#REF!,1)</f>
        <v>#REF!</v>
      </c>
      <c r="AF87" s="92" t="e">
        <f>(RIGHT('REPORTS PER EVALUATOR'!#REF!,1))*1</f>
        <v>#REF!</v>
      </c>
      <c r="AG87" s="11" t="e">
        <f>LEFT('REPORTS PER EVALUATOR'!#REF!,1)</f>
        <v>#REF!</v>
      </c>
      <c r="AH87" s="92" t="e">
        <f>(RIGHT('REPORTS PER EVALUATOR'!#REF!,1))*1</f>
        <v>#REF!</v>
      </c>
      <c r="AI87" s="11" t="e">
        <f>LEFT('REPORTS PER EVALUATOR'!#REF!,1)</f>
        <v>#REF!</v>
      </c>
      <c r="AJ87" s="92" t="e">
        <f>(RIGHT('REPORTS PER EVALUATOR'!#REF!,1))*1</f>
        <v>#REF!</v>
      </c>
      <c r="AK87" s="11" t="e">
        <f>LEFT('REPORTS PER EVALUATOR'!#REF!,1)</f>
        <v>#REF!</v>
      </c>
      <c r="AL87" s="92" t="e">
        <f>(RIGHT('REPORTS PER EVALUATOR'!#REF!,1))*1</f>
        <v>#REF!</v>
      </c>
      <c r="AM87" s="11" t="e">
        <f>LEFT('REPORTS PER EVALUATOR'!#REF!,1)</f>
        <v>#REF!</v>
      </c>
      <c r="AN87" s="92" t="e">
        <f>(RIGHT('REPORTS PER EVALUATOR'!#REF!,1))*1</f>
        <v>#REF!</v>
      </c>
      <c r="AO87" s="11" t="e">
        <f>LEFT('REPORTS PER EVALUATOR'!#REF!,1)</f>
        <v>#REF!</v>
      </c>
      <c r="AP87" s="92" t="e">
        <f>(RIGHT('REPORTS PER EVALUATOR'!#REF!,1))*1</f>
        <v>#REF!</v>
      </c>
      <c r="AQ87" s="11" t="e">
        <f>LEFT('REPORTS PER EVALUATOR'!#REF!,1)</f>
        <v>#REF!</v>
      </c>
      <c r="AR87" s="92" t="e">
        <f>(RIGHT('REPORTS PER EVALUATOR'!#REF!,1))*1</f>
        <v>#REF!</v>
      </c>
    </row>
    <row r="88" spans="2:44" x14ac:dyDescent="0.2">
      <c r="B88" s="19" t="str">
        <f t="shared" si="4"/>
        <v>D</v>
      </c>
      <c r="C88" s="18" t="str">
        <f t="shared" si="5"/>
        <v>I</v>
      </c>
      <c r="D88" s="18" t="s">
        <v>39</v>
      </c>
      <c r="E88" s="26" t="str">
        <f>LEFT('REPORTS PER EVALUATOR'!$AD$9,1)</f>
        <v>1</v>
      </c>
      <c r="F88" s="73">
        <f>(RIGHT('REPORTS PER EVALUATOR'!$AD$9,1))*1</f>
        <v>1</v>
      </c>
      <c r="G88" s="11" t="str">
        <f>LEFT('REPORTS PER EVALUATOR'!$AD$21,1)</f>
        <v>D</v>
      </c>
      <c r="H88" s="81">
        <f>(RIGHT('REPORTS PER EVALUATOR'!$AD$21,1))*1</f>
        <v>2</v>
      </c>
      <c r="I88" s="11" t="str">
        <f>LEFT('REPORTS PER EVALUATOR'!$AD$33,1)</f>
        <v>1</v>
      </c>
      <c r="J88" s="81">
        <f>(RIGHT('REPORTS PER EVALUATOR'!$AD$33,1))*1</f>
        <v>1</v>
      </c>
      <c r="K88" s="11" t="str">
        <f>LEFT('REPORTS PER EVALUATOR'!$AD$45,1)</f>
        <v>1</v>
      </c>
      <c r="L88" s="81">
        <f>(RIGHT('REPORTS PER EVALUATOR'!$AD$45,1))*1</f>
        <v>1</v>
      </c>
      <c r="M88" s="11" t="str">
        <f>LEFT('REPORTS PER EVALUATOR'!$AD$57,1)</f>
        <v>D</v>
      </c>
      <c r="N88" s="81">
        <f>(RIGHT('REPORTS PER EVALUATOR'!$AD$57,1))*1</f>
        <v>3</v>
      </c>
      <c r="O88" s="11" t="str">
        <f>LEFT('REPORTS PER EVALUATOR'!$AD$69,1)</f>
        <v>D</v>
      </c>
      <c r="P88" s="81">
        <f>(RIGHT('REPORTS PER EVALUATOR'!$AD$69,1))*1</f>
        <v>3</v>
      </c>
      <c r="Q88" s="11" t="str">
        <f>LEFT('REPORTS PER EVALUATOR'!$AD$81,1)</f>
        <v>D</v>
      </c>
      <c r="R88" s="81">
        <f>(RIGHT('REPORTS PER EVALUATOR'!$AD$81,1))*1</f>
        <v>3</v>
      </c>
      <c r="S88" s="11" t="str">
        <f>LEFT('REPORTS PER EVALUATOR'!$AD$93,1)</f>
        <v>D</v>
      </c>
      <c r="T88" s="81">
        <f>(RIGHT('REPORTS PER EVALUATOR'!$AD$93,1))*1</f>
        <v>3</v>
      </c>
      <c r="U88" s="11" t="str">
        <f>LEFT('REPORTS PER EVALUATOR'!$AD$105,1)</f>
        <v>D</v>
      </c>
      <c r="V88" s="81">
        <f>(RIGHT('REPORTS PER EVALUATOR'!$AD$105,1))*1</f>
        <v>2</v>
      </c>
      <c r="W88" s="11" t="str">
        <f>LEFT('REPORTS PER EVALUATOR'!$AD$117,1)</f>
        <v>I</v>
      </c>
      <c r="X88" s="81">
        <f>(RIGHT('REPORTS PER EVALUATOR'!$AD$117,1))*1</f>
        <v>2</v>
      </c>
      <c r="Y88" s="11" t="str">
        <f>LEFT('REPORTS PER EVALUATOR'!$AD$129,1)</f>
        <v>1</v>
      </c>
      <c r="Z88" s="92">
        <f>(RIGHT('REPORTS PER EVALUATOR'!$AD$129,1))*1</f>
        <v>1</v>
      </c>
      <c r="AA88" s="11" t="e">
        <f>LEFT('REPORTS PER EVALUATOR'!#REF!,1)</f>
        <v>#REF!</v>
      </c>
      <c r="AB88" s="92" t="e">
        <f>(RIGHT('REPORTS PER EVALUATOR'!#REF!,1))*1</f>
        <v>#REF!</v>
      </c>
      <c r="AC88" s="11" t="e">
        <f>LEFT('REPORTS PER EVALUATOR'!#REF!,1)</f>
        <v>#REF!</v>
      </c>
      <c r="AD88" s="92" t="e">
        <f>(RIGHT('REPORTS PER EVALUATOR'!#REF!,1))*1</f>
        <v>#REF!</v>
      </c>
      <c r="AE88" s="11" t="e">
        <f>LEFT('REPORTS PER EVALUATOR'!#REF!,1)</f>
        <v>#REF!</v>
      </c>
      <c r="AF88" s="92" t="e">
        <f>(RIGHT('REPORTS PER EVALUATOR'!#REF!,1))*1</f>
        <v>#REF!</v>
      </c>
      <c r="AG88" s="11" t="e">
        <f>LEFT('REPORTS PER EVALUATOR'!#REF!,1)</f>
        <v>#REF!</v>
      </c>
      <c r="AH88" s="92" t="e">
        <f>(RIGHT('REPORTS PER EVALUATOR'!#REF!,1))*1</f>
        <v>#REF!</v>
      </c>
      <c r="AI88" s="11" t="e">
        <f>LEFT('REPORTS PER EVALUATOR'!#REF!,1)</f>
        <v>#REF!</v>
      </c>
      <c r="AJ88" s="92" t="e">
        <f>(RIGHT('REPORTS PER EVALUATOR'!#REF!,1))*1</f>
        <v>#REF!</v>
      </c>
      <c r="AK88" s="11" t="e">
        <f>LEFT('REPORTS PER EVALUATOR'!#REF!,1)</f>
        <v>#REF!</v>
      </c>
      <c r="AL88" s="92" t="e">
        <f>(RIGHT('REPORTS PER EVALUATOR'!#REF!,1))*1</f>
        <v>#REF!</v>
      </c>
      <c r="AM88" s="11" t="e">
        <f>LEFT('REPORTS PER EVALUATOR'!#REF!,1)</f>
        <v>#REF!</v>
      </c>
      <c r="AN88" s="92" t="e">
        <f>(RIGHT('REPORTS PER EVALUATOR'!#REF!,1))*1</f>
        <v>#REF!</v>
      </c>
      <c r="AO88" s="11" t="e">
        <f>LEFT('REPORTS PER EVALUATOR'!#REF!,1)</f>
        <v>#REF!</v>
      </c>
      <c r="AP88" s="92" t="e">
        <f>(RIGHT('REPORTS PER EVALUATOR'!#REF!,1))*1</f>
        <v>#REF!</v>
      </c>
      <c r="AQ88" s="11" t="e">
        <f>LEFT('REPORTS PER EVALUATOR'!#REF!,1)</f>
        <v>#REF!</v>
      </c>
      <c r="AR88" s="92" t="e">
        <f>(RIGHT('REPORTS PER EVALUATOR'!#REF!,1))*1</f>
        <v>#REF!</v>
      </c>
    </row>
    <row r="89" spans="2:44" x14ac:dyDescent="0.2">
      <c r="B89" s="19" t="str">
        <f t="shared" si="4"/>
        <v>D</v>
      </c>
      <c r="C89" s="18" t="str">
        <f t="shared" si="5"/>
        <v>L</v>
      </c>
      <c r="D89" s="18" t="s">
        <v>40</v>
      </c>
      <c r="E89" s="26" t="str">
        <f>LEFT('REPORTS PER EVALUATOR'!$AE$9,1)</f>
        <v>D</v>
      </c>
      <c r="F89" s="73">
        <f>(RIGHT('REPORTS PER EVALUATOR'!$AE$9,1))*1</f>
        <v>3</v>
      </c>
      <c r="G89" s="11" t="str">
        <f>LEFT('REPORTS PER EVALUATOR'!$AE$21,1)</f>
        <v>D</v>
      </c>
      <c r="H89" s="81">
        <f>(RIGHT('REPORTS PER EVALUATOR'!$AE$21,1))*1</f>
        <v>3</v>
      </c>
      <c r="I89" s="11" t="str">
        <f>LEFT('REPORTS PER EVALUATOR'!$AE$33,1)</f>
        <v>D</v>
      </c>
      <c r="J89" s="81">
        <f>(RIGHT('REPORTS PER EVALUATOR'!$AE$33,1))*1</f>
        <v>2</v>
      </c>
      <c r="K89" s="11" t="str">
        <f>LEFT('REPORTS PER EVALUATOR'!$AE$45,1)</f>
        <v>D</v>
      </c>
      <c r="L89" s="81">
        <f>(RIGHT('REPORTS PER EVALUATOR'!$AE$45,1))*1</f>
        <v>3</v>
      </c>
      <c r="M89" s="11" t="str">
        <f>LEFT('REPORTS PER EVALUATOR'!$AE$57,1)</f>
        <v>D</v>
      </c>
      <c r="N89" s="81">
        <f>(RIGHT('REPORTS PER EVALUATOR'!$AE$57,1))*1</f>
        <v>2</v>
      </c>
      <c r="O89" s="11" t="str">
        <f>LEFT('REPORTS PER EVALUATOR'!$AE$69,1)</f>
        <v>D</v>
      </c>
      <c r="P89" s="81">
        <f>(RIGHT('REPORTS PER EVALUATOR'!$AE$69,1))*1</f>
        <v>2</v>
      </c>
      <c r="Q89" s="11" t="str">
        <f>LEFT('REPORTS PER EVALUATOR'!$AE$81,1)</f>
        <v>1</v>
      </c>
      <c r="R89" s="81">
        <f>(RIGHT('REPORTS PER EVALUATOR'!$AE$81,1))*1</f>
        <v>1</v>
      </c>
      <c r="S89" s="11" t="str">
        <f>LEFT('REPORTS PER EVALUATOR'!$AE$93,1)</f>
        <v>L</v>
      </c>
      <c r="T89" s="81">
        <f>(RIGHT('REPORTS PER EVALUATOR'!$AE$93,1))*1</f>
        <v>2</v>
      </c>
      <c r="U89" s="11" t="str">
        <f>LEFT('REPORTS PER EVALUATOR'!$AE$105,1)</f>
        <v>D</v>
      </c>
      <c r="V89" s="81">
        <f>(RIGHT('REPORTS PER EVALUATOR'!$AE$105,1))*1</f>
        <v>2</v>
      </c>
      <c r="W89" s="11" t="str">
        <f>LEFT('REPORTS PER EVALUATOR'!$AE$117,1)</f>
        <v>1</v>
      </c>
      <c r="X89" s="81">
        <f>(RIGHT('REPORTS PER EVALUATOR'!$AE$117,1))*1</f>
        <v>1</v>
      </c>
      <c r="Y89" s="11" t="str">
        <f>LEFT('REPORTS PER EVALUATOR'!$AE$129,1)</f>
        <v>1</v>
      </c>
      <c r="Z89" s="92">
        <f>(RIGHT('REPORTS PER EVALUATOR'!$AE$129,1))*1</f>
        <v>1</v>
      </c>
      <c r="AA89" s="11" t="e">
        <f>LEFT('REPORTS PER EVALUATOR'!#REF!,1)</f>
        <v>#REF!</v>
      </c>
      <c r="AB89" s="92" t="e">
        <f>(RIGHT('REPORTS PER EVALUATOR'!#REF!,1))*1</f>
        <v>#REF!</v>
      </c>
      <c r="AC89" s="11" t="e">
        <f>LEFT('REPORTS PER EVALUATOR'!#REF!,1)</f>
        <v>#REF!</v>
      </c>
      <c r="AD89" s="92" t="e">
        <f>(RIGHT('REPORTS PER EVALUATOR'!#REF!,1))*1</f>
        <v>#REF!</v>
      </c>
      <c r="AE89" s="11" t="e">
        <f>LEFT('REPORTS PER EVALUATOR'!#REF!,1)</f>
        <v>#REF!</v>
      </c>
      <c r="AF89" s="92" t="e">
        <f>(RIGHT('REPORTS PER EVALUATOR'!#REF!,1))*1</f>
        <v>#REF!</v>
      </c>
      <c r="AG89" s="11" t="e">
        <f>LEFT('REPORTS PER EVALUATOR'!#REF!,1)</f>
        <v>#REF!</v>
      </c>
      <c r="AH89" s="92" t="e">
        <f>(RIGHT('REPORTS PER EVALUATOR'!#REF!,1))*1</f>
        <v>#REF!</v>
      </c>
      <c r="AI89" s="11" t="e">
        <f>LEFT('REPORTS PER EVALUATOR'!#REF!,1)</f>
        <v>#REF!</v>
      </c>
      <c r="AJ89" s="92" t="e">
        <f>(RIGHT('REPORTS PER EVALUATOR'!#REF!,1))*1</f>
        <v>#REF!</v>
      </c>
      <c r="AK89" s="11" t="e">
        <f>LEFT('REPORTS PER EVALUATOR'!#REF!,1)</f>
        <v>#REF!</v>
      </c>
      <c r="AL89" s="92" t="e">
        <f>(RIGHT('REPORTS PER EVALUATOR'!#REF!,1))*1</f>
        <v>#REF!</v>
      </c>
      <c r="AM89" s="11" t="e">
        <f>LEFT('REPORTS PER EVALUATOR'!#REF!,1)</f>
        <v>#REF!</v>
      </c>
      <c r="AN89" s="92" t="e">
        <f>(RIGHT('REPORTS PER EVALUATOR'!#REF!,1))*1</f>
        <v>#REF!</v>
      </c>
      <c r="AO89" s="11" t="e">
        <f>LEFT('REPORTS PER EVALUATOR'!#REF!,1)</f>
        <v>#REF!</v>
      </c>
      <c r="AP89" s="92" t="e">
        <f>(RIGHT('REPORTS PER EVALUATOR'!#REF!,1))*1</f>
        <v>#REF!</v>
      </c>
      <c r="AQ89" s="11" t="e">
        <f>LEFT('REPORTS PER EVALUATOR'!#REF!,1)</f>
        <v>#REF!</v>
      </c>
      <c r="AR89" s="92" t="e">
        <f>(RIGHT('REPORTS PER EVALUATOR'!#REF!,1))*1</f>
        <v>#REF!</v>
      </c>
    </row>
    <row r="90" spans="2:44" x14ac:dyDescent="0.2">
      <c r="B90" s="19" t="str">
        <f t="shared" si="4"/>
        <v>D</v>
      </c>
      <c r="C90" s="18" t="str">
        <f t="shared" si="5"/>
        <v>M</v>
      </c>
      <c r="D90" s="18" t="s">
        <v>160</v>
      </c>
      <c r="E90" s="26" t="str">
        <f>LEFT('REPORTS PER EVALUATOR'!$AF$9,1)</f>
        <v/>
      </c>
      <c r="F90" s="73" t="e">
        <f>(RIGHT('REPORTS PER EVALUATOR'!$AF$9,1))*1</f>
        <v>#VALUE!</v>
      </c>
      <c r="G90" s="11" t="str">
        <f>LEFT('REPORTS PER EVALUATOR'!$AF$21,1)</f>
        <v/>
      </c>
      <c r="H90" s="81" t="e">
        <f>(RIGHT('REPORTS PER EVALUATOR'!$AF$21,1))*1</f>
        <v>#VALUE!</v>
      </c>
      <c r="I90" s="11" t="str">
        <f>LEFT('REPORTS PER EVALUATOR'!$AF$33,1)</f>
        <v/>
      </c>
      <c r="J90" s="81" t="e">
        <f>(RIGHT('REPORTS PER EVALUATOR'!$AF$33,1))*1</f>
        <v>#VALUE!</v>
      </c>
      <c r="K90" s="11" t="str">
        <f>LEFT('REPORTS PER EVALUATOR'!$AF$45,1)</f>
        <v/>
      </c>
      <c r="L90" s="81" t="e">
        <f>(RIGHT('REPORTS PER EVALUATOR'!$AF$45,1))*1</f>
        <v>#VALUE!</v>
      </c>
      <c r="M90" s="11" t="str">
        <f>LEFT('REPORTS PER EVALUATOR'!$AF$57,1)</f>
        <v/>
      </c>
      <c r="N90" s="81" t="e">
        <f>(RIGHT('REPORTS PER EVALUATOR'!$AF$57,1))*1</f>
        <v>#VALUE!</v>
      </c>
      <c r="O90" s="11" t="str">
        <f>LEFT('REPORTS PER EVALUATOR'!$AF$69,1)</f>
        <v/>
      </c>
      <c r="P90" s="81" t="e">
        <f>(RIGHT('REPORTS PER EVALUATOR'!$AF$69,1))*1</f>
        <v>#VALUE!</v>
      </c>
      <c r="Q90" s="11" t="str">
        <f>LEFT('REPORTS PER EVALUATOR'!$AF$81,1)</f>
        <v/>
      </c>
      <c r="R90" s="81" t="e">
        <f>(RIGHT('REPORTS PER EVALUATOR'!$AF$81,1))*1</f>
        <v>#VALUE!</v>
      </c>
      <c r="S90" s="11" t="str">
        <f>LEFT('REPORTS PER EVALUATOR'!$AF$93,1)</f>
        <v/>
      </c>
      <c r="T90" s="81" t="e">
        <f>(RIGHT('REPORTS PER EVALUATOR'!$AF$93,1))*1</f>
        <v>#VALUE!</v>
      </c>
      <c r="U90" s="11" t="str">
        <f>LEFT('REPORTS PER EVALUATOR'!$AF$105,1)</f>
        <v/>
      </c>
      <c r="V90" s="81" t="e">
        <f>(RIGHT('REPORTS PER EVALUATOR'!$AF$105,1))*1</f>
        <v>#VALUE!</v>
      </c>
      <c r="W90" s="11" t="str">
        <f>LEFT('REPORTS PER EVALUATOR'!$AF$117,1)</f>
        <v/>
      </c>
      <c r="X90" s="81" t="e">
        <f>(RIGHT('REPORTS PER EVALUATOR'!$AF$117,1))*1</f>
        <v>#VALUE!</v>
      </c>
      <c r="Y90" s="11" t="str">
        <f>LEFT('REPORTS PER EVALUATOR'!$AF$129,1)</f>
        <v/>
      </c>
      <c r="Z90" s="92" t="e">
        <f>(RIGHT('REPORTS PER EVALUATOR'!$AF$129,1))*1</f>
        <v>#VALUE!</v>
      </c>
      <c r="AA90" s="11" t="e">
        <f>LEFT('REPORTS PER EVALUATOR'!#REF!,1)</f>
        <v>#REF!</v>
      </c>
      <c r="AB90" s="92" t="e">
        <f>(RIGHT('REPORTS PER EVALUATOR'!#REF!,1))*1</f>
        <v>#REF!</v>
      </c>
      <c r="AC90" s="11" t="e">
        <f>LEFT('REPORTS PER EVALUATOR'!#REF!,1)</f>
        <v>#REF!</v>
      </c>
      <c r="AD90" s="92" t="e">
        <f>(RIGHT('REPORTS PER EVALUATOR'!#REF!,1))*1</f>
        <v>#REF!</v>
      </c>
      <c r="AE90" s="11" t="e">
        <f>LEFT('REPORTS PER EVALUATOR'!#REF!,1)</f>
        <v>#REF!</v>
      </c>
      <c r="AF90" s="92" t="e">
        <f>(RIGHT('REPORTS PER EVALUATOR'!#REF!,1))*1</f>
        <v>#REF!</v>
      </c>
      <c r="AG90" s="11" t="e">
        <f>LEFT('REPORTS PER EVALUATOR'!#REF!,1)</f>
        <v>#REF!</v>
      </c>
      <c r="AH90" s="92" t="e">
        <f>(RIGHT('REPORTS PER EVALUATOR'!#REF!,1))*1</f>
        <v>#REF!</v>
      </c>
      <c r="AI90" s="11" t="e">
        <f>LEFT('REPORTS PER EVALUATOR'!#REF!,1)</f>
        <v>#REF!</v>
      </c>
      <c r="AJ90" s="92" t="e">
        <f>(RIGHT('REPORTS PER EVALUATOR'!#REF!,1))*1</f>
        <v>#REF!</v>
      </c>
      <c r="AK90" s="11" t="e">
        <f>LEFT('REPORTS PER EVALUATOR'!#REF!,1)</f>
        <v>#REF!</v>
      </c>
      <c r="AL90" s="92" t="e">
        <f>(RIGHT('REPORTS PER EVALUATOR'!#REF!,1))*1</f>
        <v>#REF!</v>
      </c>
      <c r="AM90" s="11" t="e">
        <f>LEFT('REPORTS PER EVALUATOR'!#REF!,1)</f>
        <v>#REF!</v>
      </c>
      <c r="AN90" s="92" t="e">
        <f>(RIGHT('REPORTS PER EVALUATOR'!#REF!,1))*1</f>
        <v>#REF!</v>
      </c>
      <c r="AO90" s="11" t="e">
        <f>LEFT('REPORTS PER EVALUATOR'!#REF!,1)</f>
        <v>#REF!</v>
      </c>
      <c r="AP90" s="92" t="e">
        <f>(RIGHT('REPORTS PER EVALUATOR'!#REF!,1))*1</f>
        <v>#REF!</v>
      </c>
      <c r="AQ90" s="11" t="e">
        <f>LEFT('REPORTS PER EVALUATOR'!#REF!,1)</f>
        <v>#REF!</v>
      </c>
      <c r="AR90" s="92" t="e">
        <f>(RIGHT('REPORTS PER EVALUATOR'!#REF!,1))*1</f>
        <v>#REF!</v>
      </c>
    </row>
    <row r="91" spans="2:44" x14ac:dyDescent="0.2">
      <c r="B91" s="19" t="str">
        <f t="shared" si="4"/>
        <v>E</v>
      </c>
      <c r="C91" s="18" t="str">
        <f t="shared" si="5"/>
        <v>F</v>
      </c>
      <c r="D91" s="18" t="s">
        <v>41</v>
      </c>
      <c r="E91" s="64" t="str">
        <f>LEFT('REPORTS PER EVALUATOR'!$AA$10,1)</f>
        <v>1</v>
      </c>
      <c r="F91" s="76">
        <f>(RIGHT('REPORTS PER EVALUATOR'!$AA$10,1))*1</f>
        <v>1</v>
      </c>
      <c r="G91" s="65" t="str">
        <f>LEFT('REPORTS PER EVALUATOR'!$AA$22,1)</f>
        <v>E</v>
      </c>
      <c r="H91" s="84">
        <f>(RIGHT('REPORTS PER EVALUATOR'!$AA$22,1))*1</f>
        <v>2</v>
      </c>
      <c r="I91" s="65" t="str">
        <f>LEFT('REPORTS PER EVALUATOR'!$AA$34,1)</f>
        <v>F</v>
      </c>
      <c r="J91" s="84">
        <f>(RIGHT('REPORTS PER EVALUATOR'!$AA$34,1))*1</f>
        <v>2</v>
      </c>
      <c r="K91" s="65" t="str">
        <f>LEFT('REPORTS PER EVALUATOR'!$AA$46,1)</f>
        <v>F</v>
      </c>
      <c r="L91" s="84">
        <f>(RIGHT('REPORTS PER EVALUATOR'!$AA$46,1))*1</f>
        <v>2</v>
      </c>
      <c r="M91" s="65" t="str">
        <f>LEFT('REPORTS PER EVALUATOR'!$AA$58,1)</f>
        <v>1</v>
      </c>
      <c r="N91" s="84">
        <f>(RIGHT('REPORTS PER EVALUATOR'!$AA$58,1))*1</f>
        <v>1</v>
      </c>
      <c r="O91" s="65" t="str">
        <f>LEFT('REPORTS PER EVALUATOR'!$AA$70,1)</f>
        <v>1</v>
      </c>
      <c r="P91" s="84">
        <f>(RIGHT('REPORTS PER EVALUATOR'!$AA$70,1))*1</f>
        <v>1</v>
      </c>
      <c r="Q91" s="65" t="str">
        <f>LEFT('REPORTS PER EVALUATOR'!$AA$82,1)</f>
        <v>E</v>
      </c>
      <c r="R91" s="84">
        <f>(RIGHT('REPORTS PER EVALUATOR'!$AA$82,1))*1</f>
        <v>2</v>
      </c>
      <c r="S91" s="65" t="str">
        <f>LEFT('REPORTS PER EVALUATOR'!$AA$94,1)</f>
        <v>E</v>
      </c>
      <c r="T91" s="84">
        <f>(RIGHT('REPORTS PER EVALUATOR'!$AA$94,1))*1</f>
        <v>2</v>
      </c>
      <c r="U91" s="65" t="str">
        <f>LEFT('REPORTS PER EVALUATOR'!$AA$106,1)</f>
        <v>E</v>
      </c>
      <c r="V91" s="84">
        <f>(RIGHT('REPORTS PER EVALUATOR'!$AA$106,1))*1</f>
        <v>3</v>
      </c>
      <c r="W91" s="65" t="str">
        <f>LEFT('REPORTS PER EVALUATOR'!$AA$118,1)</f>
        <v>1</v>
      </c>
      <c r="X91" s="84">
        <f>(RIGHT('REPORTS PER EVALUATOR'!$AA$118,1))*1</f>
        <v>1</v>
      </c>
      <c r="Y91" s="65" t="str">
        <f>LEFT('REPORTS PER EVALUATOR'!$AA$130,1)</f>
        <v>1</v>
      </c>
      <c r="Z91" s="96">
        <f>(RIGHT('REPORTS PER EVALUATOR'!$AA$130,1))*1</f>
        <v>1</v>
      </c>
      <c r="AA91" s="65" t="e">
        <f>LEFT('REPORTS PER EVALUATOR'!#REF!,1)</f>
        <v>#REF!</v>
      </c>
      <c r="AB91" s="96" t="e">
        <f>(RIGHT('REPORTS PER EVALUATOR'!#REF!,1))*1</f>
        <v>#REF!</v>
      </c>
      <c r="AC91" s="65" t="e">
        <f>LEFT('REPORTS PER EVALUATOR'!#REF!,1)</f>
        <v>#REF!</v>
      </c>
      <c r="AD91" s="96" t="e">
        <f>(RIGHT('REPORTS PER EVALUATOR'!#REF!,1))*1</f>
        <v>#REF!</v>
      </c>
      <c r="AE91" s="65" t="e">
        <f>LEFT('REPORTS PER EVALUATOR'!#REF!,1)</f>
        <v>#REF!</v>
      </c>
      <c r="AF91" s="96" t="e">
        <f>(RIGHT('REPORTS PER EVALUATOR'!#REF!,1))*1</f>
        <v>#REF!</v>
      </c>
      <c r="AG91" s="65" t="e">
        <f>LEFT('REPORTS PER EVALUATOR'!#REF!,1)</f>
        <v>#REF!</v>
      </c>
      <c r="AH91" s="96" t="e">
        <f>(RIGHT('REPORTS PER EVALUATOR'!#REF!,1))*1</f>
        <v>#REF!</v>
      </c>
      <c r="AI91" s="65" t="e">
        <f>LEFT('REPORTS PER EVALUATOR'!#REF!,1)</f>
        <v>#REF!</v>
      </c>
      <c r="AJ91" s="96" t="e">
        <f>(RIGHT('REPORTS PER EVALUATOR'!#REF!,1))*1</f>
        <v>#REF!</v>
      </c>
      <c r="AK91" s="65" t="e">
        <f>LEFT('REPORTS PER EVALUATOR'!#REF!,1)</f>
        <v>#REF!</v>
      </c>
      <c r="AL91" s="96" t="e">
        <f>(RIGHT('REPORTS PER EVALUATOR'!#REF!,1))*1</f>
        <v>#REF!</v>
      </c>
      <c r="AM91" s="65" t="e">
        <f>LEFT('REPORTS PER EVALUATOR'!#REF!,1)</f>
        <v>#REF!</v>
      </c>
      <c r="AN91" s="96" t="e">
        <f>(RIGHT('REPORTS PER EVALUATOR'!#REF!,1))*1</f>
        <v>#REF!</v>
      </c>
      <c r="AO91" s="65" t="e">
        <f>LEFT('REPORTS PER EVALUATOR'!#REF!,1)</f>
        <v>#REF!</v>
      </c>
      <c r="AP91" s="96" t="e">
        <f>(RIGHT('REPORTS PER EVALUATOR'!#REF!,1))*1</f>
        <v>#REF!</v>
      </c>
      <c r="AQ91" s="65" t="e">
        <f>LEFT('REPORTS PER EVALUATOR'!#REF!,1)</f>
        <v>#REF!</v>
      </c>
      <c r="AR91" s="96" t="e">
        <f>(RIGHT('REPORTS PER EVALUATOR'!#REF!,1))*1</f>
        <v>#REF!</v>
      </c>
    </row>
    <row r="92" spans="2:44" x14ac:dyDescent="0.2">
      <c r="B92" s="19" t="str">
        <f t="shared" si="4"/>
        <v>E</v>
      </c>
      <c r="C92" s="18" t="str">
        <f t="shared" si="5"/>
        <v>G</v>
      </c>
      <c r="D92" s="18" t="s">
        <v>42</v>
      </c>
      <c r="E92" s="26" t="str">
        <f>LEFT('REPORTS PER EVALUATOR'!$AB$10,1)</f>
        <v>E</v>
      </c>
      <c r="F92" s="73">
        <f>(RIGHT('REPORTS PER EVALUATOR'!$AB$10,1))*1</f>
        <v>2</v>
      </c>
      <c r="G92" s="11" t="str">
        <f>LEFT('REPORTS PER EVALUATOR'!$AB$22,1)</f>
        <v>E</v>
      </c>
      <c r="H92" s="81">
        <f>(RIGHT('REPORTS PER EVALUATOR'!$AB$22,1))*1</f>
        <v>2</v>
      </c>
      <c r="I92" s="11" t="str">
        <f>LEFT('REPORTS PER EVALUATOR'!$AB$34,1)</f>
        <v>G</v>
      </c>
      <c r="J92" s="81">
        <f>(RIGHT('REPORTS PER EVALUATOR'!$AB$34,1))*1</f>
        <v>2</v>
      </c>
      <c r="K92" s="11" t="str">
        <f>LEFT('REPORTS PER EVALUATOR'!$AB$46,1)</f>
        <v>G</v>
      </c>
      <c r="L92" s="81">
        <f>(RIGHT('REPORTS PER EVALUATOR'!$AB$46,1))*1</f>
        <v>2</v>
      </c>
      <c r="M92" s="11" t="str">
        <f>LEFT('REPORTS PER EVALUATOR'!$AB$58,1)</f>
        <v>E</v>
      </c>
      <c r="N92" s="81">
        <f>(RIGHT('REPORTS PER EVALUATOR'!$AB$58,1))*1</f>
        <v>3</v>
      </c>
      <c r="O92" s="11" t="str">
        <f>LEFT('REPORTS PER EVALUATOR'!$AB$70,1)</f>
        <v>E</v>
      </c>
      <c r="P92" s="81">
        <f>(RIGHT('REPORTS PER EVALUATOR'!$AB$70,1))*1</f>
        <v>3</v>
      </c>
      <c r="Q92" s="11" t="str">
        <f>LEFT('REPORTS PER EVALUATOR'!$AB$82,1)</f>
        <v>E</v>
      </c>
      <c r="R92" s="81">
        <f>(RIGHT('REPORTS PER EVALUATOR'!$AB$82,1))*1</f>
        <v>4</v>
      </c>
      <c r="S92" s="11" t="str">
        <f>LEFT('REPORTS PER EVALUATOR'!$AB$94,1)</f>
        <v>E</v>
      </c>
      <c r="T92" s="81">
        <f>(RIGHT('REPORTS PER EVALUATOR'!$AB$94,1))*1</f>
        <v>6</v>
      </c>
      <c r="U92" s="11" t="str">
        <f>LEFT('REPORTS PER EVALUATOR'!$AB$106,1)</f>
        <v>E</v>
      </c>
      <c r="V92" s="81">
        <f>(RIGHT('REPORTS PER EVALUATOR'!$AB$106,1))*1</f>
        <v>4</v>
      </c>
      <c r="W92" s="11" t="str">
        <f>LEFT('REPORTS PER EVALUATOR'!$AB$118,1)</f>
        <v>1</v>
      </c>
      <c r="X92" s="81">
        <f>(RIGHT('REPORTS PER EVALUATOR'!$AB$118,1))*1</f>
        <v>1</v>
      </c>
      <c r="Y92" s="11" t="str">
        <f>LEFT('REPORTS PER EVALUATOR'!$AB$130,1)</f>
        <v>E</v>
      </c>
      <c r="Z92" s="92">
        <f>(RIGHT('REPORTS PER EVALUATOR'!$AB$130,1))*1</f>
        <v>2</v>
      </c>
      <c r="AA92" s="11" t="e">
        <f>LEFT('REPORTS PER EVALUATOR'!#REF!,1)</f>
        <v>#REF!</v>
      </c>
      <c r="AB92" s="92" t="e">
        <f>(RIGHT('REPORTS PER EVALUATOR'!#REF!,1))*1</f>
        <v>#REF!</v>
      </c>
      <c r="AC92" s="11" t="e">
        <f>LEFT('REPORTS PER EVALUATOR'!#REF!,1)</f>
        <v>#REF!</v>
      </c>
      <c r="AD92" s="92" t="e">
        <f>(RIGHT('REPORTS PER EVALUATOR'!#REF!,1))*1</f>
        <v>#REF!</v>
      </c>
      <c r="AE92" s="11" t="e">
        <f>LEFT('REPORTS PER EVALUATOR'!#REF!,1)</f>
        <v>#REF!</v>
      </c>
      <c r="AF92" s="92" t="e">
        <f>(RIGHT('REPORTS PER EVALUATOR'!#REF!,1))*1</f>
        <v>#REF!</v>
      </c>
      <c r="AG92" s="11" t="e">
        <f>LEFT('REPORTS PER EVALUATOR'!#REF!,1)</f>
        <v>#REF!</v>
      </c>
      <c r="AH92" s="92" t="e">
        <f>(RIGHT('REPORTS PER EVALUATOR'!#REF!,1))*1</f>
        <v>#REF!</v>
      </c>
      <c r="AI92" s="11" t="e">
        <f>LEFT('REPORTS PER EVALUATOR'!#REF!,1)</f>
        <v>#REF!</v>
      </c>
      <c r="AJ92" s="92" t="e">
        <f>(RIGHT('REPORTS PER EVALUATOR'!#REF!,1))*1</f>
        <v>#REF!</v>
      </c>
      <c r="AK92" s="11" t="e">
        <f>LEFT('REPORTS PER EVALUATOR'!#REF!,1)</f>
        <v>#REF!</v>
      </c>
      <c r="AL92" s="92" t="e">
        <f>(RIGHT('REPORTS PER EVALUATOR'!#REF!,1))*1</f>
        <v>#REF!</v>
      </c>
      <c r="AM92" s="11" t="e">
        <f>LEFT('REPORTS PER EVALUATOR'!#REF!,1)</f>
        <v>#REF!</v>
      </c>
      <c r="AN92" s="92" t="e">
        <f>(RIGHT('REPORTS PER EVALUATOR'!#REF!,1))*1</f>
        <v>#REF!</v>
      </c>
      <c r="AO92" s="11" t="e">
        <f>LEFT('REPORTS PER EVALUATOR'!#REF!,1)</f>
        <v>#REF!</v>
      </c>
      <c r="AP92" s="92" t="e">
        <f>(RIGHT('REPORTS PER EVALUATOR'!#REF!,1))*1</f>
        <v>#REF!</v>
      </c>
      <c r="AQ92" s="11" t="e">
        <f>LEFT('REPORTS PER EVALUATOR'!#REF!,1)</f>
        <v>#REF!</v>
      </c>
      <c r="AR92" s="92" t="e">
        <f>(RIGHT('REPORTS PER EVALUATOR'!#REF!,1))*1</f>
        <v>#REF!</v>
      </c>
    </row>
    <row r="93" spans="2:44" x14ac:dyDescent="0.2">
      <c r="B93" s="19" t="str">
        <f t="shared" si="4"/>
        <v>E</v>
      </c>
      <c r="C93" s="18" t="str">
        <f t="shared" ref="C93:C132" si="6">RIGHT(D93,1)</f>
        <v>H</v>
      </c>
      <c r="D93" s="18" t="s">
        <v>43</v>
      </c>
      <c r="E93" s="26" t="str">
        <f>LEFT('REPORTS PER EVALUATOR'!$AC$10,1)</f>
        <v>1</v>
      </c>
      <c r="F93" s="73">
        <f>(RIGHT('REPORTS PER EVALUATOR'!$AC$10,1))*1</f>
        <v>1</v>
      </c>
      <c r="G93" s="11" t="str">
        <f>LEFT('REPORTS PER EVALUATOR'!$AC$22,1)</f>
        <v>1</v>
      </c>
      <c r="H93" s="81">
        <f>(RIGHT('REPORTS PER EVALUATOR'!$AC$22,1))*1</f>
        <v>1</v>
      </c>
      <c r="I93" s="11" t="str">
        <f>LEFT('REPORTS PER EVALUATOR'!$AC$34,1)</f>
        <v>E</v>
      </c>
      <c r="J93" s="81">
        <f>(RIGHT('REPORTS PER EVALUATOR'!$AC$34,1))*1</f>
        <v>3</v>
      </c>
      <c r="K93" s="11" t="str">
        <f>LEFT('REPORTS PER EVALUATOR'!$AC$46,1)</f>
        <v>E</v>
      </c>
      <c r="L93" s="81">
        <f>(RIGHT('REPORTS PER EVALUATOR'!$AC$46,1))*1</f>
        <v>3</v>
      </c>
      <c r="M93" s="11" t="str">
        <f>LEFT('REPORTS PER EVALUATOR'!$AC$58,1)</f>
        <v>E</v>
      </c>
      <c r="N93" s="81">
        <f>(RIGHT('REPORTS PER EVALUATOR'!$AC$58,1))*1</f>
        <v>2</v>
      </c>
      <c r="O93" s="11" t="str">
        <f>LEFT('REPORTS PER EVALUATOR'!$AC$70,1)</f>
        <v>E</v>
      </c>
      <c r="P93" s="81">
        <f>(RIGHT('REPORTS PER EVALUATOR'!$AC$70,1))*1</f>
        <v>2</v>
      </c>
      <c r="Q93" s="11" t="str">
        <f>LEFT('REPORTS PER EVALUATOR'!$AC$82,1)</f>
        <v>E</v>
      </c>
      <c r="R93" s="81">
        <f>(RIGHT('REPORTS PER EVALUATOR'!$AC$82,1))*1</f>
        <v>3</v>
      </c>
      <c r="S93" s="11" t="str">
        <f>LEFT('REPORTS PER EVALUATOR'!$AC$94,1)</f>
        <v>1</v>
      </c>
      <c r="T93" s="81">
        <f>(RIGHT('REPORTS PER EVALUATOR'!$AC$94,1))*1</f>
        <v>1</v>
      </c>
      <c r="U93" s="11" t="str">
        <f>LEFT('REPORTS PER EVALUATOR'!$AC$106,1)</f>
        <v>1</v>
      </c>
      <c r="V93" s="81">
        <f>(RIGHT('REPORTS PER EVALUATOR'!$AC$106,1))*1</f>
        <v>1</v>
      </c>
      <c r="W93" s="11" t="str">
        <f>LEFT('REPORTS PER EVALUATOR'!$AC$118,1)</f>
        <v>H</v>
      </c>
      <c r="X93" s="81">
        <f>(RIGHT('REPORTS PER EVALUATOR'!$AC$118,1))*1</f>
        <v>2</v>
      </c>
      <c r="Y93" s="11" t="str">
        <f>LEFT('REPORTS PER EVALUATOR'!$AC$130,1)</f>
        <v>1</v>
      </c>
      <c r="Z93" s="92">
        <f>(RIGHT('REPORTS PER EVALUATOR'!$AC$130,1))*1</f>
        <v>1</v>
      </c>
      <c r="AA93" s="11" t="e">
        <f>LEFT('REPORTS PER EVALUATOR'!#REF!,1)</f>
        <v>#REF!</v>
      </c>
      <c r="AB93" s="92" t="e">
        <f>(RIGHT('REPORTS PER EVALUATOR'!#REF!,1))*1</f>
        <v>#REF!</v>
      </c>
      <c r="AC93" s="11" t="e">
        <f>LEFT('REPORTS PER EVALUATOR'!#REF!,1)</f>
        <v>#REF!</v>
      </c>
      <c r="AD93" s="92" t="e">
        <f>(RIGHT('REPORTS PER EVALUATOR'!#REF!,1))*1</f>
        <v>#REF!</v>
      </c>
      <c r="AE93" s="11" t="e">
        <f>LEFT('REPORTS PER EVALUATOR'!#REF!,1)</f>
        <v>#REF!</v>
      </c>
      <c r="AF93" s="92" t="e">
        <f>(RIGHT('REPORTS PER EVALUATOR'!#REF!,1))*1</f>
        <v>#REF!</v>
      </c>
      <c r="AG93" s="11" t="e">
        <f>LEFT('REPORTS PER EVALUATOR'!#REF!,1)</f>
        <v>#REF!</v>
      </c>
      <c r="AH93" s="92" t="e">
        <f>(RIGHT('REPORTS PER EVALUATOR'!#REF!,1))*1</f>
        <v>#REF!</v>
      </c>
      <c r="AI93" s="11" t="e">
        <f>LEFT('REPORTS PER EVALUATOR'!#REF!,1)</f>
        <v>#REF!</v>
      </c>
      <c r="AJ93" s="92" t="e">
        <f>(RIGHT('REPORTS PER EVALUATOR'!#REF!,1))*1</f>
        <v>#REF!</v>
      </c>
      <c r="AK93" s="11" t="e">
        <f>LEFT('REPORTS PER EVALUATOR'!#REF!,1)</f>
        <v>#REF!</v>
      </c>
      <c r="AL93" s="92" t="e">
        <f>(RIGHT('REPORTS PER EVALUATOR'!#REF!,1))*1</f>
        <v>#REF!</v>
      </c>
      <c r="AM93" s="11" t="e">
        <f>LEFT('REPORTS PER EVALUATOR'!#REF!,1)</f>
        <v>#REF!</v>
      </c>
      <c r="AN93" s="92" t="e">
        <f>(RIGHT('REPORTS PER EVALUATOR'!#REF!,1))*1</f>
        <v>#REF!</v>
      </c>
      <c r="AO93" s="11" t="e">
        <f>LEFT('REPORTS PER EVALUATOR'!#REF!,1)</f>
        <v>#REF!</v>
      </c>
      <c r="AP93" s="92" t="e">
        <f>(RIGHT('REPORTS PER EVALUATOR'!#REF!,1))*1</f>
        <v>#REF!</v>
      </c>
      <c r="AQ93" s="11" t="e">
        <f>LEFT('REPORTS PER EVALUATOR'!#REF!,1)</f>
        <v>#REF!</v>
      </c>
      <c r="AR93" s="92" t="e">
        <f>(RIGHT('REPORTS PER EVALUATOR'!#REF!,1))*1</f>
        <v>#REF!</v>
      </c>
    </row>
    <row r="94" spans="2:44" x14ac:dyDescent="0.2">
      <c r="B94" s="19" t="str">
        <f t="shared" si="4"/>
        <v>E</v>
      </c>
      <c r="C94" s="18" t="str">
        <f t="shared" si="6"/>
        <v>I</v>
      </c>
      <c r="D94" s="18" t="s">
        <v>44</v>
      </c>
      <c r="E94" s="26" t="str">
        <f>LEFT('REPORTS PER EVALUATOR'!$AD$10,1)</f>
        <v>I</v>
      </c>
      <c r="F94" s="73">
        <f>(RIGHT('REPORTS PER EVALUATOR'!$AD$10,1))*1</f>
        <v>2</v>
      </c>
      <c r="G94" s="11" t="str">
        <f>LEFT('REPORTS PER EVALUATOR'!$AD$22,1)</f>
        <v>E</v>
      </c>
      <c r="H94" s="81">
        <f>(RIGHT('REPORTS PER EVALUATOR'!$AD$22,1))*1</f>
        <v>2</v>
      </c>
      <c r="I94" s="11" t="str">
        <f>LEFT('REPORTS PER EVALUATOR'!$AD$34,1)</f>
        <v>I</v>
      </c>
      <c r="J94" s="81">
        <f>(RIGHT('REPORTS PER EVALUATOR'!$AD$34,1))*1</f>
        <v>2</v>
      </c>
      <c r="K94" s="11" t="str">
        <f>LEFT('REPORTS PER EVALUATOR'!$AD$46,1)</f>
        <v>I</v>
      </c>
      <c r="L94" s="81">
        <f>(RIGHT('REPORTS PER EVALUATOR'!$AD$46,1))*1</f>
        <v>2</v>
      </c>
      <c r="M94" s="11" t="str">
        <f>LEFT('REPORTS PER EVALUATOR'!$AD$58,1)</f>
        <v>E</v>
      </c>
      <c r="N94" s="81">
        <f>(RIGHT('REPORTS PER EVALUATOR'!$AD$58,1))*1</f>
        <v>2</v>
      </c>
      <c r="O94" s="11" t="str">
        <f>LEFT('REPORTS PER EVALUATOR'!$AD$70,1)</f>
        <v>E</v>
      </c>
      <c r="P94" s="81">
        <f>(RIGHT('REPORTS PER EVALUATOR'!$AD$70,1))*1</f>
        <v>3</v>
      </c>
      <c r="Q94" s="11" t="str">
        <f>LEFT('REPORTS PER EVALUATOR'!$AD$82,1)</f>
        <v>E</v>
      </c>
      <c r="R94" s="81">
        <f>(RIGHT('REPORTS PER EVALUATOR'!$AD$82,1))*1</f>
        <v>3</v>
      </c>
      <c r="S94" s="11" t="str">
        <f>LEFT('REPORTS PER EVALUATOR'!$AD$94,1)</f>
        <v>E</v>
      </c>
      <c r="T94" s="81">
        <f>(RIGHT('REPORTS PER EVALUATOR'!$AD$94,1))*1</f>
        <v>3</v>
      </c>
      <c r="U94" s="11" t="str">
        <f>LEFT('REPORTS PER EVALUATOR'!$AD$106,1)</f>
        <v>E</v>
      </c>
      <c r="V94" s="81">
        <f>(RIGHT('REPORTS PER EVALUATOR'!$AD$106,1))*1</f>
        <v>3</v>
      </c>
      <c r="W94" s="11" t="str">
        <f>LEFT('REPORTS PER EVALUATOR'!$AD$118,1)</f>
        <v>I</v>
      </c>
      <c r="X94" s="81">
        <f>(RIGHT('REPORTS PER EVALUATOR'!$AD$118,1))*1</f>
        <v>2</v>
      </c>
      <c r="Y94" s="11" t="str">
        <f>LEFT('REPORTS PER EVALUATOR'!$AD$130,1)</f>
        <v>1</v>
      </c>
      <c r="Z94" s="92">
        <f>(RIGHT('REPORTS PER EVALUATOR'!$AD$130,1))*1</f>
        <v>1</v>
      </c>
      <c r="AA94" s="11" t="e">
        <f>LEFT('REPORTS PER EVALUATOR'!#REF!,1)</f>
        <v>#REF!</v>
      </c>
      <c r="AB94" s="92" t="e">
        <f>(RIGHT('REPORTS PER EVALUATOR'!#REF!,1))*1</f>
        <v>#REF!</v>
      </c>
      <c r="AC94" s="11" t="e">
        <f>LEFT('REPORTS PER EVALUATOR'!#REF!,1)</f>
        <v>#REF!</v>
      </c>
      <c r="AD94" s="92" t="e">
        <f>(RIGHT('REPORTS PER EVALUATOR'!#REF!,1))*1</f>
        <v>#REF!</v>
      </c>
      <c r="AE94" s="11" t="e">
        <f>LEFT('REPORTS PER EVALUATOR'!#REF!,1)</f>
        <v>#REF!</v>
      </c>
      <c r="AF94" s="92" t="e">
        <f>(RIGHT('REPORTS PER EVALUATOR'!#REF!,1))*1</f>
        <v>#REF!</v>
      </c>
      <c r="AG94" s="11" t="e">
        <f>LEFT('REPORTS PER EVALUATOR'!#REF!,1)</f>
        <v>#REF!</v>
      </c>
      <c r="AH94" s="92" t="e">
        <f>(RIGHT('REPORTS PER EVALUATOR'!#REF!,1))*1</f>
        <v>#REF!</v>
      </c>
      <c r="AI94" s="11" t="e">
        <f>LEFT('REPORTS PER EVALUATOR'!#REF!,1)</f>
        <v>#REF!</v>
      </c>
      <c r="AJ94" s="92" t="e">
        <f>(RIGHT('REPORTS PER EVALUATOR'!#REF!,1))*1</f>
        <v>#REF!</v>
      </c>
      <c r="AK94" s="11" t="e">
        <f>LEFT('REPORTS PER EVALUATOR'!#REF!,1)</f>
        <v>#REF!</v>
      </c>
      <c r="AL94" s="92" t="e">
        <f>(RIGHT('REPORTS PER EVALUATOR'!#REF!,1))*1</f>
        <v>#REF!</v>
      </c>
      <c r="AM94" s="11" t="e">
        <f>LEFT('REPORTS PER EVALUATOR'!#REF!,1)</f>
        <v>#REF!</v>
      </c>
      <c r="AN94" s="92" t="e">
        <f>(RIGHT('REPORTS PER EVALUATOR'!#REF!,1))*1</f>
        <v>#REF!</v>
      </c>
      <c r="AO94" s="11" t="e">
        <f>LEFT('REPORTS PER EVALUATOR'!#REF!,1)</f>
        <v>#REF!</v>
      </c>
      <c r="AP94" s="92" t="e">
        <f>(RIGHT('REPORTS PER EVALUATOR'!#REF!,1))*1</f>
        <v>#REF!</v>
      </c>
      <c r="AQ94" s="11" t="e">
        <f>LEFT('REPORTS PER EVALUATOR'!#REF!,1)</f>
        <v>#REF!</v>
      </c>
      <c r="AR94" s="92" t="e">
        <f>(RIGHT('REPORTS PER EVALUATOR'!#REF!,1))*1</f>
        <v>#REF!</v>
      </c>
    </row>
    <row r="95" spans="2:44" x14ac:dyDescent="0.2">
      <c r="B95" s="19" t="str">
        <f t="shared" si="4"/>
        <v>E</v>
      </c>
      <c r="C95" s="18" t="str">
        <f t="shared" si="6"/>
        <v>L</v>
      </c>
      <c r="D95" s="18" t="s">
        <v>45</v>
      </c>
      <c r="E95" s="26" t="str">
        <f>LEFT('REPORTS PER EVALUATOR'!$AE$10,1)</f>
        <v>E</v>
      </c>
      <c r="F95" s="73">
        <f>(RIGHT('REPORTS PER EVALUATOR'!$AE$10,1))*1</f>
        <v>2</v>
      </c>
      <c r="G95" s="11" t="str">
        <f>LEFT('REPORTS PER EVALUATOR'!$AE$22,1)</f>
        <v>E</v>
      </c>
      <c r="H95" s="81">
        <f>(RIGHT('REPORTS PER EVALUATOR'!$AE$22,1))*1</f>
        <v>3</v>
      </c>
      <c r="I95" s="11" t="str">
        <f>LEFT('REPORTS PER EVALUATOR'!$AE$34,1)</f>
        <v>E</v>
      </c>
      <c r="J95" s="81">
        <f>(RIGHT('REPORTS PER EVALUATOR'!$AE$34,1))*1</f>
        <v>2</v>
      </c>
      <c r="K95" s="11" t="str">
        <f>LEFT('REPORTS PER EVALUATOR'!$AE$46,1)</f>
        <v>E</v>
      </c>
      <c r="L95" s="81">
        <f>(RIGHT('REPORTS PER EVALUATOR'!$AE$46,1))*1</f>
        <v>3</v>
      </c>
      <c r="M95" s="11" t="str">
        <f>LEFT('REPORTS PER EVALUATOR'!$AE$58,1)</f>
        <v>E</v>
      </c>
      <c r="N95" s="81">
        <f>(RIGHT('REPORTS PER EVALUATOR'!$AE$58,1))*1</f>
        <v>2</v>
      </c>
      <c r="O95" s="11" t="str">
        <f>LEFT('REPORTS PER EVALUATOR'!$AE$70,1)</f>
        <v>E</v>
      </c>
      <c r="P95" s="81">
        <f>(RIGHT('REPORTS PER EVALUATOR'!$AE$70,1))*1</f>
        <v>2</v>
      </c>
      <c r="Q95" s="11" t="str">
        <f>LEFT('REPORTS PER EVALUATOR'!$AE$82,1)</f>
        <v>E</v>
      </c>
      <c r="R95" s="81">
        <f>(RIGHT('REPORTS PER EVALUATOR'!$AE$82,1))*1</f>
        <v>2</v>
      </c>
      <c r="S95" s="11" t="str">
        <f>LEFT('REPORTS PER EVALUATOR'!$AE$94,1)</f>
        <v>1</v>
      </c>
      <c r="T95" s="81">
        <f>(RIGHT('REPORTS PER EVALUATOR'!$AE$94,1))*1</f>
        <v>1</v>
      </c>
      <c r="U95" s="11" t="str">
        <f>LEFT('REPORTS PER EVALUATOR'!$AE$106,1)</f>
        <v>E</v>
      </c>
      <c r="V95" s="81">
        <f>(RIGHT('REPORTS PER EVALUATOR'!$AE$106,1))*1</f>
        <v>3</v>
      </c>
      <c r="W95" s="11" t="str">
        <f>LEFT('REPORTS PER EVALUATOR'!$AE$118,1)</f>
        <v>1</v>
      </c>
      <c r="X95" s="81">
        <f>(RIGHT('REPORTS PER EVALUATOR'!$AE$118,1))*1</f>
        <v>1</v>
      </c>
      <c r="Y95" s="11" t="str">
        <f>LEFT('REPORTS PER EVALUATOR'!$AE$130,1)</f>
        <v>E</v>
      </c>
      <c r="Z95" s="92">
        <f>(RIGHT('REPORTS PER EVALUATOR'!$AE$130,1))*1</f>
        <v>2</v>
      </c>
      <c r="AA95" s="11" t="e">
        <f>LEFT('REPORTS PER EVALUATOR'!#REF!,1)</f>
        <v>#REF!</v>
      </c>
      <c r="AB95" s="92" t="e">
        <f>(RIGHT('REPORTS PER EVALUATOR'!#REF!,1))*1</f>
        <v>#REF!</v>
      </c>
      <c r="AC95" s="11" t="e">
        <f>LEFT('REPORTS PER EVALUATOR'!#REF!,1)</f>
        <v>#REF!</v>
      </c>
      <c r="AD95" s="92" t="e">
        <f>(RIGHT('REPORTS PER EVALUATOR'!#REF!,1))*1</f>
        <v>#REF!</v>
      </c>
      <c r="AE95" s="11" t="e">
        <f>LEFT('REPORTS PER EVALUATOR'!#REF!,1)</f>
        <v>#REF!</v>
      </c>
      <c r="AF95" s="92" t="e">
        <f>(RIGHT('REPORTS PER EVALUATOR'!#REF!,1))*1</f>
        <v>#REF!</v>
      </c>
      <c r="AG95" s="11" t="e">
        <f>LEFT('REPORTS PER EVALUATOR'!#REF!,1)</f>
        <v>#REF!</v>
      </c>
      <c r="AH95" s="92" t="e">
        <f>(RIGHT('REPORTS PER EVALUATOR'!#REF!,1))*1</f>
        <v>#REF!</v>
      </c>
      <c r="AI95" s="11" t="e">
        <f>LEFT('REPORTS PER EVALUATOR'!#REF!,1)</f>
        <v>#REF!</v>
      </c>
      <c r="AJ95" s="92" t="e">
        <f>(RIGHT('REPORTS PER EVALUATOR'!#REF!,1))*1</f>
        <v>#REF!</v>
      </c>
      <c r="AK95" s="11" t="e">
        <f>LEFT('REPORTS PER EVALUATOR'!#REF!,1)</f>
        <v>#REF!</v>
      </c>
      <c r="AL95" s="92" t="e">
        <f>(RIGHT('REPORTS PER EVALUATOR'!#REF!,1))*1</f>
        <v>#REF!</v>
      </c>
      <c r="AM95" s="11" t="e">
        <f>LEFT('REPORTS PER EVALUATOR'!#REF!,1)</f>
        <v>#REF!</v>
      </c>
      <c r="AN95" s="92" t="e">
        <f>(RIGHT('REPORTS PER EVALUATOR'!#REF!,1))*1</f>
        <v>#REF!</v>
      </c>
      <c r="AO95" s="11" t="e">
        <f>LEFT('REPORTS PER EVALUATOR'!#REF!,1)</f>
        <v>#REF!</v>
      </c>
      <c r="AP95" s="92" t="e">
        <f>(RIGHT('REPORTS PER EVALUATOR'!#REF!,1))*1</f>
        <v>#REF!</v>
      </c>
      <c r="AQ95" s="11" t="e">
        <f>LEFT('REPORTS PER EVALUATOR'!#REF!,1)</f>
        <v>#REF!</v>
      </c>
      <c r="AR95" s="92" t="e">
        <f>(RIGHT('REPORTS PER EVALUATOR'!#REF!,1))*1</f>
        <v>#REF!</v>
      </c>
    </row>
    <row r="96" spans="2:44" x14ac:dyDescent="0.2">
      <c r="B96" s="19" t="str">
        <f t="shared" si="4"/>
        <v>E</v>
      </c>
      <c r="C96" s="18" t="str">
        <f t="shared" si="6"/>
        <v>M</v>
      </c>
      <c r="D96" s="18" t="s">
        <v>161</v>
      </c>
      <c r="E96" s="26" t="str">
        <f>LEFT('REPORTS PER EVALUATOR'!$AF$10,1)</f>
        <v/>
      </c>
      <c r="F96" s="73" t="e">
        <f>(RIGHT('REPORTS PER EVALUATOR'!$AF$10,1))*1</f>
        <v>#VALUE!</v>
      </c>
      <c r="G96" s="11" t="str">
        <f>LEFT('REPORTS PER EVALUATOR'!$AF$22,1)</f>
        <v/>
      </c>
      <c r="H96" s="81" t="e">
        <f>(RIGHT('REPORTS PER EVALUATOR'!$AF$22,1))*1</f>
        <v>#VALUE!</v>
      </c>
      <c r="I96" s="11" t="str">
        <f>LEFT('REPORTS PER EVALUATOR'!$AF$34,1)</f>
        <v/>
      </c>
      <c r="J96" s="81" t="e">
        <f>(RIGHT('REPORTS PER EVALUATOR'!$AF$34,1))*1</f>
        <v>#VALUE!</v>
      </c>
      <c r="K96" s="11" t="str">
        <f>LEFT('REPORTS PER EVALUATOR'!$AF$46,1)</f>
        <v/>
      </c>
      <c r="L96" s="81" t="e">
        <f>(RIGHT('REPORTS PER EVALUATOR'!$AF$46,1))*1</f>
        <v>#VALUE!</v>
      </c>
      <c r="M96" s="11" t="str">
        <f>LEFT('REPORTS PER EVALUATOR'!$AF$58,1)</f>
        <v/>
      </c>
      <c r="N96" s="81" t="e">
        <f>(RIGHT('REPORTS PER EVALUATOR'!$AF$58,1))*1</f>
        <v>#VALUE!</v>
      </c>
      <c r="O96" s="11" t="str">
        <f>LEFT('REPORTS PER EVALUATOR'!$AF$70,1)</f>
        <v/>
      </c>
      <c r="P96" s="81" t="e">
        <f>(RIGHT('REPORTS PER EVALUATOR'!$AF$70,1))*1</f>
        <v>#VALUE!</v>
      </c>
      <c r="Q96" s="11" t="str">
        <f>LEFT('REPORTS PER EVALUATOR'!$AF$82,1)</f>
        <v/>
      </c>
      <c r="R96" s="81" t="e">
        <f>(RIGHT('REPORTS PER EVALUATOR'!$AF$82,1))*1</f>
        <v>#VALUE!</v>
      </c>
      <c r="S96" s="11" t="str">
        <f>LEFT('REPORTS PER EVALUATOR'!$AF$94,1)</f>
        <v/>
      </c>
      <c r="T96" s="81" t="e">
        <f>(RIGHT('REPORTS PER EVALUATOR'!$AF$94,1))*1</f>
        <v>#VALUE!</v>
      </c>
      <c r="U96" s="11" t="str">
        <f>LEFT('REPORTS PER EVALUATOR'!$AF$106,1)</f>
        <v/>
      </c>
      <c r="V96" s="81" t="e">
        <f>(RIGHT('REPORTS PER EVALUATOR'!$AF$106,1))*1</f>
        <v>#VALUE!</v>
      </c>
      <c r="W96" s="11" t="str">
        <f>LEFT('REPORTS PER EVALUATOR'!$AF$118,1)</f>
        <v/>
      </c>
      <c r="X96" s="81" t="e">
        <f>(RIGHT('REPORTS PER EVALUATOR'!$AF$118,1))*1</f>
        <v>#VALUE!</v>
      </c>
      <c r="Y96" s="11" t="str">
        <f>LEFT('REPORTS PER EVALUATOR'!$AF$130,1)</f>
        <v/>
      </c>
      <c r="Z96" s="92" t="e">
        <f>(RIGHT('REPORTS PER EVALUATOR'!$AF$130,1))*1</f>
        <v>#VALUE!</v>
      </c>
      <c r="AA96" s="11" t="e">
        <f>LEFT('REPORTS PER EVALUATOR'!#REF!,1)</f>
        <v>#REF!</v>
      </c>
      <c r="AB96" s="92" t="e">
        <f>(RIGHT('REPORTS PER EVALUATOR'!#REF!,1))*1</f>
        <v>#REF!</v>
      </c>
      <c r="AC96" s="11" t="e">
        <f>LEFT('REPORTS PER EVALUATOR'!#REF!,1)</f>
        <v>#REF!</v>
      </c>
      <c r="AD96" s="92" t="e">
        <f>(RIGHT('REPORTS PER EVALUATOR'!#REF!,1))*1</f>
        <v>#REF!</v>
      </c>
      <c r="AE96" s="11" t="e">
        <f>LEFT('REPORTS PER EVALUATOR'!#REF!,1)</f>
        <v>#REF!</v>
      </c>
      <c r="AF96" s="92" t="e">
        <f>(RIGHT('REPORTS PER EVALUATOR'!#REF!,1))*1</f>
        <v>#REF!</v>
      </c>
      <c r="AG96" s="11" t="e">
        <f>LEFT('REPORTS PER EVALUATOR'!#REF!,1)</f>
        <v>#REF!</v>
      </c>
      <c r="AH96" s="92" t="e">
        <f>(RIGHT('REPORTS PER EVALUATOR'!#REF!,1))*1</f>
        <v>#REF!</v>
      </c>
      <c r="AI96" s="11" t="e">
        <f>LEFT('REPORTS PER EVALUATOR'!#REF!,1)</f>
        <v>#REF!</v>
      </c>
      <c r="AJ96" s="92" t="e">
        <f>(RIGHT('REPORTS PER EVALUATOR'!#REF!,1))*1</f>
        <v>#REF!</v>
      </c>
      <c r="AK96" s="11" t="e">
        <f>LEFT('REPORTS PER EVALUATOR'!#REF!,1)</f>
        <v>#REF!</v>
      </c>
      <c r="AL96" s="92" t="e">
        <f>(RIGHT('REPORTS PER EVALUATOR'!#REF!,1))*1</f>
        <v>#REF!</v>
      </c>
      <c r="AM96" s="11" t="e">
        <f>LEFT('REPORTS PER EVALUATOR'!#REF!,1)</f>
        <v>#REF!</v>
      </c>
      <c r="AN96" s="92" t="e">
        <f>(RIGHT('REPORTS PER EVALUATOR'!#REF!,1))*1</f>
        <v>#REF!</v>
      </c>
      <c r="AO96" s="11" t="e">
        <f>LEFT('REPORTS PER EVALUATOR'!#REF!,1)</f>
        <v>#REF!</v>
      </c>
      <c r="AP96" s="92" t="e">
        <f>(RIGHT('REPORTS PER EVALUATOR'!#REF!,1))*1</f>
        <v>#REF!</v>
      </c>
      <c r="AQ96" s="11" t="e">
        <f>LEFT('REPORTS PER EVALUATOR'!#REF!,1)</f>
        <v>#REF!</v>
      </c>
      <c r="AR96" s="92" t="e">
        <f>(RIGHT('REPORTS PER EVALUATOR'!#REF!,1))*1</f>
        <v>#REF!</v>
      </c>
    </row>
    <row r="97" spans="1:44" x14ac:dyDescent="0.2">
      <c r="B97" s="19" t="str">
        <f t="shared" si="4"/>
        <v>F</v>
      </c>
      <c r="C97" s="18" t="str">
        <f t="shared" si="6"/>
        <v>G</v>
      </c>
      <c r="D97" s="18" t="s">
        <v>46</v>
      </c>
      <c r="E97" s="64" t="str">
        <f>LEFT('REPORTS PER EVALUATOR'!$AB$11,1)</f>
        <v>F</v>
      </c>
      <c r="F97" s="76">
        <f>(RIGHT('REPORTS PER EVALUATOR'!$AB$11,1))*1</f>
        <v>2</v>
      </c>
      <c r="G97" s="65" t="str">
        <f>LEFT('REPORTS PER EVALUATOR'!$AB$23,1)</f>
        <v>1</v>
      </c>
      <c r="H97" s="84">
        <f>(RIGHT('REPORTS PER EVALUATOR'!$AB$23,1))*1</f>
        <v>1</v>
      </c>
      <c r="I97" s="65" t="str">
        <f>LEFT('REPORTS PER EVALUATOR'!$AB$35,1)</f>
        <v>1</v>
      </c>
      <c r="J97" s="84">
        <f>(RIGHT('REPORTS PER EVALUATOR'!$AB$35,1))*1</f>
        <v>1</v>
      </c>
      <c r="K97" s="65" t="str">
        <f>LEFT('REPORTS PER EVALUATOR'!$AB$47,1)</f>
        <v>1</v>
      </c>
      <c r="L97" s="84">
        <f>(RIGHT('REPORTS PER EVALUATOR'!$AB$47,1))*1</f>
        <v>1</v>
      </c>
      <c r="M97" s="65" t="str">
        <f>LEFT('REPORTS PER EVALUATOR'!$AB$59,1)</f>
        <v>F</v>
      </c>
      <c r="N97" s="84">
        <f>(RIGHT('REPORTS PER EVALUATOR'!$AB$59,1))*1</f>
        <v>3</v>
      </c>
      <c r="O97" s="65" t="str">
        <f>LEFT('REPORTS PER EVALUATOR'!$AB$71,1)</f>
        <v>F</v>
      </c>
      <c r="P97" s="84">
        <f>(RIGHT('REPORTS PER EVALUATOR'!$AB$71,1))*1</f>
        <v>2</v>
      </c>
      <c r="Q97" s="65" t="str">
        <f>LEFT('REPORTS PER EVALUATOR'!$AB$83,1)</f>
        <v>F</v>
      </c>
      <c r="R97" s="84">
        <f>(RIGHT('REPORTS PER EVALUATOR'!$AB$83,1))*1</f>
        <v>3</v>
      </c>
      <c r="S97" s="65" t="str">
        <f>LEFT('REPORTS PER EVALUATOR'!$AB$95,1)</f>
        <v>F</v>
      </c>
      <c r="T97" s="84">
        <f>(RIGHT('REPORTS PER EVALUATOR'!$AB$95,1))*1</f>
        <v>6</v>
      </c>
      <c r="U97" s="65" t="str">
        <f>LEFT('REPORTS PER EVALUATOR'!$AB$107,1)</f>
        <v>F</v>
      </c>
      <c r="V97" s="84">
        <f>(RIGHT('REPORTS PER EVALUATOR'!$AB$107,1))*1</f>
        <v>3</v>
      </c>
      <c r="W97" s="65" t="str">
        <f>LEFT('REPORTS PER EVALUATOR'!$AB$119,1)</f>
        <v>F</v>
      </c>
      <c r="X97" s="84">
        <f>(RIGHT('REPORTS PER EVALUATOR'!$AB$119,1))*1</f>
        <v>2</v>
      </c>
      <c r="Y97" s="65" t="str">
        <f>LEFT('REPORTS PER EVALUATOR'!$AB$131,1)</f>
        <v>F</v>
      </c>
      <c r="Z97" s="96">
        <f>(RIGHT('REPORTS PER EVALUATOR'!$AB$131,1))*1</f>
        <v>2</v>
      </c>
      <c r="AA97" s="65" t="e">
        <f>LEFT('REPORTS PER EVALUATOR'!#REF!,1)</f>
        <v>#REF!</v>
      </c>
      <c r="AB97" s="96" t="e">
        <f>(RIGHT('REPORTS PER EVALUATOR'!#REF!,1))*1</f>
        <v>#REF!</v>
      </c>
      <c r="AC97" s="65" t="e">
        <f>LEFT('REPORTS PER EVALUATOR'!#REF!,1)</f>
        <v>#REF!</v>
      </c>
      <c r="AD97" s="96" t="e">
        <f>(RIGHT('REPORTS PER EVALUATOR'!#REF!,1))*1</f>
        <v>#REF!</v>
      </c>
      <c r="AE97" s="65" t="e">
        <f>LEFT('REPORTS PER EVALUATOR'!#REF!,1)</f>
        <v>#REF!</v>
      </c>
      <c r="AF97" s="96" t="e">
        <f>(RIGHT('REPORTS PER EVALUATOR'!#REF!,1))*1</f>
        <v>#REF!</v>
      </c>
      <c r="AG97" s="65" t="e">
        <f>LEFT('REPORTS PER EVALUATOR'!#REF!,1)</f>
        <v>#REF!</v>
      </c>
      <c r="AH97" s="96" t="e">
        <f>(RIGHT('REPORTS PER EVALUATOR'!#REF!,1))*1</f>
        <v>#REF!</v>
      </c>
      <c r="AI97" s="65" t="e">
        <f>LEFT('REPORTS PER EVALUATOR'!#REF!,1)</f>
        <v>#REF!</v>
      </c>
      <c r="AJ97" s="96" t="e">
        <f>(RIGHT('REPORTS PER EVALUATOR'!#REF!,1))*1</f>
        <v>#REF!</v>
      </c>
      <c r="AK97" s="65" t="e">
        <f>LEFT('REPORTS PER EVALUATOR'!#REF!,1)</f>
        <v>#REF!</v>
      </c>
      <c r="AL97" s="96" t="e">
        <f>(RIGHT('REPORTS PER EVALUATOR'!#REF!,1))*1</f>
        <v>#REF!</v>
      </c>
      <c r="AM97" s="65" t="e">
        <f>LEFT('REPORTS PER EVALUATOR'!#REF!,1)</f>
        <v>#REF!</v>
      </c>
      <c r="AN97" s="96" t="e">
        <f>(RIGHT('REPORTS PER EVALUATOR'!#REF!,1))*1</f>
        <v>#REF!</v>
      </c>
      <c r="AO97" s="65" t="e">
        <f>LEFT('REPORTS PER EVALUATOR'!#REF!,1)</f>
        <v>#REF!</v>
      </c>
      <c r="AP97" s="96" t="e">
        <f>(RIGHT('REPORTS PER EVALUATOR'!#REF!,1))*1</f>
        <v>#REF!</v>
      </c>
      <c r="AQ97" s="65" t="e">
        <f>LEFT('REPORTS PER EVALUATOR'!#REF!,1)</f>
        <v>#REF!</v>
      </c>
      <c r="AR97" s="96" t="e">
        <f>(RIGHT('REPORTS PER EVALUATOR'!#REF!,1))*1</f>
        <v>#REF!</v>
      </c>
    </row>
    <row r="98" spans="1:44" x14ac:dyDescent="0.2">
      <c r="B98" s="19" t="str">
        <f t="shared" si="4"/>
        <v>F</v>
      </c>
      <c r="C98" s="18" t="str">
        <f t="shared" si="6"/>
        <v>H</v>
      </c>
      <c r="D98" s="18" t="s">
        <v>47</v>
      </c>
      <c r="E98" s="26" t="str">
        <f>LEFT('REPORTS PER EVALUATOR'!$AC$11,1)</f>
        <v>1</v>
      </c>
      <c r="F98" s="73">
        <f>(RIGHT('REPORTS PER EVALUATOR'!$AC$11,1))*1</f>
        <v>1</v>
      </c>
      <c r="G98" s="11" t="str">
        <f>LEFT('REPORTS PER EVALUATOR'!$AC$23,1)</f>
        <v>H</v>
      </c>
      <c r="H98" s="81">
        <f>(RIGHT('REPORTS PER EVALUATOR'!$AC$23,1))*1</f>
        <v>2</v>
      </c>
      <c r="I98" s="11" t="str">
        <f>LEFT('REPORTS PER EVALUATOR'!$AC$35,1)</f>
        <v>F</v>
      </c>
      <c r="J98" s="81">
        <f>(RIGHT('REPORTS PER EVALUATOR'!$AC$35,1))*1</f>
        <v>2</v>
      </c>
      <c r="K98" s="11" t="str">
        <f>LEFT('REPORTS PER EVALUATOR'!$AC$47,1)</f>
        <v>F</v>
      </c>
      <c r="L98" s="81">
        <f>(RIGHT('REPORTS PER EVALUATOR'!$AC$47,1))*1</f>
        <v>3</v>
      </c>
      <c r="M98" s="11" t="str">
        <f>LEFT('REPORTS PER EVALUATOR'!$AC$59,1)</f>
        <v>F</v>
      </c>
      <c r="N98" s="81">
        <f>(RIGHT('REPORTS PER EVALUATOR'!$AC$59,1))*1</f>
        <v>2</v>
      </c>
      <c r="O98" s="11" t="str">
        <f>LEFT('REPORTS PER EVALUATOR'!$AC$71,1)</f>
        <v>F</v>
      </c>
      <c r="P98" s="81">
        <f>(RIGHT('REPORTS PER EVALUATOR'!$AC$71,1))*1</f>
        <v>2</v>
      </c>
      <c r="Q98" s="11" t="str">
        <f>LEFT('REPORTS PER EVALUATOR'!$AC$83,1)</f>
        <v>F</v>
      </c>
      <c r="R98" s="81">
        <f>(RIGHT('REPORTS PER EVALUATOR'!$AC$83,1))*1</f>
        <v>2</v>
      </c>
      <c r="S98" s="11" t="str">
        <f>LEFT('REPORTS PER EVALUATOR'!$AC$95,1)</f>
        <v>H</v>
      </c>
      <c r="T98" s="81">
        <f>(RIGHT('REPORTS PER EVALUATOR'!$AC$95,1))*1</f>
        <v>3</v>
      </c>
      <c r="U98" s="11" t="str">
        <f>LEFT('REPORTS PER EVALUATOR'!$AC$107,1)</f>
        <v>H</v>
      </c>
      <c r="V98" s="81">
        <f>(RIGHT('REPORTS PER EVALUATOR'!$AC$107,1))*1</f>
        <v>3</v>
      </c>
      <c r="W98" s="11" t="str">
        <f>LEFT('REPORTS PER EVALUATOR'!$AC$119,1)</f>
        <v>H</v>
      </c>
      <c r="X98" s="81">
        <f>(RIGHT('REPORTS PER EVALUATOR'!$AC$119,1))*1</f>
        <v>2</v>
      </c>
      <c r="Y98" s="11" t="str">
        <f>LEFT('REPORTS PER EVALUATOR'!$AC$131,1)</f>
        <v>1</v>
      </c>
      <c r="Z98" s="92">
        <f>(RIGHT('REPORTS PER EVALUATOR'!$AC$131,1))*1</f>
        <v>1</v>
      </c>
      <c r="AA98" s="11" t="e">
        <f>LEFT('REPORTS PER EVALUATOR'!#REF!,1)</f>
        <v>#REF!</v>
      </c>
      <c r="AB98" s="92" t="e">
        <f>(RIGHT('REPORTS PER EVALUATOR'!#REF!,1))*1</f>
        <v>#REF!</v>
      </c>
      <c r="AC98" s="11" t="e">
        <f>LEFT('REPORTS PER EVALUATOR'!#REF!,1)</f>
        <v>#REF!</v>
      </c>
      <c r="AD98" s="92" t="e">
        <f>(RIGHT('REPORTS PER EVALUATOR'!#REF!,1))*1</f>
        <v>#REF!</v>
      </c>
      <c r="AE98" s="11" t="e">
        <f>LEFT('REPORTS PER EVALUATOR'!#REF!,1)</f>
        <v>#REF!</v>
      </c>
      <c r="AF98" s="92" t="e">
        <f>(RIGHT('REPORTS PER EVALUATOR'!#REF!,1))*1</f>
        <v>#REF!</v>
      </c>
      <c r="AG98" s="11" t="e">
        <f>LEFT('REPORTS PER EVALUATOR'!#REF!,1)</f>
        <v>#REF!</v>
      </c>
      <c r="AH98" s="92" t="e">
        <f>(RIGHT('REPORTS PER EVALUATOR'!#REF!,1))*1</f>
        <v>#REF!</v>
      </c>
      <c r="AI98" s="11" t="e">
        <f>LEFT('REPORTS PER EVALUATOR'!#REF!,1)</f>
        <v>#REF!</v>
      </c>
      <c r="AJ98" s="92" t="e">
        <f>(RIGHT('REPORTS PER EVALUATOR'!#REF!,1))*1</f>
        <v>#REF!</v>
      </c>
      <c r="AK98" s="11" t="e">
        <f>LEFT('REPORTS PER EVALUATOR'!#REF!,1)</f>
        <v>#REF!</v>
      </c>
      <c r="AL98" s="92" t="e">
        <f>(RIGHT('REPORTS PER EVALUATOR'!#REF!,1))*1</f>
        <v>#REF!</v>
      </c>
      <c r="AM98" s="11" t="e">
        <f>LEFT('REPORTS PER EVALUATOR'!#REF!,1)</f>
        <v>#REF!</v>
      </c>
      <c r="AN98" s="92" t="e">
        <f>(RIGHT('REPORTS PER EVALUATOR'!#REF!,1))*1</f>
        <v>#REF!</v>
      </c>
      <c r="AO98" s="11" t="e">
        <f>LEFT('REPORTS PER EVALUATOR'!#REF!,1)</f>
        <v>#REF!</v>
      </c>
      <c r="AP98" s="92" t="e">
        <f>(RIGHT('REPORTS PER EVALUATOR'!#REF!,1))*1</f>
        <v>#REF!</v>
      </c>
      <c r="AQ98" s="11" t="e">
        <f>LEFT('REPORTS PER EVALUATOR'!#REF!,1)</f>
        <v>#REF!</v>
      </c>
      <c r="AR98" s="92" t="e">
        <f>(RIGHT('REPORTS PER EVALUATOR'!#REF!,1))*1</f>
        <v>#REF!</v>
      </c>
    </row>
    <row r="99" spans="1:44" x14ac:dyDescent="0.2">
      <c r="B99" s="19" t="str">
        <f t="shared" si="4"/>
        <v>F</v>
      </c>
      <c r="C99" s="18" t="str">
        <f t="shared" si="6"/>
        <v>I</v>
      </c>
      <c r="D99" s="18" t="s">
        <v>48</v>
      </c>
      <c r="E99" s="26" t="str">
        <f>LEFT('REPORTS PER EVALUATOR'!$AD$11,1)</f>
        <v>I</v>
      </c>
      <c r="F99" s="73">
        <f>(RIGHT('REPORTS PER EVALUATOR'!$AD$11,1))*1</f>
        <v>2</v>
      </c>
      <c r="G99" s="11" t="str">
        <f>LEFT('REPORTS PER EVALUATOR'!$AD$23,1)</f>
        <v>1</v>
      </c>
      <c r="H99" s="81">
        <f>(RIGHT('REPORTS PER EVALUATOR'!$AD$23,1))*1</f>
        <v>1</v>
      </c>
      <c r="I99" s="11" t="str">
        <f>LEFT('REPORTS PER EVALUATOR'!$AD$35,1)</f>
        <v>1</v>
      </c>
      <c r="J99" s="81">
        <f>(RIGHT('REPORTS PER EVALUATOR'!$AD$35,1))*1</f>
        <v>1</v>
      </c>
      <c r="K99" s="11" t="str">
        <f>LEFT('REPORTS PER EVALUATOR'!$AD$47,1)</f>
        <v>1</v>
      </c>
      <c r="L99" s="81">
        <f>(RIGHT('REPORTS PER EVALUATOR'!$AD$47,1))*1</f>
        <v>1</v>
      </c>
      <c r="M99" s="11" t="str">
        <f>LEFT('REPORTS PER EVALUATOR'!$AD$59,1)</f>
        <v>F</v>
      </c>
      <c r="N99" s="81">
        <f>(RIGHT('REPORTS PER EVALUATOR'!$AD$59,1))*1</f>
        <v>3</v>
      </c>
      <c r="O99" s="11" t="str">
        <f>LEFT('REPORTS PER EVALUATOR'!$AD$71,1)</f>
        <v>F</v>
      </c>
      <c r="P99" s="81">
        <f>(RIGHT('REPORTS PER EVALUATOR'!$AD$71,1))*1</f>
        <v>3</v>
      </c>
      <c r="Q99" s="11" t="str">
        <f>LEFT('REPORTS PER EVALUATOR'!$AD$83,1)</f>
        <v>F</v>
      </c>
      <c r="R99" s="81">
        <f>(RIGHT('REPORTS PER EVALUATOR'!$AD$83,1))*1</f>
        <v>3</v>
      </c>
      <c r="S99" s="11" t="str">
        <f>LEFT('REPORTS PER EVALUATOR'!$AD$95,1)</f>
        <v>F</v>
      </c>
      <c r="T99" s="81">
        <f>(RIGHT('REPORTS PER EVALUATOR'!$AD$95,1))*1</f>
        <v>2</v>
      </c>
      <c r="U99" s="11" t="str">
        <f>LEFT('REPORTS PER EVALUATOR'!$AD$107,1)</f>
        <v>F</v>
      </c>
      <c r="V99" s="81">
        <f>(RIGHT('REPORTS PER EVALUATOR'!$AD$107,1))*1</f>
        <v>2</v>
      </c>
      <c r="W99" s="11" t="str">
        <f>LEFT('REPORTS PER EVALUATOR'!$AD$119,1)</f>
        <v>I</v>
      </c>
      <c r="X99" s="81">
        <f>(RIGHT('REPORTS PER EVALUATOR'!$AD$119,1))*1</f>
        <v>2</v>
      </c>
      <c r="Y99" s="11" t="str">
        <f>LEFT('REPORTS PER EVALUATOR'!$AD$131,1)</f>
        <v>1</v>
      </c>
      <c r="Z99" s="92">
        <f>(RIGHT('REPORTS PER EVALUATOR'!$AD$131,1))*1</f>
        <v>1</v>
      </c>
      <c r="AA99" s="11" t="e">
        <f>LEFT('REPORTS PER EVALUATOR'!#REF!,1)</f>
        <v>#REF!</v>
      </c>
      <c r="AB99" s="92" t="e">
        <f>(RIGHT('REPORTS PER EVALUATOR'!#REF!,1))*1</f>
        <v>#REF!</v>
      </c>
      <c r="AC99" s="11" t="e">
        <f>LEFT('REPORTS PER EVALUATOR'!#REF!,1)</f>
        <v>#REF!</v>
      </c>
      <c r="AD99" s="92" t="e">
        <f>(RIGHT('REPORTS PER EVALUATOR'!#REF!,1))*1</f>
        <v>#REF!</v>
      </c>
      <c r="AE99" s="11" t="e">
        <f>LEFT('REPORTS PER EVALUATOR'!#REF!,1)</f>
        <v>#REF!</v>
      </c>
      <c r="AF99" s="92" t="e">
        <f>(RIGHT('REPORTS PER EVALUATOR'!#REF!,1))*1</f>
        <v>#REF!</v>
      </c>
      <c r="AG99" s="11" t="e">
        <f>LEFT('REPORTS PER EVALUATOR'!#REF!,1)</f>
        <v>#REF!</v>
      </c>
      <c r="AH99" s="92" t="e">
        <f>(RIGHT('REPORTS PER EVALUATOR'!#REF!,1))*1</f>
        <v>#REF!</v>
      </c>
      <c r="AI99" s="11" t="e">
        <f>LEFT('REPORTS PER EVALUATOR'!#REF!,1)</f>
        <v>#REF!</v>
      </c>
      <c r="AJ99" s="92" t="e">
        <f>(RIGHT('REPORTS PER EVALUATOR'!#REF!,1))*1</f>
        <v>#REF!</v>
      </c>
      <c r="AK99" s="11" t="e">
        <f>LEFT('REPORTS PER EVALUATOR'!#REF!,1)</f>
        <v>#REF!</v>
      </c>
      <c r="AL99" s="92" t="e">
        <f>(RIGHT('REPORTS PER EVALUATOR'!#REF!,1))*1</f>
        <v>#REF!</v>
      </c>
      <c r="AM99" s="11" t="e">
        <f>LEFT('REPORTS PER EVALUATOR'!#REF!,1)</f>
        <v>#REF!</v>
      </c>
      <c r="AN99" s="92" t="e">
        <f>(RIGHT('REPORTS PER EVALUATOR'!#REF!,1))*1</f>
        <v>#REF!</v>
      </c>
      <c r="AO99" s="11" t="e">
        <f>LEFT('REPORTS PER EVALUATOR'!#REF!,1)</f>
        <v>#REF!</v>
      </c>
      <c r="AP99" s="92" t="e">
        <f>(RIGHT('REPORTS PER EVALUATOR'!#REF!,1))*1</f>
        <v>#REF!</v>
      </c>
      <c r="AQ99" s="11" t="e">
        <f>LEFT('REPORTS PER EVALUATOR'!#REF!,1)</f>
        <v>#REF!</v>
      </c>
      <c r="AR99" s="92" t="e">
        <f>(RIGHT('REPORTS PER EVALUATOR'!#REF!,1))*1</f>
        <v>#REF!</v>
      </c>
    </row>
    <row r="100" spans="1:44" x14ac:dyDescent="0.2">
      <c r="B100" s="19" t="str">
        <f t="shared" si="4"/>
        <v>F</v>
      </c>
      <c r="C100" s="18" t="str">
        <f t="shared" si="6"/>
        <v>L</v>
      </c>
      <c r="D100" s="18" t="s">
        <v>49</v>
      </c>
      <c r="E100" s="26" t="str">
        <f>LEFT('REPORTS PER EVALUATOR'!$AE$11,1)</f>
        <v>F</v>
      </c>
      <c r="F100" s="73">
        <f>(RIGHT('REPORTS PER EVALUATOR'!$AE$11,1))*1</f>
        <v>2</v>
      </c>
      <c r="G100" s="11" t="str">
        <f>LEFT('REPORTS PER EVALUATOR'!$AE$23,1)</f>
        <v>F</v>
      </c>
      <c r="H100" s="81">
        <f>(RIGHT('REPORTS PER EVALUATOR'!$AE$23,1))*1</f>
        <v>2</v>
      </c>
      <c r="I100" s="11" t="str">
        <f>LEFT('REPORTS PER EVALUATOR'!$AE$35,1)</f>
        <v>F</v>
      </c>
      <c r="J100" s="81">
        <f>(RIGHT('REPORTS PER EVALUATOR'!$AE$35,1))*1</f>
        <v>3</v>
      </c>
      <c r="K100" s="11" t="str">
        <f>LEFT('REPORTS PER EVALUATOR'!$AE$47,1)</f>
        <v>F</v>
      </c>
      <c r="L100" s="81">
        <f>(RIGHT('REPORTS PER EVALUATOR'!$AE$47,1))*1</f>
        <v>3</v>
      </c>
      <c r="M100" s="11" t="str">
        <f>LEFT('REPORTS PER EVALUATOR'!$AE$59,1)</f>
        <v>F</v>
      </c>
      <c r="N100" s="81">
        <f>(RIGHT('REPORTS PER EVALUATOR'!$AE$59,1))*1</f>
        <v>2</v>
      </c>
      <c r="O100" s="11" t="str">
        <f>LEFT('REPORTS PER EVALUATOR'!$AE$71,1)</f>
        <v>F</v>
      </c>
      <c r="P100" s="81">
        <f>(RIGHT('REPORTS PER EVALUATOR'!$AE$71,1))*1</f>
        <v>2</v>
      </c>
      <c r="Q100" s="11" t="str">
        <f>LEFT('REPORTS PER EVALUATOR'!$AE$83,1)</f>
        <v>F</v>
      </c>
      <c r="R100" s="81">
        <f>(RIGHT('REPORTS PER EVALUATOR'!$AE$83,1))*1</f>
        <v>2</v>
      </c>
      <c r="S100" s="11" t="str">
        <f>LEFT('REPORTS PER EVALUATOR'!$AE$95,1)</f>
        <v>L</v>
      </c>
      <c r="T100" s="81">
        <f>(RIGHT('REPORTS PER EVALUATOR'!$AE$95,1))*1</f>
        <v>2</v>
      </c>
      <c r="U100" s="11" t="str">
        <f>LEFT('REPORTS PER EVALUATOR'!$AE$107,1)</f>
        <v>F</v>
      </c>
      <c r="V100" s="81">
        <f>(RIGHT('REPORTS PER EVALUATOR'!$AE$107,1))*1</f>
        <v>2</v>
      </c>
      <c r="W100" s="11" t="str">
        <f>LEFT('REPORTS PER EVALUATOR'!$AE$119,1)</f>
        <v>1</v>
      </c>
      <c r="X100" s="81">
        <f>(RIGHT('REPORTS PER EVALUATOR'!$AE$119,1))*1</f>
        <v>1</v>
      </c>
      <c r="Y100" s="11" t="str">
        <f>LEFT('REPORTS PER EVALUATOR'!$AE$131,1)</f>
        <v>1</v>
      </c>
      <c r="Z100" s="92">
        <f>(RIGHT('REPORTS PER EVALUATOR'!$AE$131,1))*1</f>
        <v>1</v>
      </c>
      <c r="AA100" s="11" t="e">
        <f>LEFT('REPORTS PER EVALUATOR'!#REF!,1)</f>
        <v>#REF!</v>
      </c>
      <c r="AB100" s="92" t="e">
        <f>(RIGHT('REPORTS PER EVALUATOR'!#REF!,1))*1</f>
        <v>#REF!</v>
      </c>
      <c r="AC100" s="11" t="e">
        <f>LEFT('REPORTS PER EVALUATOR'!#REF!,1)</f>
        <v>#REF!</v>
      </c>
      <c r="AD100" s="92" t="e">
        <f>(RIGHT('REPORTS PER EVALUATOR'!#REF!,1))*1</f>
        <v>#REF!</v>
      </c>
      <c r="AE100" s="11" t="e">
        <f>LEFT('REPORTS PER EVALUATOR'!#REF!,1)</f>
        <v>#REF!</v>
      </c>
      <c r="AF100" s="92" t="e">
        <f>(RIGHT('REPORTS PER EVALUATOR'!#REF!,1))*1</f>
        <v>#REF!</v>
      </c>
      <c r="AG100" s="11" t="e">
        <f>LEFT('REPORTS PER EVALUATOR'!#REF!,1)</f>
        <v>#REF!</v>
      </c>
      <c r="AH100" s="92" t="e">
        <f>(RIGHT('REPORTS PER EVALUATOR'!#REF!,1))*1</f>
        <v>#REF!</v>
      </c>
      <c r="AI100" s="11" t="e">
        <f>LEFT('REPORTS PER EVALUATOR'!#REF!,1)</f>
        <v>#REF!</v>
      </c>
      <c r="AJ100" s="92" t="e">
        <f>(RIGHT('REPORTS PER EVALUATOR'!#REF!,1))*1</f>
        <v>#REF!</v>
      </c>
      <c r="AK100" s="11" t="e">
        <f>LEFT('REPORTS PER EVALUATOR'!#REF!,1)</f>
        <v>#REF!</v>
      </c>
      <c r="AL100" s="92" t="e">
        <f>(RIGHT('REPORTS PER EVALUATOR'!#REF!,1))*1</f>
        <v>#REF!</v>
      </c>
      <c r="AM100" s="11" t="e">
        <f>LEFT('REPORTS PER EVALUATOR'!#REF!,1)</f>
        <v>#REF!</v>
      </c>
      <c r="AN100" s="92" t="e">
        <f>(RIGHT('REPORTS PER EVALUATOR'!#REF!,1))*1</f>
        <v>#REF!</v>
      </c>
      <c r="AO100" s="11" t="e">
        <f>LEFT('REPORTS PER EVALUATOR'!#REF!,1)</f>
        <v>#REF!</v>
      </c>
      <c r="AP100" s="92" t="e">
        <f>(RIGHT('REPORTS PER EVALUATOR'!#REF!,1))*1</f>
        <v>#REF!</v>
      </c>
      <c r="AQ100" s="11" t="e">
        <f>LEFT('REPORTS PER EVALUATOR'!#REF!,1)</f>
        <v>#REF!</v>
      </c>
      <c r="AR100" s="92" t="e">
        <f>(RIGHT('REPORTS PER EVALUATOR'!#REF!,1))*1</f>
        <v>#REF!</v>
      </c>
    </row>
    <row r="101" spans="1:44" x14ac:dyDescent="0.2">
      <c r="B101" s="19" t="str">
        <f t="shared" si="4"/>
        <v>F</v>
      </c>
      <c r="C101" s="18" t="str">
        <f t="shared" si="6"/>
        <v>M</v>
      </c>
      <c r="D101" s="18" t="s">
        <v>162</v>
      </c>
      <c r="E101" s="26" t="str">
        <f>LEFT('REPORTS PER EVALUATOR'!$AF$11,1)</f>
        <v/>
      </c>
      <c r="F101" s="73" t="e">
        <f>(RIGHT('REPORTS PER EVALUATOR'!$AF$11,1))*1</f>
        <v>#VALUE!</v>
      </c>
      <c r="G101" s="11" t="str">
        <f>LEFT('REPORTS PER EVALUATOR'!$AF$23,1)</f>
        <v/>
      </c>
      <c r="H101" s="81" t="e">
        <f>(RIGHT('REPORTS PER EVALUATOR'!$AF$23,1))*1</f>
        <v>#VALUE!</v>
      </c>
      <c r="I101" s="11" t="str">
        <f>LEFT('REPORTS PER EVALUATOR'!$AF$35,1)</f>
        <v/>
      </c>
      <c r="J101" s="81" t="e">
        <f>(RIGHT('REPORTS PER EVALUATOR'!$AF$35,1))*1</f>
        <v>#VALUE!</v>
      </c>
      <c r="K101" s="11" t="str">
        <f>LEFT('REPORTS PER EVALUATOR'!$AF$47,1)</f>
        <v/>
      </c>
      <c r="L101" s="81" t="e">
        <f>(RIGHT('REPORTS PER EVALUATOR'!$AF$47,1))*1</f>
        <v>#VALUE!</v>
      </c>
      <c r="M101" s="11" t="str">
        <f>LEFT('REPORTS PER EVALUATOR'!$AF$59,1)</f>
        <v/>
      </c>
      <c r="N101" s="81" t="e">
        <f>(RIGHT('REPORTS PER EVALUATOR'!$AF$59,1))*1</f>
        <v>#VALUE!</v>
      </c>
      <c r="O101" s="11" t="str">
        <f>LEFT('REPORTS PER EVALUATOR'!$AF$71,1)</f>
        <v/>
      </c>
      <c r="P101" s="81" t="e">
        <f>(RIGHT('REPORTS PER EVALUATOR'!$AF$71,1))*1</f>
        <v>#VALUE!</v>
      </c>
      <c r="Q101" s="11" t="str">
        <f>LEFT('REPORTS PER EVALUATOR'!$AF$83,1)</f>
        <v/>
      </c>
      <c r="R101" s="81" t="e">
        <f>(RIGHT('REPORTS PER EVALUATOR'!$AF$83,1))*1</f>
        <v>#VALUE!</v>
      </c>
      <c r="S101" s="11" t="str">
        <f>LEFT('REPORTS PER EVALUATOR'!$AF$95,1)</f>
        <v/>
      </c>
      <c r="T101" s="81" t="e">
        <f>(RIGHT('REPORTS PER EVALUATOR'!$AF$95,1))*1</f>
        <v>#VALUE!</v>
      </c>
      <c r="U101" s="11" t="str">
        <f>LEFT('REPORTS PER EVALUATOR'!$AF$107,1)</f>
        <v/>
      </c>
      <c r="V101" s="81" t="e">
        <f>(RIGHT('REPORTS PER EVALUATOR'!$AF$107,1))*1</f>
        <v>#VALUE!</v>
      </c>
      <c r="W101" s="11" t="str">
        <f>LEFT('REPORTS PER EVALUATOR'!$AF$119,1)</f>
        <v/>
      </c>
      <c r="X101" s="81" t="e">
        <f>(RIGHT('REPORTS PER EVALUATOR'!$AF$119,1))*1</f>
        <v>#VALUE!</v>
      </c>
      <c r="Y101" s="11" t="str">
        <f>LEFT('REPORTS PER EVALUATOR'!$AF$131,1)</f>
        <v/>
      </c>
      <c r="Z101" s="92" t="e">
        <f>(RIGHT('REPORTS PER EVALUATOR'!$AF$131,1))*1</f>
        <v>#VALUE!</v>
      </c>
      <c r="AA101" s="11" t="e">
        <f>LEFT('REPORTS PER EVALUATOR'!#REF!,1)</f>
        <v>#REF!</v>
      </c>
      <c r="AB101" s="92" t="e">
        <f>(RIGHT('REPORTS PER EVALUATOR'!#REF!,1))*1</f>
        <v>#REF!</v>
      </c>
      <c r="AC101" s="11" t="e">
        <f>LEFT('REPORTS PER EVALUATOR'!#REF!,1)</f>
        <v>#REF!</v>
      </c>
      <c r="AD101" s="92" t="e">
        <f>(RIGHT('REPORTS PER EVALUATOR'!#REF!,1))*1</f>
        <v>#REF!</v>
      </c>
      <c r="AE101" s="11" t="e">
        <f>LEFT('REPORTS PER EVALUATOR'!#REF!,1)</f>
        <v>#REF!</v>
      </c>
      <c r="AF101" s="92" t="e">
        <f>(RIGHT('REPORTS PER EVALUATOR'!#REF!,1))*1</f>
        <v>#REF!</v>
      </c>
      <c r="AG101" s="11" t="e">
        <f>LEFT('REPORTS PER EVALUATOR'!#REF!,1)</f>
        <v>#REF!</v>
      </c>
      <c r="AH101" s="92" t="e">
        <f>(RIGHT('REPORTS PER EVALUATOR'!#REF!,1))*1</f>
        <v>#REF!</v>
      </c>
      <c r="AI101" s="11" t="e">
        <f>LEFT('REPORTS PER EVALUATOR'!#REF!,1)</f>
        <v>#REF!</v>
      </c>
      <c r="AJ101" s="92" t="e">
        <f>(RIGHT('REPORTS PER EVALUATOR'!#REF!,1))*1</f>
        <v>#REF!</v>
      </c>
      <c r="AK101" s="11" t="e">
        <f>LEFT('REPORTS PER EVALUATOR'!#REF!,1)</f>
        <v>#REF!</v>
      </c>
      <c r="AL101" s="92" t="e">
        <f>(RIGHT('REPORTS PER EVALUATOR'!#REF!,1))*1</f>
        <v>#REF!</v>
      </c>
      <c r="AM101" s="11" t="e">
        <f>LEFT('REPORTS PER EVALUATOR'!#REF!,1)</f>
        <v>#REF!</v>
      </c>
      <c r="AN101" s="92" t="e">
        <f>(RIGHT('REPORTS PER EVALUATOR'!#REF!,1))*1</f>
        <v>#REF!</v>
      </c>
      <c r="AO101" s="11" t="e">
        <f>LEFT('REPORTS PER EVALUATOR'!#REF!,1)</f>
        <v>#REF!</v>
      </c>
      <c r="AP101" s="92" t="e">
        <f>(RIGHT('REPORTS PER EVALUATOR'!#REF!,1))*1</f>
        <v>#REF!</v>
      </c>
      <c r="AQ101" s="11" t="e">
        <f>LEFT('REPORTS PER EVALUATOR'!#REF!,1)</f>
        <v>#REF!</v>
      </c>
      <c r="AR101" s="92" t="e">
        <f>(RIGHT('REPORTS PER EVALUATOR'!#REF!,1))*1</f>
        <v>#REF!</v>
      </c>
    </row>
    <row r="102" spans="1:44" x14ac:dyDescent="0.2">
      <c r="B102" s="19" t="str">
        <f t="shared" si="4"/>
        <v>G</v>
      </c>
      <c r="C102" s="18" t="str">
        <f t="shared" si="6"/>
        <v>H</v>
      </c>
      <c r="D102" s="18" t="s">
        <v>50</v>
      </c>
      <c r="E102" s="64" t="str">
        <f>LEFT('REPORTS PER EVALUATOR'!$AC$12,1)</f>
        <v>H</v>
      </c>
      <c r="F102" s="76">
        <f>(RIGHT('REPORTS PER EVALUATOR'!$AC$12,1))*1</f>
        <v>2</v>
      </c>
      <c r="G102" s="65" t="str">
        <f>LEFT('REPORTS PER EVALUATOR'!$AC$24,1)</f>
        <v>H</v>
      </c>
      <c r="H102" s="84">
        <f>(RIGHT('REPORTS PER EVALUATOR'!$AC$24,1))*1</f>
        <v>2</v>
      </c>
      <c r="I102" s="65" t="str">
        <f>LEFT('REPORTS PER EVALUATOR'!$AC$36,1)</f>
        <v>G</v>
      </c>
      <c r="J102" s="84">
        <f>(RIGHT('REPORTS PER EVALUATOR'!$AC$36,1))*1</f>
        <v>2</v>
      </c>
      <c r="K102" s="65" t="str">
        <f>LEFT('REPORTS PER EVALUATOR'!$AC$48,1)</f>
        <v>G</v>
      </c>
      <c r="L102" s="84">
        <f>(RIGHT('REPORTS PER EVALUATOR'!$AC$48,1))*1</f>
        <v>3</v>
      </c>
      <c r="M102" s="65" t="str">
        <f>LEFT('REPORTS PER EVALUATOR'!$AC$60,1)</f>
        <v>H</v>
      </c>
      <c r="N102" s="84">
        <f>(RIGHT('REPORTS PER EVALUATOR'!$AC$60,1))*1</f>
        <v>3</v>
      </c>
      <c r="O102" s="65" t="str">
        <f>LEFT('REPORTS PER EVALUATOR'!$AC$72,1)</f>
        <v>H</v>
      </c>
      <c r="P102" s="84">
        <f>(RIGHT('REPORTS PER EVALUATOR'!$AC$72,1))*1</f>
        <v>3</v>
      </c>
      <c r="Q102" s="65" t="str">
        <f>LEFT('REPORTS PER EVALUATOR'!$AC$84,1)</f>
        <v>H</v>
      </c>
      <c r="R102" s="84">
        <f>(RIGHT('REPORTS PER EVALUATOR'!$AC$84,1))*1</f>
        <v>3</v>
      </c>
      <c r="S102" s="65" t="str">
        <f>LEFT('REPORTS PER EVALUATOR'!$AC$96,1)</f>
        <v>H</v>
      </c>
      <c r="T102" s="84">
        <f>(RIGHT('REPORTS PER EVALUATOR'!$AC$96,1))*1</f>
        <v>6</v>
      </c>
      <c r="U102" s="65" t="str">
        <f>LEFT('REPORTS PER EVALUATOR'!$AC$108,1)</f>
        <v>H</v>
      </c>
      <c r="V102" s="84">
        <f>(RIGHT('REPORTS PER EVALUATOR'!$AC$108,1))*1</f>
        <v>4</v>
      </c>
      <c r="W102" s="65" t="str">
        <f>LEFT('REPORTS PER EVALUATOR'!$AC$120,1)</f>
        <v>H</v>
      </c>
      <c r="X102" s="84">
        <f>(RIGHT('REPORTS PER EVALUATOR'!$AC$120,1))*1</f>
        <v>3</v>
      </c>
      <c r="Y102" s="65" t="str">
        <f>LEFT('REPORTS PER EVALUATOR'!$AC$132,1)</f>
        <v>H</v>
      </c>
      <c r="Z102" s="96">
        <f>(RIGHT('REPORTS PER EVALUATOR'!$AC$132,1))*1</f>
        <v>2</v>
      </c>
      <c r="AA102" s="65" t="e">
        <f>LEFT('REPORTS PER EVALUATOR'!#REF!,1)</f>
        <v>#REF!</v>
      </c>
      <c r="AB102" s="96" t="e">
        <f>(RIGHT('REPORTS PER EVALUATOR'!#REF!,1))*1</f>
        <v>#REF!</v>
      </c>
      <c r="AC102" s="65" t="e">
        <f>LEFT('REPORTS PER EVALUATOR'!#REF!,1)</f>
        <v>#REF!</v>
      </c>
      <c r="AD102" s="96" t="e">
        <f>(RIGHT('REPORTS PER EVALUATOR'!#REF!,1))*1</f>
        <v>#REF!</v>
      </c>
      <c r="AE102" s="65" t="e">
        <f>LEFT('REPORTS PER EVALUATOR'!#REF!,1)</f>
        <v>#REF!</v>
      </c>
      <c r="AF102" s="96" t="e">
        <f>(RIGHT('REPORTS PER EVALUATOR'!#REF!,1))*1</f>
        <v>#REF!</v>
      </c>
      <c r="AG102" s="65" t="e">
        <f>LEFT('REPORTS PER EVALUATOR'!#REF!,1)</f>
        <v>#REF!</v>
      </c>
      <c r="AH102" s="96" t="e">
        <f>(RIGHT('REPORTS PER EVALUATOR'!#REF!,1))*1</f>
        <v>#REF!</v>
      </c>
      <c r="AI102" s="65" t="e">
        <f>LEFT('REPORTS PER EVALUATOR'!#REF!,1)</f>
        <v>#REF!</v>
      </c>
      <c r="AJ102" s="96" t="e">
        <f>(RIGHT('REPORTS PER EVALUATOR'!#REF!,1))*1</f>
        <v>#REF!</v>
      </c>
      <c r="AK102" s="65" t="e">
        <f>LEFT('REPORTS PER EVALUATOR'!#REF!,1)</f>
        <v>#REF!</v>
      </c>
      <c r="AL102" s="96" t="e">
        <f>(RIGHT('REPORTS PER EVALUATOR'!#REF!,1))*1</f>
        <v>#REF!</v>
      </c>
      <c r="AM102" s="65" t="e">
        <f>LEFT('REPORTS PER EVALUATOR'!#REF!,1)</f>
        <v>#REF!</v>
      </c>
      <c r="AN102" s="96" t="e">
        <f>(RIGHT('REPORTS PER EVALUATOR'!#REF!,1))*1</f>
        <v>#REF!</v>
      </c>
      <c r="AO102" s="65" t="e">
        <f>LEFT('REPORTS PER EVALUATOR'!#REF!,1)</f>
        <v>#REF!</v>
      </c>
      <c r="AP102" s="96" t="e">
        <f>(RIGHT('REPORTS PER EVALUATOR'!#REF!,1))*1</f>
        <v>#REF!</v>
      </c>
      <c r="AQ102" s="65" t="e">
        <f>LEFT('REPORTS PER EVALUATOR'!#REF!,1)</f>
        <v>#REF!</v>
      </c>
      <c r="AR102" s="96" t="e">
        <f>(RIGHT('REPORTS PER EVALUATOR'!#REF!,1))*1</f>
        <v>#REF!</v>
      </c>
    </row>
    <row r="103" spans="1:44" x14ac:dyDescent="0.2">
      <c r="B103" s="19" t="str">
        <f t="shared" si="4"/>
        <v>G</v>
      </c>
      <c r="C103" s="18" t="str">
        <f t="shared" si="6"/>
        <v>I</v>
      </c>
      <c r="D103" s="18" t="s">
        <v>51</v>
      </c>
      <c r="E103" s="26" t="str">
        <f>LEFT('REPORTS PER EVALUATOR'!$AD$12,1)</f>
        <v>I</v>
      </c>
      <c r="F103" s="73">
        <f>(RIGHT('REPORTS PER EVALUATOR'!$AD$12,1))*1</f>
        <v>3</v>
      </c>
      <c r="G103" s="11" t="str">
        <f>LEFT('REPORTS PER EVALUATOR'!$AD$24,1)</f>
        <v>1</v>
      </c>
      <c r="H103" s="81">
        <f>(RIGHT('REPORTS PER EVALUATOR'!$AD$24,1))*1</f>
        <v>1</v>
      </c>
      <c r="I103" s="11" t="str">
        <f>LEFT('REPORTS PER EVALUATOR'!$AD$36,1)</f>
        <v>1</v>
      </c>
      <c r="J103" s="81">
        <f>(RIGHT('REPORTS PER EVALUATOR'!$AD$36,1))*1</f>
        <v>1</v>
      </c>
      <c r="K103" s="11" t="str">
        <f>LEFT('REPORTS PER EVALUATOR'!$AD$48,1)</f>
        <v>1</v>
      </c>
      <c r="L103" s="81">
        <f>(RIGHT('REPORTS PER EVALUATOR'!$AD$48,1))*1</f>
        <v>1</v>
      </c>
      <c r="M103" s="11" t="str">
        <f>LEFT('REPORTS PER EVALUATOR'!$AD$60,1)</f>
        <v>I</v>
      </c>
      <c r="N103" s="81">
        <f>(RIGHT('REPORTS PER EVALUATOR'!$AD$60,1))*1</f>
        <v>2</v>
      </c>
      <c r="O103" s="11" t="str">
        <f>LEFT('REPORTS PER EVALUATOR'!$AD$72,1)</f>
        <v>I</v>
      </c>
      <c r="P103" s="81">
        <f>(RIGHT('REPORTS PER EVALUATOR'!$AD$72,1))*1</f>
        <v>2</v>
      </c>
      <c r="Q103" s="11" t="str">
        <f>LEFT('REPORTS PER EVALUATOR'!$AD$84,1)</f>
        <v>I</v>
      </c>
      <c r="R103" s="81">
        <f>(RIGHT('REPORTS PER EVALUATOR'!$AD$84,1))*1</f>
        <v>3</v>
      </c>
      <c r="S103" s="11" t="str">
        <f>LEFT('REPORTS PER EVALUATOR'!$AD$96,1)</f>
        <v>I</v>
      </c>
      <c r="T103" s="81">
        <f>(RIGHT('REPORTS PER EVALUATOR'!$AD$96,1))*1</f>
        <v>6</v>
      </c>
      <c r="U103" s="11" t="str">
        <f>LEFT('REPORTS PER EVALUATOR'!$AD$108,1)</f>
        <v>I</v>
      </c>
      <c r="V103" s="81">
        <f>(RIGHT('REPORTS PER EVALUATOR'!$AD$108,1))*1</f>
        <v>4</v>
      </c>
      <c r="W103" s="11" t="str">
        <f>LEFT('REPORTS PER EVALUATOR'!$AD$120,1)</f>
        <v>I</v>
      </c>
      <c r="X103" s="81">
        <f>(RIGHT('REPORTS PER EVALUATOR'!$AD$120,1))*1</f>
        <v>3</v>
      </c>
      <c r="Y103" s="11" t="str">
        <f>LEFT('REPORTS PER EVALUATOR'!$AD$132,1)</f>
        <v>I</v>
      </c>
      <c r="Z103" s="92">
        <f>(RIGHT('REPORTS PER EVALUATOR'!$AD$132,1))*1</f>
        <v>2</v>
      </c>
      <c r="AA103" s="11" t="e">
        <f>LEFT('REPORTS PER EVALUATOR'!#REF!,1)</f>
        <v>#REF!</v>
      </c>
      <c r="AB103" s="92" t="e">
        <f>(RIGHT('REPORTS PER EVALUATOR'!#REF!,1))*1</f>
        <v>#REF!</v>
      </c>
      <c r="AC103" s="11" t="e">
        <f>LEFT('REPORTS PER EVALUATOR'!#REF!,1)</f>
        <v>#REF!</v>
      </c>
      <c r="AD103" s="92" t="e">
        <f>(RIGHT('REPORTS PER EVALUATOR'!#REF!,1))*1</f>
        <v>#REF!</v>
      </c>
      <c r="AE103" s="11" t="e">
        <f>LEFT('REPORTS PER EVALUATOR'!#REF!,1)</f>
        <v>#REF!</v>
      </c>
      <c r="AF103" s="92" t="e">
        <f>(RIGHT('REPORTS PER EVALUATOR'!#REF!,1))*1</f>
        <v>#REF!</v>
      </c>
      <c r="AG103" s="11" t="e">
        <f>LEFT('REPORTS PER EVALUATOR'!#REF!,1)</f>
        <v>#REF!</v>
      </c>
      <c r="AH103" s="92" t="e">
        <f>(RIGHT('REPORTS PER EVALUATOR'!#REF!,1))*1</f>
        <v>#REF!</v>
      </c>
      <c r="AI103" s="11" t="e">
        <f>LEFT('REPORTS PER EVALUATOR'!#REF!,1)</f>
        <v>#REF!</v>
      </c>
      <c r="AJ103" s="92" t="e">
        <f>(RIGHT('REPORTS PER EVALUATOR'!#REF!,1))*1</f>
        <v>#REF!</v>
      </c>
      <c r="AK103" s="11" t="e">
        <f>LEFT('REPORTS PER EVALUATOR'!#REF!,1)</f>
        <v>#REF!</v>
      </c>
      <c r="AL103" s="92" t="e">
        <f>(RIGHT('REPORTS PER EVALUATOR'!#REF!,1))*1</f>
        <v>#REF!</v>
      </c>
      <c r="AM103" s="11" t="e">
        <f>LEFT('REPORTS PER EVALUATOR'!#REF!,1)</f>
        <v>#REF!</v>
      </c>
      <c r="AN103" s="92" t="e">
        <f>(RIGHT('REPORTS PER EVALUATOR'!#REF!,1))*1</f>
        <v>#REF!</v>
      </c>
      <c r="AO103" s="11" t="e">
        <f>LEFT('REPORTS PER EVALUATOR'!#REF!,1)</f>
        <v>#REF!</v>
      </c>
      <c r="AP103" s="92" t="e">
        <f>(RIGHT('REPORTS PER EVALUATOR'!#REF!,1))*1</f>
        <v>#REF!</v>
      </c>
      <c r="AQ103" s="11" t="e">
        <f>LEFT('REPORTS PER EVALUATOR'!#REF!,1)</f>
        <v>#REF!</v>
      </c>
      <c r="AR103" s="92" t="e">
        <f>(RIGHT('REPORTS PER EVALUATOR'!#REF!,1))*1</f>
        <v>#REF!</v>
      </c>
    </row>
    <row r="104" spans="1:44" x14ac:dyDescent="0.2">
      <c r="B104" s="19" t="str">
        <f t="shared" si="4"/>
        <v>G</v>
      </c>
      <c r="C104" s="18" t="str">
        <f t="shared" si="6"/>
        <v>L</v>
      </c>
      <c r="D104" s="18" t="s">
        <v>52</v>
      </c>
      <c r="E104" s="26" t="str">
        <f>LEFT('REPORTS PER EVALUATOR'!$AE$12,1)</f>
        <v>G</v>
      </c>
      <c r="F104" s="73">
        <f>(RIGHT('REPORTS PER EVALUATOR'!$AE$12,1))*1</f>
        <v>2</v>
      </c>
      <c r="G104" s="11" t="str">
        <f>LEFT('REPORTS PER EVALUATOR'!$AE$24,1)</f>
        <v>G</v>
      </c>
      <c r="H104" s="81">
        <f>(RIGHT('REPORTS PER EVALUATOR'!$AE$24,1))*1</f>
        <v>2</v>
      </c>
      <c r="I104" s="11" t="str">
        <f>LEFT('REPORTS PER EVALUATOR'!$AE$36,1)</f>
        <v>G</v>
      </c>
      <c r="J104" s="81">
        <f>(RIGHT('REPORTS PER EVALUATOR'!$AE$36,1))*1</f>
        <v>3</v>
      </c>
      <c r="K104" s="11" t="str">
        <f>LEFT('REPORTS PER EVALUATOR'!$AE$48,1)</f>
        <v>G</v>
      </c>
      <c r="L104" s="81">
        <f>(RIGHT('REPORTS PER EVALUATOR'!$AE$48,1))*1</f>
        <v>3</v>
      </c>
      <c r="M104" s="11" t="str">
        <f>LEFT('REPORTS PER EVALUATOR'!$AE$60,1)</f>
        <v>L</v>
      </c>
      <c r="N104" s="81">
        <f>(RIGHT('REPORTS PER EVALUATOR'!$AE$60,1))*1</f>
        <v>2</v>
      </c>
      <c r="O104" s="11" t="str">
        <f>LEFT('REPORTS PER EVALUATOR'!$AE$72,1)</f>
        <v>L</v>
      </c>
      <c r="P104" s="81">
        <f>(RIGHT('REPORTS PER EVALUATOR'!$AE$72,1))*1</f>
        <v>3</v>
      </c>
      <c r="Q104" s="11" t="str">
        <f>LEFT('REPORTS PER EVALUATOR'!$AE$84,1)</f>
        <v>L</v>
      </c>
      <c r="R104" s="81">
        <f>(RIGHT('REPORTS PER EVALUATOR'!$AE$84,1))*1</f>
        <v>3</v>
      </c>
      <c r="S104" s="11" t="str">
        <f>LEFT('REPORTS PER EVALUATOR'!$AE$96,1)</f>
        <v>L</v>
      </c>
      <c r="T104" s="81">
        <f>(RIGHT('REPORTS PER EVALUATOR'!$AE$96,1))*1</f>
        <v>6</v>
      </c>
      <c r="U104" s="11" t="str">
        <f>LEFT('REPORTS PER EVALUATOR'!$AE$108,1)</f>
        <v>L</v>
      </c>
      <c r="V104" s="81">
        <f>(RIGHT('REPORTS PER EVALUATOR'!$AE$108,1))*1</f>
        <v>4</v>
      </c>
      <c r="W104" s="11" t="str">
        <f>LEFT('REPORTS PER EVALUATOR'!$AE$120,1)</f>
        <v>L</v>
      </c>
      <c r="X104" s="81">
        <f>(RIGHT('REPORTS PER EVALUATOR'!$AE$120,1))*1</f>
        <v>2</v>
      </c>
      <c r="Y104" s="11" t="str">
        <f>LEFT('REPORTS PER EVALUATOR'!$AE$132,1)</f>
        <v>L</v>
      </c>
      <c r="Z104" s="92">
        <f>(RIGHT('REPORTS PER EVALUATOR'!$AE$132,1))*1</f>
        <v>2</v>
      </c>
      <c r="AA104" s="11" t="e">
        <f>LEFT('REPORTS PER EVALUATOR'!#REF!,1)</f>
        <v>#REF!</v>
      </c>
      <c r="AB104" s="92" t="e">
        <f>(RIGHT('REPORTS PER EVALUATOR'!#REF!,1))*1</f>
        <v>#REF!</v>
      </c>
      <c r="AC104" s="11" t="e">
        <f>LEFT('REPORTS PER EVALUATOR'!#REF!,1)</f>
        <v>#REF!</v>
      </c>
      <c r="AD104" s="92" t="e">
        <f>(RIGHT('REPORTS PER EVALUATOR'!#REF!,1))*1</f>
        <v>#REF!</v>
      </c>
      <c r="AE104" s="11" t="e">
        <f>LEFT('REPORTS PER EVALUATOR'!#REF!,1)</f>
        <v>#REF!</v>
      </c>
      <c r="AF104" s="92" t="e">
        <f>(RIGHT('REPORTS PER EVALUATOR'!#REF!,1))*1</f>
        <v>#REF!</v>
      </c>
      <c r="AG104" s="11" t="e">
        <f>LEFT('REPORTS PER EVALUATOR'!#REF!,1)</f>
        <v>#REF!</v>
      </c>
      <c r="AH104" s="92" t="e">
        <f>(RIGHT('REPORTS PER EVALUATOR'!#REF!,1))*1</f>
        <v>#REF!</v>
      </c>
      <c r="AI104" s="11" t="e">
        <f>LEFT('REPORTS PER EVALUATOR'!#REF!,1)</f>
        <v>#REF!</v>
      </c>
      <c r="AJ104" s="92" t="e">
        <f>(RIGHT('REPORTS PER EVALUATOR'!#REF!,1))*1</f>
        <v>#REF!</v>
      </c>
      <c r="AK104" s="11" t="e">
        <f>LEFT('REPORTS PER EVALUATOR'!#REF!,1)</f>
        <v>#REF!</v>
      </c>
      <c r="AL104" s="92" t="e">
        <f>(RIGHT('REPORTS PER EVALUATOR'!#REF!,1))*1</f>
        <v>#REF!</v>
      </c>
      <c r="AM104" s="11" t="e">
        <f>LEFT('REPORTS PER EVALUATOR'!#REF!,1)</f>
        <v>#REF!</v>
      </c>
      <c r="AN104" s="92" t="e">
        <f>(RIGHT('REPORTS PER EVALUATOR'!#REF!,1))*1</f>
        <v>#REF!</v>
      </c>
      <c r="AO104" s="11" t="e">
        <f>LEFT('REPORTS PER EVALUATOR'!#REF!,1)</f>
        <v>#REF!</v>
      </c>
      <c r="AP104" s="92" t="e">
        <f>(RIGHT('REPORTS PER EVALUATOR'!#REF!,1))*1</f>
        <v>#REF!</v>
      </c>
      <c r="AQ104" s="11" t="e">
        <f>LEFT('REPORTS PER EVALUATOR'!#REF!,1)</f>
        <v>#REF!</v>
      </c>
      <c r="AR104" s="92" t="e">
        <f>(RIGHT('REPORTS PER EVALUATOR'!#REF!,1))*1</f>
        <v>#REF!</v>
      </c>
    </row>
    <row r="105" spans="1:44" x14ac:dyDescent="0.2">
      <c r="B105" s="19" t="str">
        <f t="shared" si="4"/>
        <v>G</v>
      </c>
      <c r="C105" s="18" t="str">
        <f t="shared" si="6"/>
        <v>M</v>
      </c>
      <c r="D105" s="18" t="s">
        <v>163</v>
      </c>
      <c r="E105" s="26" t="str">
        <f>LEFT('REPORTS PER EVALUATOR'!$AF$12,1)</f>
        <v/>
      </c>
      <c r="F105" s="73" t="e">
        <f>(RIGHT('REPORTS PER EVALUATOR'!$AF$12,1))*1</f>
        <v>#VALUE!</v>
      </c>
      <c r="G105" s="11" t="str">
        <f>LEFT('REPORTS PER EVALUATOR'!$AF$24,1)</f>
        <v/>
      </c>
      <c r="H105" s="81" t="e">
        <f>(RIGHT('REPORTS PER EVALUATOR'!$AF$24,1))*1</f>
        <v>#VALUE!</v>
      </c>
      <c r="I105" s="11" t="str">
        <f>LEFT('REPORTS PER EVALUATOR'!$AF$36,1)</f>
        <v/>
      </c>
      <c r="J105" s="81" t="e">
        <f>(RIGHT('REPORTS PER EVALUATOR'!$AF$36,1))*1</f>
        <v>#VALUE!</v>
      </c>
      <c r="K105" s="11" t="str">
        <f>LEFT('REPORTS PER EVALUATOR'!$AF$48,1)</f>
        <v/>
      </c>
      <c r="L105" s="81" t="e">
        <f>(RIGHT('REPORTS PER EVALUATOR'!$AF$48,1))*1</f>
        <v>#VALUE!</v>
      </c>
      <c r="M105" s="11" t="str">
        <f>LEFT('REPORTS PER EVALUATOR'!$AF$60,1)</f>
        <v/>
      </c>
      <c r="N105" s="81" t="e">
        <f>(RIGHT('REPORTS PER EVALUATOR'!$AF$60,1))*1</f>
        <v>#VALUE!</v>
      </c>
      <c r="O105" s="11" t="str">
        <f>LEFT('REPORTS PER EVALUATOR'!$AF$72,1)</f>
        <v/>
      </c>
      <c r="P105" s="81" t="e">
        <f>(RIGHT('REPORTS PER EVALUATOR'!$AF$72,1))*1</f>
        <v>#VALUE!</v>
      </c>
      <c r="Q105" s="11" t="str">
        <f>LEFT('REPORTS PER EVALUATOR'!$AF$84,1)</f>
        <v/>
      </c>
      <c r="R105" s="81" t="e">
        <f>(RIGHT('REPORTS PER EVALUATOR'!$AF$84,1))*1</f>
        <v>#VALUE!</v>
      </c>
      <c r="S105" s="11" t="str">
        <f>LEFT('REPORTS PER EVALUATOR'!$AF$96,1)</f>
        <v/>
      </c>
      <c r="T105" s="81" t="e">
        <f>(RIGHT('REPORTS PER EVALUATOR'!$AF$96,1))*1</f>
        <v>#VALUE!</v>
      </c>
      <c r="U105" s="11" t="str">
        <f>LEFT('REPORTS PER EVALUATOR'!$AF$108,1)</f>
        <v/>
      </c>
      <c r="V105" s="81" t="e">
        <f>(RIGHT('REPORTS PER EVALUATOR'!$AF$108,1))*1</f>
        <v>#VALUE!</v>
      </c>
      <c r="W105" s="11" t="str">
        <f>LEFT('REPORTS PER EVALUATOR'!$AF$120,1)</f>
        <v/>
      </c>
      <c r="X105" s="81" t="e">
        <f>(RIGHT('REPORTS PER EVALUATOR'!$AF$120,1))*1</f>
        <v>#VALUE!</v>
      </c>
      <c r="Y105" s="11" t="str">
        <f>LEFT('REPORTS PER EVALUATOR'!$AF$132,1)</f>
        <v/>
      </c>
      <c r="Z105" s="92" t="e">
        <f>(RIGHT('REPORTS PER EVALUATOR'!$AF$132,1))*1</f>
        <v>#VALUE!</v>
      </c>
      <c r="AA105" s="11" t="e">
        <f>LEFT('REPORTS PER EVALUATOR'!#REF!,1)</f>
        <v>#REF!</v>
      </c>
      <c r="AB105" s="92" t="e">
        <f>(RIGHT('REPORTS PER EVALUATOR'!#REF!,1))*1</f>
        <v>#REF!</v>
      </c>
      <c r="AC105" s="11" t="e">
        <f>LEFT('REPORTS PER EVALUATOR'!#REF!,1)</f>
        <v>#REF!</v>
      </c>
      <c r="AD105" s="92" t="e">
        <f>(RIGHT('REPORTS PER EVALUATOR'!#REF!,1))*1</f>
        <v>#REF!</v>
      </c>
      <c r="AE105" s="11" t="e">
        <f>LEFT('REPORTS PER EVALUATOR'!#REF!,1)</f>
        <v>#REF!</v>
      </c>
      <c r="AF105" s="92" t="e">
        <f>(RIGHT('REPORTS PER EVALUATOR'!#REF!,1))*1</f>
        <v>#REF!</v>
      </c>
      <c r="AG105" s="11" t="e">
        <f>LEFT('REPORTS PER EVALUATOR'!#REF!,1)</f>
        <v>#REF!</v>
      </c>
      <c r="AH105" s="92" t="e">
        <f>(RIGHT('REPORTS PER EVALUATOR'!#REF!,1))*1</f>
        <v>#REF!</v>
      </c>
      <c r="AI105" s="11" t="e">
        <f>LEFT('REPORTS PER EVALUATOR'!#REF!,1)</f>
        <v>#REF!</v>
      </c>
      <c r="AJ105" s="92" t="e">
        <f>(RIGHT('REPORTS PER EVALUATOR'!#REF!,1))*1</f>
        <v>#REF!</v>
      </c>
      <c r="AK105" s="11" t="e">
        <f>LEFT('REPORTS PER EVALUATOR'!#REF!,1)</f>
        <v>#REF!</v>
      </c>
      <c r="AL105" s="92" t="e">
        <f>(RIGHT('REPORTS PER EVALUATOR'!#REF!,1))*1</f>
        <v>#REF!</v>
      </c>
      <c r="AM105" s="11" t="e">
        <f>LEFT('REPORTS PER EVALUATOR'!#REF!,1)</f>
        <v>#REF!</v>
      </c>
      <c r="AN105" s="92" t="e">
        <f>(RIGHT('REPORTS PER EVALUATOR'!#REF!,1))*1</f>
        <v>#REF!</v>
      </c>
      <c r="AO105" s="11" t="e">
        <f>LEFT('REPORTS PER EVALUATOR'!#REF!,1)</f>
        <v>#REF!</v>
      </c>
      <c r="AP105" s="92" t="e">
        <f>(RIGHT('REPORTS PER EVALUATOR'!#REF!,1))*1</f>
        <v>#REF!</v>
      </c>
      <c r="AQ105" s="11" t="e">
        <f>LEFT('REPORTS PER EVALUATOR'!#REF!,1)</f>
        <v>#REF!</v>
      </c>
      <c r="AR105" s="92" t="e">
        <f>(RIGHT('REPORTS PER EVALUATOR'!#REF!,1))*1</f>
        <v>#REF!</v>
      </c>
    </row>
    <row r="106" spans="1:44" x14ac:dyDescent="0.2">
      <c r="B106" s="19" t="str">
        <f t="shared" si="4"/>
        <v>H</v>
      </c>
      <c r="C106" s="18" t="str">
        <f t="shared" si="6"/>
        <v>I</v>
      </c>
      <c r="D106" s="18" t="s">
        <v>53</v>
      </c>
      <c r="E106" s="64" t="str">
        <f>LEFT('REPORTS PER EVALUATOR'!$AD$13,1)</f>
        <v>I</v>
      </c>
      <c r="F106" s="76">
        <f>(RIGHT('REPORTS PER EVALUATOR'!$AD$13,1))*1</f>
        <v>2</v>
      </c>
      <c r="G106" s="65" t="str">
        <f>LEFT('REPORTS PER EVALUATOR'!$AD$25,1)</f>
        <v>H</v>
      </c>
      <c r="H106" s="84">
        <f>(RIGHT('REPORTS PER EVALUATOR'!$AD$25,1))*1</f>
        <v>2</v>
      </c>
      <c r="I106" s="65" t="str">
        <f>LEFT('REPORTS PER EVALUATOR'!$AD$37,1)</f>
        <v>1</v>
      </c>
      <c r="J106" s="84">
        <f>(RIGHT('REPORTS PER EVALUATOR'!$AD$37,1))*1</f>
        <v>1</v>
      </c>
      <c r="K106" s="65" t="str">
        <f>LEFT('REPORTS PER EVALUATOR'!$AD$49,1)</f>
        <v>1</v>
      </c>
      <c r="L106" s="84">
        <f>(RIGHT('REPORTS PER EVALUATOR'!$AD$49,1))*1</f>
        <v>1</v>
      </c>
      <c r="M106" s="65" t="str">
        <f>LEFT('REPORTS PER EVALUATOR'!$AD$61,1)</f>
        <v>H</v>
      </c>
      <c r="N106" s="84">
        <f>(RIGHT('REPORTS PER EVALUATOR'!$AD$61,1))*1</f>
        <v>2</v>
      </c>
      <c r="O106" s="65" t="str">
        <f>LEFT('REPORTS PER EVALUATOR'!$AD$73,1)</f>
        <v>H</v>
      </c>
      <c r="P106" s="84">
        <f>(RIGHT('REPORTS PER EVALUATOR'!$AD$73,1))*1</f>
        <v>2</v>
      </c>
      <c r="Q106" s="65" t="str">
        <f>LEFT('REPORTS PER EVALUATOR'!$AD$85,1)</f>
        <v>H</v>
      </c>
      <c r="R106" s="84">
        <f>(RIGHT('REPORTS PER EVALUATOR'!$AD$85,1))*1</f>
        <v>2</v>
      </c>
      <c r="S106" s="65" t="str">
        <f>LEFT('REPORTS PER EVALUATOR'!$AD$97,1)</f>
        <v>H</v>
      </c>
      <c r="T106" s="84">
        <f>(RIGHT('REPORTS PER EVALUATOR'!$AD$97,1))*1</f>
        <v>4</v>
      </c>
      <c r="U106" s="65" t="str">
        <f>LEFT('REPORTS PER EVALUATOR'!$AD$109,1)</f>
        <v>H</v>
      </c>
      <c r="V106" s="84">
        <f>(RIGHT('REPORTS PER EVALUATOR'!$AD$109,1))*1</f>
        <v>2</v>
      </c>
      <c r="W106" s="65" t="str">
        <f>LEFT('REPORTS PER EVALUATOR'!$AD$121,1)</f>
        <v>1</v>
      </c>
      <c r="X106" s="84">
        <f>(RIGHT('REPORTS PER EVALUATOR'!$AD$121,1))*1</f>
        <v>1</v>
      </c>
      <c r="Y106" s="65" t="str">
        <f>LEFT('REPORTS PER EVALUATOR'!$AD$133,1)</f>
        <v>1</v>
      </c>
      <c r="Z106" s="96">
        <f>(RIGHT('REPORTS PER EVALUATOR'!$AD$133,1))*1</f>
        <v>1</v>
      </c>
      <c r="AA106" s="65" t="e">
        <f>LEFT('REPORTS PER EVALUATOR'!#REF!,1)</f>
        <v>#REF!</v>
      </c>
      <c r="AB106" s="96" t="e">
        <f>(RIGHT('REPORTS PER EVALUATOR'!#REF!,1))*1</f>
        <v>#REF!</v>
      </c>
      <c r="AC106" s="65" t="e">
        <f>LEFT('REPORTS PER EVALUATOR'!#REF!,1)</f>
        <v>#REF!</v>
      </c>
      <c r="AD106" s="96" t="e">
        <f>(RIGHT('REPORTS PER EVALUATOR'!#REF!,1))*1</f>
        <v>#REF!</v>
      </c>
      <c r="AE106" s="65" t="e">
        <f>LEFT('REPORTS PER EVALUATOR'!#REF!,1)</f>
        <v>#REF!</v>
      </c>
      <c r="AF106" s="96" t="e">
        <f>(RIGHT('REPORTS PER EVALUATOR'!#REF!,1))*1</f>
        <v>#REF!</v>
      </c>
      <c r="AG106" s="65" t="e">
        <f>LEFT('REPORTS PER EVALUATOR'!#REF!,1)</f>
        <v>#REF!</v>
      </c>
      <c r="AH106" s="96" t="e">
        <f>(RIGHT('REPORTS PER EVALUATOR'!#REF!,1))*1</f>
        <v>#REF!</v>
      </c>
      <c r="AI106" s="65" t="e">
        <f>LEFT('REPORTS PER EVALUATOR'!#REF!,1)</f>
        <v>#REF!</v>
      </c>
      <c r="AJ106" s="96" t="e">
        <f>(RIGHT('REPORTS PER EVALUATOR'!#REF!,1))*1</f>
        <v>#REF!</v>
      </c>
      <c r="AK106" s="65" t="e">
        <f>LEFT('REPORTS PER EVALUATOR'!#REF!,1)</f>
        <v>#REF!</v>
      </c>
      <c r="AL106" s="96" t="e">
        <f>(RIGHT('REPORTS PER EVALUATOR'!#REF!,1))*1</f>
        <v>#REF!</v>
      </c>
      <c r="AM106" s="65" t="e">
        <f>LEFT('REPORTS PER EVALUATOR'!#REF!,1)</f>
        <v>#REF!</v>
      </c>
      <c r="AN106" s="96" t="e">
        <f>(RIGHT('REPORTS PER EVALUATOR'!#REF!,1))*1</f>
        <v>#REF!</v>
      </c>
      <c r="AO106" s="65" t="e">
        <f>LEFT('REPORTS PER EVALUATOR'!#REF!,1)</f>
        <v>#REF!</v>
      </c>
      <c r="AP106" s="96" t="e">
        <f>(RIGHT('REPORTS PER EVALUATOR'!#REF!,1))*1</f>
        <v>#REF!</v>
      </c>
      <c r="AQ106" s="65" t="e">
        <f>LEFT('REPORTS PER EVALUATOR'!#REF!,1)</f>
        <v>#REF!</v>
      </c>
      <c r="AR106" s="96" t="e">
        <f>(RIGHT('REPORTS PER EVALUATOR'!#REF!,1))*1</f>
        <v>#REF!</v>
      </c>
    </row>
    <row r="107" spans="1:44" x14ac:dyDescent="0.2">
      <c r="B107" s="19" t="str">
        <f t="shared" si="4"/>
        <v>H</v>
      </c>
      <c r="C107" s="18" t="str">
        <f t="shared" si="6"/>
        <v>L</v>
      </c>
      <c r="D107" s="18" t="s">
        <v>19</v>
      </c>
      <c r="E107" s="26" t="str">
        <f>LEFT('REPORTS PER EVALUATOR'!$AE$13,1)</f>
        <v>H</v>
      </c>
      <c r="F107" s="73">
        <f>(RIGHT('REPORTS PER EVALUATOR'!$AE$13,1))*1</f>
        <v>3</v>
      </c>
      <c r="G107" s="11" t="str">
        <f>LEFT('REPORTS PER EVALUATOR'!$AE$25,1)</f>
        <v>H</v>
      </c>
      <c r="H107" s="81">
        <f>(RIGHT('REPORTS PER EVALUATOR'!$AE$25,1))*1</f>
        <v>3</v>
      </c>
      <c r="I107" s="11" t="str">
        <f>LEFT('REPORTS PER EVALUATOR'!$AE$37,1)</f>
        <v>H</v>
      </c>
      <c r="J107" s="81">
        <f>(RIGHT('REPORTS PER EVALUATOR'!$AE$37,1))*1</f>
        <v>2</v>
      </c>
      <c r="K107" s="11" t="str">
        <f>LEFT('REPORTS PER EVALUATOR'!$AE$49,1)</f>
        <v>H</v>
      </c>
      <c r="L107" s="81">
        <f>(RIGHT('REPORTS PER EVALUATOR'!$AE$49,1))*1</f>
        <v>2</v>
      </c>
      <c r="M107" s="11" t="str">
        <f>LEFT('REPORTS PER EVALUATOR'!$AE$61,1)</f>
        <v>L</v>
      </c>
      <c r="N107" s="81">
        <f>(RIGHT('REPORTS PER EVALUATOR'!$AE$61,1))*1</f>
        <v>2</v>
      </c>
      <c r="O107" s="11" t="str">
        <f>LEFT('REPORTS PER EVALUATOR'!$AE$73,1)</f>
        <v>L</v>
      </c>
      <c r="P107" s="81">
        <f>(RIGHT('REPORTS PER EVALUATOR'!$AE$73,1))*1</f>
        <v>2</v>
      </c>
      <c r="Q107" s="11" t="str">
        <f>LEFT('REPORTS PER EVALUATOR'!$AE$85,1)</f>
        <v>L</v>
      </c>
      <c r="R107" s="81">
        <f>(RIGHT('REPORTS PER EVALUATOR'!$AE$85,1))*1</f>
        <v>2</v>
      </c>
      <c r="S107" s="11" t="str">
        <f>LEFT('REPORTS PER EVALUATOR'!$AE$97,1)</f>
        <v>1</v>
      </c>
      <c r="T107" s="81">
        <f>(RIGHT('REPORTS PER EVALUATOR'!$AE$97,1))*1</f>
        <v>1</v>
      </c>
      <c r="U107" s="11" t="str">
        <f>LEFT('REPORTS PER EVALUATOR'!$AE$109,1)</f>
        <v>H</v>
      </c>
      <c r="V107" s="81">
        <f>(RIGHT('REPORTS PER EVALUATOR'!$AE$109,1))*1</f>
        <v>2</v>
      </c>
      <c r="W107" s="11" t="str">
        <f>LEFT('REPORTS PER EVALUATOR'!$AE$121,1)</f>
        <v>H</v>
      </c>
      <c r="X107" s="81">
        <f>(RIGHT('REPORTS PER EVALUATOR'!$AE$121,1))*1</f>
        <v>2</v>
      </c>
      <c r="Y107" s="11" t="str">
        <f>LEFT('REPORTS PER EVALUATOR'!$AE$133,1)</f>
        <v>H</v>
      </c>
      <c r="Z107" s="92">
        <f>(RIGHT('REPORTS PER EVALUATOR'!$AE$133,1))*1</f>
        <v>2</v>
      </c>
      <c r="AA107" s="11" t="e">
        <f>LEFT('REPORTS PER EVALUATOR'!#REF!,1)</f>
        <v>#REF!</v>
      </c>
      <c r="AB107" s="92" t="e">
        <f>(RIGHT('REPORTS PER EVALUATOR'!#REF!,1))*1</f>
        <v>#REF!</v>
      </c>
      <c r="AC107" s="11" t="e">
        <f>LEFT('REPORTS PER EVALUATOR'!#REF!,1)</f>
        <v>#REF!</v>
      </c>
      <c r="AD107" s="92" t="e">
        <f>(RIGHT('REPORTS PER EVALUATOR'!#REF!,1))*1</f>
        <v>#REF!</v>
      </c>
      <c r="AE107" s="11" t="e">
        <f>LEFT('REPORTS PER EVALUATOR'!#REF!,1)</f>
        <v>#REF!</v>
      </c>
      <c r="AF107" s="92" t="e">
        <f>(RIGHT('REPORTS PER EVALUATOR'!#REF!,1))*1</f>
        <v>#REF!</v>
      </c>
      <c r="AG107" s="11" t="e">
        <f>LEFT('REPORTS PER EVALUATOR'!#REF!,1)</f>
        <v>#REF!</v>
      </c>
      <c r="AH107" s="92" t="e">
        <f>(RIGHT('REPORTS PER EVALUATOR'!#REF!,1))*1</f>
        <v>#REF!</v>
      </c>
      <c r="AI107" s="11" t="e">
        <f>LEFT('REPORTS PER EVALUATOR'!#REF!,1)</f>
        <v>#REF!</v>
      </c>
      <c r="AJ107" s="92" t="e">
        <f>(RIGHT('REPORTS PER EVALUATOR'!#REF!,1))*1</f>
        <v>#REF!</v>
      </c>
      <c r="AK107" s="11" t="e">
        <f>LEFT('REPORTS PER EVALUATOR'!#REF!,1)</f>
        <v>#REF!</v>
      </c>
      <c r="AL107" s="92" t="e">
        <f>(RIGHT('REPORTS PER EVALUATOR'!#REF!,1))*1</f>
        <v>#REF!</v>
      </c>
      <c r="AM107" s="11" t="e">
        <f>LEFT('REPORTS PER EVALUATOR'!#REF!,1)</f>
        <v>#REF!</v>
      </c>
      <c r="AN107" s="92" t="e">
        <f>(RIGHT('REPORTS PER EVALUATOR'!#REF!,1))*1</f>
        <v>#REF!</v>
      </c>
      <c r="AO107" s="11" t="e">
        <f>LEFT('REPORTS PER EVALUATOR'!#REF!,1)</f>
        <v>#REF!</v>
      </c>
      <c r="AP107" s="92" t="e">
        <f>(RIGHT('REPORTS PER EVALUATOR'!#REF!,1))*1</f>
        <v>#REF!</v>
      </c>
      <c r="AQ107" s="11" t="e">
        <f>LEFT('REPORTS PER EVALUATOR'!#REF!,1)</f>
        <v>#REF!</v>
      </c>
      <c r="AR107" s="92" t="e">
        <f>(RIGHT('REPORTS PER EVALUATOR'!#REF!,1))*1</f>
        <v>#REF!</v>
      </c>
    </row>
    <row r="108" spans="1:44" x14ac:dyDescent="0.2">
      <c r="B108" s="19" t="str">
        <f t="shared" si="4"/>
        <v>H</v>
      </c>
      <c r="C108" s="18" t="str">
        <f t="shared" si="6"/>
        <v>M</v>
      </c>
      <c r="D108" s="18" t="s">
        <v>164</v>
      </c>
      <c r="E108" s="26" t="str">
        <f>LEFT('REPORTS PER EVALUATOR'!$AF$13,1)</f>
        <v/>
      </c>
      <c r="F108" s="73" t="e">
        <f>(RIGHT('REPORTS PER EVALUATOR'!$AF$13,1))*1</f>
        <v>#VALUE!</v>
      </c>
      <c r="G108" s="11" t="str">
        <f>LEFT('REPORTS PER EVALUATOR'!$AF$25,1)</f>
        <v/>
      </c>
      <c r="H108" s="81" t="e">
        <f>(RIGHT('REPORTS PER EVALUATOR'!$AF$25,1))*1</f>
        <v>#VALUE!</v>
      </c>
      <c r="I108" s="11" t="str">
        <f>LEFT('REPORTS PER EVALUATOR'!$AF$37,1)</f>
        <v/>
      </c>
      <c r="J108" s="81" t="e">
        <f>(RIGHT('REPORTS PER EVALUATOR'!$AF$37,1))*1</f>
        <v>#VALUE!</v>
      </c>
      <c r="K108" s="11" t="str">
        <f>LEFT('REPORTS PER EVALUATOR'!$AF$49,1)</f>
        <v/>
      </c>
      <c r="L108" s="81" t="e">
        <f>(RIGHT('REPORTS PER EVALUATOR'!$AF$49,1))*1</f>
        <v>#VALUE!</v>
      </c>
      <c r="M108" s="11" t="str">
        <f>LEFT('REPORTS PER EVALUATOR'!$AF$61,1)</f>
        <v/>
      </c>
      <c r="N108" s="81" t="e">
        <f>(RIGHT('REPORTS PER EVALUATOR'!$AF$61,1))*1</f>
        <v>#VALUE!</v>
      </c>
      <c r="O108" s="11" t="str">
        <f>LEFT('REPORTS PER EVALUATOR'!$AF$73,1)</f>
        <v/>
      </c>
      <c r="P108" s="81" t="e">
        <f>(RIGHT('REPORTS PER EVALUATOR'!$AF$73,1))*1</f>
        <v>#VALUE!</v>
      </c>
      <c r="Q108" s="11" t="str">
        <f>LEFT('REPORTS PER EVALUATOR'!$AF$85,1)</f>
        <v/>
      </c>
      <c r="R108" s="81" t="e">
        <f>(RIGHT('REPORTS PER EVALUATOR'!$AF$85,1))*1</f>
        <v>#VALUE!</v>
      </c>
      <c r="S108" s="11" t="str">
        <f>LEFT('REPORTS PER EVALUATOR'!$AF$97,1)</f>
        <v/>
      </c>
      <c r="T108" s="81" t="e">
        <f>(RIGHT('REPORTS PER EVALUATOR'!$AF$97,1))*1</f>
        <v>#VALUE!</v>
      </c>
      <c r="U108" s="11" t="str">
        <f>LEFT('REPORTS PER EVALUATOR'!$AF$109,1)</f>
        <v/>
      </c>
      <c r="V108" s="81" t="e">
        <f>(RIGHT('REPORTS PER EVALUATOR'!$AF$109,1))*1</f>
        <v>#VALUE!</v>
      </c>
      <c r="W108" s="11" t="str">
        <f>LEFT('REPORTS PER EVALUATOR'!$AF$121,1)</f>
        <v/>
      </c>
      <c r="X108" s="81" t="e">
        <f>(RIGHT('REPORTS PER EVALUATOR'!$AF$121,1))*1</f>
        <v>#VALUE!</v>
      </c>
      <c r="Y108" s="11" t="str">
        <f>LEFT('REPORTS PER EVALUATOR'!$AF$133,1)</f>
        <v/>
      </c>
      <c r="Z108" s="92" t="e">
        <f>(RIGHT('REPORTS PER EVALUATOR'!$AF$133,1))*1</f>
        <v>#VALUE!</v>
      </c>
      <c r="AA108" s="11" t="e">
        <f>LEFT('REPORTS PER EVALUATOR'!#REF!,1)</f>
        <v>#REF!</v>
      </c>
      <c r="AB108" s="92" t="e">
        <f>(RIGHT('REPORTS PER EVALUATOR'!#REF!,1))*1</f>
        <v>#REF!</v>
      </c>
      <c r="AC108" s="11" t="e">
        <f>LEFT('REPORTS PER EVALUATOR'!#REF!,1)</f>
        <v>#REF!</v>
      </c>
      <c r="AD108" s="92" t="e">
        <f>(RIGHT('REPORTS PER EVALUATOR'!#REF!,1))*1</f>
        <v>#REF!</v>
      </c>
      <c r="AE108" s="11" t="e">
        <f>LEFT('REPORTS PER EVALUATOR'!#REF!,1)</f>
        <v>#REF!</v>
      </c>
      <c r="AF108" s="92" t="e">
        <f>(RIGHT('REPORTS PER EVALUATOR'!#REF!,1))*1</f>
        <v>#REF!</v>
      </c>
      <c r="AG108" s="11" t="e">
        <f>LEFT('REPORTS PER EVALUATOR'!#REF!,1)</f>
        <v>#REF!</v>
      </c>
      <c r="AH108" s="92" t="e">
        <f>(RIGHT('REPORTS PER EVALUATOR'!#REF!,1))*1</f>
        <v>#REF!</v>
      </c>
      <c r="AI108" s="11" t="e">
        <f>LEFT('REPORTS PER EVALUATOR'!#REF!,1)</f>
        <v>#REF!</v>
      </c>
      <c r="AJ108" s="92" t="e">
        <f>(RIGHT('REPORTS PER EVALUATOR'!#REF!,1))*1</f>
        <v>#REF!</v>
      </c>
      <c r="AK108" s="11" t="e">
        <f>LEFT('REPORTS PER EVALUATOR'!#REF!,1)</f>
        <v>#REF!</v>
      </c>
      <c r="AL108" s="92" t="e">
        <f>(RIGHT('REPORTS PER EVALUATOR'!#REF!,1))*1</f>
        <v>#REF!</v>
      </c>
      <c r="AM108" s="11" t="e">
        <f>LEFT('REPORTS PER EVALUATOR'!#REF!,1)</f>
        <v>#REF!</v>
      </c>
      <c r="AN108" s="92" t="e">
        <f>(RIGHT('REPORTS PER EVALUATOR'!#REF!,1))*1</f>
        <v>#REF!</v>
      </c>
      <c r="AO108" s="11" t="e">
        <f>LEFT('REPORTS PER EVALUATOR'!#REF!,1)</f>
        <v>#REF!</v>
      </c>
      <c r="AP108" s="92" t="e">
        <f>(RIGHT('REPORTS PER EVALUATOR'!#REF!,1))*1</f>
        <v>#REF!</v>
      </c>
      <c r="AQ108" s="11" t="e">
        <f>LEFT('REPORTS PER EVALUATOR'!#REF!,1)</f>
        <v>#REF!</v>
      </c>
      <c r="AR108" s="92" t="e">
        <f>(RIGHT('REPORTS PER EVALUATOR'!#REF!,1))*1</f>
        <v>#REF!</v>
      </c>
    </row>
    <row r="109" spans="1:44" x14ac:dyDescent="0.2">
      <c r="B109" s="19" t="str">
        <f t="shared" si="4"/>
        <v>I</v>
      </c>
      <c r="C109" s="18" t="str">
        <f t="shared" si="6"/>
        <v>L</v>
      </c>
      <c r="D109" s="18" t="s">
        <v>54</v>
      </c>
      <c r="E109" s="66" t="str">
        <f>LEFT('REPORTS PER EVALUATOR'!$AE$14,1)</f>
        <v>I</v>
      </c>
      <c r="F109" s="77">
        <f>(RIGHT('REPORTS PER EVALUATOR'!$AE$14,1))*1</f>
        <v>3</v>
      </c>
      <c r="G109" s="67" t="str">
        <f>LEFT('REPORTS PER EVALUATOR'!$AE$26,1)</f>
        <v>I</v>
      </c>
      <c r="H109" s="85">
        <f>(RIGHT('REPORTS PER EVALUATOR'!$AE$26,1))*1</f>
        <v>2</v>
      </c>
      <c r="I109" s="67" t="str">
        <f>LEFT('REPORTS PER EVALUATOR'!$AE$38,1)</f>
        <v>I</v>
      </c>
      <c r="J109" s="85">
        <f>(RIGHT('REPORTS PER EVALUATOR'!$AE$38,1))*1</f>
        <v>2</v>
      </c>
      <c r="K109" s="67" t="str">
        <f>LEFT('REPORTS PER EVALUATOR'!$AE$50,1)</f>
        <v>I</v>
      </c>
      <c r="L109" s="85">
        <f>(RIGHT('REPORTS PER EVALUATOR'!$AE$50,1))*1</f>
        <v>3</v>
      </c>
      <c r="M109" s="67" t="str">
        <f>LEFT('REPORTS PER EVALUATOR'!$AE$62,1)</f>
        <v>L</v>
      </c>
      <c r="N109" s="85">
        <f>(RIGHT('REPORTS PER EVALUATOR'!$AE$62,1))*1</f>
        <v>2</v>
      </c>
      <c r="O109" s="67" t="str">
        <f>LEFT('REPORTS PER EVALUATOR'!$AE$74,1)</f>
        <v>L</v>
      </c>
      <c r="P109" s="85">
        <f>(RIGHT('REPORTS PER EVALUATOR'!$AE$74,1))*1</f>
        <v>2</v>
      </c>
      <c r="Q109" s="67" t="str">
        <f>LEFT('REPORTS PER EVALUATOR'!$AE$86,1)</f>
        <v>1</v>
      </c>
      <c r="R109" s="85">
        <f>(RIGHT('REPORTS PER EVALUATOR'!$AE$86,1))*1</f>
        <v>1</v>
      </c>
      <c r="S109" s="67" t="str">
        <f>LEFT('REPORTS PER EVALUATOR'!$AE$98,1)</f>
        <v>L</v>
      </c>
      <c r="T109" s="85">
        <f>(RIGHT('REPORTS PER EVALUATOR'!$AE$98,1))*1</f>
        <v>3</v>
      </c>
      <c r="U109" s="67" t="str">
        <f>LEFT('REPORTS PER EVALUATOR'!$AE$110,1)</f>
        <v>1</v>
      </c>
      <c r="V109" s="85">
        <f>(RIGHT('REPORTS PER EVALUATOR'!$AE$110,1))*1</f>
        <v>1</v>
      </c>
      <c r="W109" s="67" t="str">
        <f>LEFT('REPORTS PER EVALUATOR'!$AE$122,1)</f>
        <v>I</v>
      </c>
      <c r="X109" s="85">
        <f>(RIGHT('REPORTS PER EVALUATOR'!$AE$122,1))*1</f>
        <v>2</v>
      </c>
      <c r="Y109" s="67" t="str">
        <f>LEFT('REPORTS PER EVALUATOR'!$AE$134,1)</f>
        <v>1</v>
      </c>
      <c r="Z109" s="97">
        <f>(RIGHT('REPORTS PER EVALUATOR'!$AE$134,1))*1</f>
        <v>1</v>
      </c>
      <c r="AA109" s="67" t="e">
        <f>LEFT('REPORTS PER EVALUATOR'!#REF!,1)</f>
        <v>#REF!</v>
      </c>
      <c r="AB109" s="97" t="e">
        <f>(RIGHT('REPORTS PER EVALUATOR'!#REF!,1))*1</f>
        <v>#REF!</v>
      </c>
      <c r="AC109" s="67" t="e">
        <f>LEFT('REPORTS PER EVALUATOR'!#REF!,1)</f>
        <v>#REF!</v>
      </c>
      <c r="AD109" s="97" t="e">
        <f>(RIGHT('REPORTS PER EVALUATOR'!#REF!,1))*1</f>
        <v>#REF!</v>
      </c>
      <c r="AE109" s="67" t="e">
        <f>LEFT('REPORTS PER EVALUATOR'!#REF!,1)</f>
        <v>#REF!</v>
      </c>
      <c r="AF109" s="97" t="e">
        <f>(RIGHT('REPORTS PER EVALUATOR'!#REF!,1))*1</f>
        <v>#REF!</v>
      </c>
      <c r="AG109" s="67" t="e">
        <f>LEFT('REPORTS PER EVALUATOR'!#REF!,1)</f>
        <v>#REF!</v>
      </c>
      <c r="AH109" s="97" t="e">
        <f>(RIGHT('REPORTS PER EVALUATOR'!#REF!,1))*1</f>
        <v>#REF!</v>
      </c>
      <c r="AI109" s="67" t="e">
        <f>LEFT('REPORTS PER EVALUATOR'!#REF!,1)</f>
        <v>#REF!</v>
      </c>
      <c r="AJ109" s="97" t="e">
        <f>(RIGHT('REPORTS PER EVALUATOR'!#REF!,1))*1</f>
        <v>#REF!</v>
      </c>
      <c r="AK109" s="67" t="e">
        <f>LEFT('REPORTS PER EVALUATOR'!#REF!,1)</f>
        <v>#REF!</v>
      </c>
      <c r="AL109" s="97" t="e">
        <f>(RIGHT('REPORTS PER EVALUATOR'!#REF!,1))*1</f>
        <v>#REF!</v>
      </c>
      <c r="AM109" s="67" t="e">
        <f>LEFT('REPORTS PER EVALUATOR'!#REF!,1)</f>
        <v>#REF!</v>
      </c>
      <c r="AN109" s="97" t="e">
        <f>(RIGHT('REPORTS PER EVALUATOR'!#REF!,1))*1</f>
        <v>#REF!</v>
      </c>
      <c r="AO109" s="67" t="e">
        <f>LEFT('REPORTS PER EVALUATOR'!#REF!,1)</f>
        <v>#REF!</v>
      </c>
      <c r="AP109" s="97" t="e">
        <f>(RIGHT('REPORTS PER EVALUATOR'!#REF!,1))*1</f>
        <v>#REF!</v>
      </c>
      <c r="AQ109" s="67" t="e">
        <f>LEFT('REPORTS PER EVALUATOR'!#REF!,1)</f>
        <v>#REF!</v>
      </c>
      <c r="AR109" s="97" t="e">
        <f>(RIGHT('REPORTS PER EVALUATOR'!#REF!,1))*1</f>
        <v>#REF!</v>
      </c>
    </row>
    <row r="110" spans="1:44" x14ac:dyDescent="0.2">
      <c r="B110" s="19" t="str">
        <f t="shared" si="4"/>
        <v>I</v>
      </c>
      <c r="C110" s="18" t="str">
        <f t="shared" si="6"/>
        <v>M</v>
      </c>
      <c r="D110" s="18" t="s">
        <v>165</v>
      </c>
      <c r="E110" s="110" t="str">
        <f>LEFT('REPORTS PER EVALUATOR'!$AF$14,1)</f>
        <v/>
      </c>
      <c r="F110" s="111" t="e">
        <f>(RIGHT('REPORTS PER EVALUATOR'!$AF$14,1))*1</f>
        <v>#VALUE!</v>
      </c>
      <c r="G110" s="112" t="str">
        <f>LEFT('REPORTS PER EVALUATOR'!$AF$26,1)</f>
        <v/>
      </c>
      <c r="H110" s="113" t="e">
        <f>(RIGHT('REPORTS PER EVALUATOR'!$AF$26,1))*1</f>
        <v>#VALUE!</v>
      </c>
      <c r="I110" s="112" t="str">
        <f>LEFT('REPORTS PER EVALUATOR'!$AF$38,1)</f>
        <v/>
      </c>
      <c r="J110" s="113" t="e">
        <f>(RIGHT('REPORTS PER EVALUATOR'!$AF$38,1))*1</f>
        <v>#VALUE!</v>
      </c>
      <c r="K110" s="112" t="str">
        <f>LEFT('REPORTS PER EVALUATOR'!$AF$50,1)</f>
        <v/>
      </c>
      <c r="L110" s="113" t="e">
        <f>(RIGHT('REPORTS PER EVALUATOR'!$AF$50,1))*1</f>
        <v>#VALUE!</v>
      </c>
      <c r="M110" s="112" t="str">
        <f>LEFT('REPORTS PER EVALUATOR'!$AF$62,1)</f>
        <v/>
      </c>
      <c r="N110" s="113" t="e">
        <f>(RIGHT('REPORTS PER EVALUATOR'!$AF$62,1))*1</f>
        <v>#VALUE!</v>
      </c>
      <c r="O110" s="112" t="str">
        <f>LEFT('REPORTS PER EVALUATOR'!$AF$74,1)</f>
        <v/>
      </c>
      <c r="P110" s="113" t="e">
        <f>(RIGHT('REPORTS PER EVALUATOR'!$AF$74,1))*1</f>
        <v>#VALUE!</v>
      </c>
      <c r="Q110" s="112" t="str">
        <f>LEFT('REPORTS PER EVALUATOR'!$AF$86,1)</f>
        <v/>
      </c>
      <c r="R110" s="113" t="e">
        <f>(RIGHT('REPORTS PER EVALUATOR'!$AF$86,1))*1</f>
        <v>#VALUE!</v>
      </c>
      <c r="S110" s="112" t="str">
        <f>LEFT('REPORTS PER EVALUATOR'!$AF$98,1)</f>
        <v/>
      </c>
      <c r="T110" s="113" t="e">
        <f>(RIGHT('REPORTS PER EVALUATOR'!$AF$98,1))*1</f>
        <v>#VALUE!</v>
      </c>
      <c r="U110" s="112" t="str">
        <f>LEFT('REPORTS PER EVALUATOR'!$AF$110,1)</f>
        <v/>
      </c>
      <c r="V110" s="113" t="e">
        <f>(RIGHT('REPORTS PER EVALUATOR'!$AF$110,1))*1</f>
        <v>#VALUE!</v>
      </c>
      <c r="W110" s="112" t="str">
        <f>LEFT('REPORTS PER EVALUATOR'!$AF$122,1)</f>
        <v/>
      </c>
      <c r="X110" s="113" t="e">
        <f>(RIGHT('REPORTS PER EVALUATOR'!$AF$122,1))*1</f>
        <v>#VALUE!</v>
      </c>
      <c r="Y110" s="112" t="str">
        <f>LEFT('REPORTS PER EVALUATOR'!$AF$134,1)</f>
        <v/>
      </c>
      <c r="Z110" s="114" t="e">
        <f>(RIGHT('REPORTS PER EVALUATOR'!$AF$134,1))*1</f>
        <v>#VALUE!</v>
      </c>
      <c r="AA110" s="112" t="e">
        <f>LEFT('REPORTS PER EVALUATOR'!#REF!,1)</f>
        <v>#REF!</v>
      </c>
      <c r="AB110" s="114" t="e">
        <f>(RIGHT('REPORTS PER EVALUATOR'!#REF!,1))*1</f>
        <v>#REF!</v>
      </c>
      <c r="AC110" s="112" t="e">
        <f>LEFT('REPORTS PER EVALUATOR'!#REF!,1)</f>
        <v>#REF!</v>
      </c>
      <c r="AD110" s="114" t="e">
        <f>(RIGHT('REPORTS PER EVALUATOR'!#REF!,1))*1</f>
        <v>#REF!</v>
      </c>
      <c r="AE110" s="112" t="e">
        <f>LEFT('REPORTS PER EVALUATOR'!#REF!,1)</f>
        <v>#REF!</v>
      </c>
      <c r="AF110" s="114" t="e">
        <f>(RIGHT('REPORTS PER EVALUATOR'!#REF!,1))*1</f>
        <v>#REF!</v>
      </c>
      <c r="AG110" s="112" t="e">
        <f>LEFT('REPORTS PER EVALUATOR'!#REF!,1)</f>
        <v>#REF!</v>
      </c>
      <c r="AH110" s="114" t="e">
        <f>(RIGHT('REPORTS PER EVALUATOR'!#REF!,1))*1</f>
        <v>#REF!</v>
      </c>
      <c r="AI110" s="112" t="e">
        <f>LEFT('REPORTS PER EVALUATOR'!#REF!,1)</f>
        <v>#REF!</v>
      </c>
      <c r="AJ110" s="114" t="e">
        <f>(RIGHT('REPORTS PER EVALUATOR'!#REF!,1))*1</f>
        <v>#REF!</v>
      </c>
      <c r="AK110" s="112" t="e">
        <f>LEFT('REPORTS PER EVALUATOR'!#REF!,1)</f>
        <v>#REF!</v>
      </c>
      <c r="AL110" s="114" t="e">
        <f>(RIGHT('REPORTS PER EVALUATOR'!#REF!,1))*1</f>
        <v>#REF!</v>
      </c>
      <c r="AM110" s="112" t="e">
        <f>LEFT('REPORTS PER EVALUATOR'!#REF!,1)</f>
        <v>#REF!</v>
      </c>
      <c r="AN110" s="114" t="e">
        <f>(RIGHT('REPORTS PER EVALUATOR'!#REF!,1))*1</f>
        <v>#REF!</v>
      </c>
      <c r="AO110" s="112" t="e">
        <f>LEFT('REPORTS PER EVALUATOR'!#REF!,1)</f>
        <v>#REF!</v>
      </c>
      <c r="AP110" s="114" t="e">
        <f>(RIGHT('REPORTS PER EVALUATOR'!#REF!,1))*1</f>
        <v>#REF!</v>
      </c>
      <c r="AQ110" s="112" t="e">
        <f>LEFT('REPORTS PER EVALUATOR'!#REF!,1)</f>
        <v>#REF!</v>
      </c>
      <c r="AR110" s="114" t="e">
        <f>(RIGHT('REPORTS PER EVALUATOR'!#REF!,1))*1</f>
        <v>#REF!</v>
      </c>
    </row>
    <row r="111" spans="1:44" ht="16" thickBot="1" x14ac:dyDescent="0.25">
      <c r="B111" s="19" t="str">
        <f t="shared" si="4"/>
        <v>L</v>
      </c>
      <c r="C111" s="18" t="str">
        <f t="shared" si="6"/>
        <v>M</v>
      </c>
      <c r="D111" s="18" t="s">
        <v>166</v>
      </c>
      <c r="E111" s="120" t="str">
        <f>LEFT('REPORTS PER EVALUATOR'!$AF$15,1)</f>
        <v/>
      </c>
      <c r="F111" s="121" t="e">
        <f>(RIGHT('REPORTS PER EVALUATOR'!$AF$15,1))*1</f>
        <v>#VALUE!</v>
      </c>
      <c r="G111" s="122" t="str">
        <f>LEFT('REPORTS PER EVALUATOR'!$AF$27,1)</f>
        <v/>
      </c>
      <c r="H111" s="123" t="e">
        <f>(RIGHT('REPORTS PER EVALUATOR'!$AF$27,1))*1</f>
        <v>#VALUE!</v>
      </c>
      <c r="I111" s="122" t="str">
        <f>LEFT('REPORTS PER EVALUATOR'!$AF$39,1)</f>
        <v/>
      </c>
      <c r="J111" s="123" t="e">
        <f>(RIGHT('REPORTS PER EVALUATOR'!$AF$39,1))*1</f>
        <v>#VALUE!</v>
      </c>
      <c r="K111" s="122" t="str">
        <f>LEFT('REPORTS PER EVALUATOR'!$AF$51,1)</f>
        <v/>
      </c>
      <c r="L111" s="123" t="e">
        <f>(RIGHT('REPORTS PER EVALUATOR'!$AF$51,1))*1</f>
        <v>#VALUE!</v>
      </c>
      <c r="M111" s="122" t="str">
        <f>LEFT('REPORTS PER EVALUATOR'!$AF$63,1)</f>
        <v/>
      </c>
      <c r="N111" s="123" t="e">
        <f>(RIGHT('REPORTS PER EVALUATOR'!$AF$63,1))*1</f>
        <v>#VALUE!</v>
      </c>
      <c r="O111" s="122" t="str">
        <f>LEFT('REPORTS PER EVALUATOR'!$AF$75,1)</f>
        <v/>
      </c>
      <c r="P111" s="123" t="e">
        <f>(RIGHT('REPORTS PER EVALUATOR'!$AF$75,1))*1</f>
        <v>#VALUE!</v>
      </c>
      <c r="Q111" s="122" t="str">
        <f>LEFT('REPORTS PER EVALUATOR'!$AF$87,1)</f>
        <v/>
      </c>
      <c r="R111" s="123" t="e">
        <f>(RIGHT('REPORTS PER EVALUATOR'!$AF$87,1))*1</f>
        <v>#VALUE!</v>
      </c>
      <c r="S111" s="122" t="str">
        <f>LEFT('REPORTS PER EVALUATOR'!$AF$99,1)</f>
        <v/>
      </c>
      <c r="T111" s="123" t="e">
        <f>(RIGHT('REPORTS PER EVALUATOR'!$AF$99,1))*1</f>
        <v>#VALUE!</v>
      </c>
      <c r="U111" s="122" t="str">
        <f>LEFT('REPORTS PER EVALUATOR'!$AF$111,1)</f>
        <v/>
      </c>
      <c r="V111" s="123" t="e">
        <f>(RIGHT('REPORTS PER EVALUATOR'!$AF$111,1))*1</f>
        <v>#VALUE!</v>
      </c>
      <c r="W111" s="122" t="str">
        <f>LEFT('REPORTS PER EVALUATOR'!$AF$123,1)</f>
        <v/>
      </c>
      <c r="X111" s="123" t="e">
        <f>(RIGHT('REPORTS PER EVALUATOR'!$AF$123,1))*1</f>
        <v>#VALUE!</v>
      </c>
      <c r="Y111" s="122" t="str">
        <f>LEFT('REPORTS PER EVALUATOR'!$AF$135,1)</f>
        <v/>
      </c>
      <c r="Z111" s="124" t="e">
        <f>(RIGHT('REPORTS PER EVALUATOR'!$AF$135,1))*1</f>
        <v>#VALUE!</v>
      </c>
      <c r="AA111" s="122" t="e">
        <f>LEFT('REPORTS PER EVALUATOR'!#REF!,1)</f>
        <v>#REF!</v>
      </c>
      <c r="AB111" s="124" t="e">
        <f>(RIGHT('REPORTS PER EVALUATOR'!#REF!,1))*1</f>
        <v>#REF!</v>
      </c>
      <c r="AC111" s="122" t="e">
        <f>LEFT('REPORTS PER EVALUATOR'!#REF!,1)</f>
        <v>#REF!</v>
      </c>
      <c r="AD111" s="124" t="e">
        <f>(RIGHT('REPORTS PER EVALUATOR'!#REF!,1))*1</f>
        <v>#REF!</v>
      </c>
      <c r="AE111" s="122" t="e">
        <f>LEFT('REPORTS PER EVALUATOR'!#REF!,1)</f>
        <v>#REF!</v>
      </c>
      <c r="AF111" s="124" t="e">
        <f>(RIGHT('REPORTS PER EVALUATOR'!#REF!,1))*1</f>
        <v>#REF!</v>
      </c>
      <c r="AG111" s="122" t="e">
        <f>LEFT('REPORTS PER EVALUATOR'!#REF!,1)</f>
        <v>#REF!</v>
      </c>
      <c r="AH111" s="124" t="e">
        <f>(RIGHT('REPORTS PER EVALUATOR'!#REF!,1))*1</f>
        <v>#REF!</v>
      </c>
      <c r="AI111" s="122" t="e">
        <f>LEFT('REPORTS PER EVALUATOR'!#REF!,1)</f>
        <v>#REF!</v>
      </c>
      <c r="AJ111" s="124" t="e">
        <f>(RIGHT('REPORTS PER EVALUATOR'!#REF!,1))*1</f>
        <v>#REF!</v>
      </c>
      <c r="AK111" s="122" t="e">
        <f>LEFT('REPORTS PER EVALUATOR'!#REF!,1)</f>
        <v>#REF!</v>
      </c>
      <c r="AL111" s="124" t="e">
        <f>(RIGHT('REPORTS PER EVALUATOR'!#REF!,1))*1</f>
        <v>#REF!</v>
      </c>
      <c r="AM111" s="122" t="e">
        <f>LEFT('REPORTS PER EVALUATOR'!#REF!,1)</f>
        <v>#REF!</v>
      </c>
      <c r="AN111" s="124" t="e">
        <f>(RIGHT('REPORTS PER EVALUATOR'!#REF!,1))*1</f>
        <v>#REF!</v>
      </c>
      <c r="AO111" s="122" t="e">
        <f>LEFT('REPORTS PER EVALUATOR'!#REF!,1)</f>
        <v>#REF!</v>
      </c>
      <c r="AP111" s="124" t="e">
        <f>(RIGHT('REPORTS PER EVALUATOR'!#REF!,1))*1</f>
        <v>#REF!</v>
      </c>
      <c r="AQ111" s="122" t="e">
        <f>LEFT('REPORTS PER EVALUATOR'!#REF!,1)</f>
        <v>#REF!</v>
      </c>
      <c r="AR111" s="124" t="e">
        <f>(RIGHT('REPORTS PER EVALUATOR'!#REF!,1))*1</f>
        <v>#REF!</v>
      </c>
    </row>
    <row r="112" spans="1:44" ht="16" thickTop="1" x14ac:dyDescent="0.2">
      <c r="A112" s="214" t="s">
        <v>174</v>
      </c>
      <c r="B112" s="60" t="str">
        <f t="shared" ref="B112:B132" si="7">LEFT(D112,1)</f>
        <v>A</v>
      </c>
      <c r="C112" s="68" t="str">
        <f t="shared" si="6"/>
        <v>B</v>
      </c>
      <c r="D112" s="68" t="s">
        <v>10</v>
      </c>
      <c r="E112" s="69" t="str">
        <f>LEFT('REPORTS PER EVALUATOR'!$AI$6,1)</f>
        <v>B</v>
      </c>
      <c r="F112" s="78">
        <f>(RIGHT('REPORTS PER EVALUATOR'!$AI$6,1))*1</f>
        <v>3</v>
      </c>
      <c r="G112" s="70" t="str">
        <f>LEFT('REPORTS PER EVALUATOR'!$AI$18,1)</f>
        <v>A</v>
      </c>
      <c r="H112" s="86">
        <f>(RIGHT('REPORTS PER EVALUATOR'!$AI$18,1))*1</f>
        <v>2</v>
      </c>
      <c r="I112" s="70" t="str">
        <f>LEFT('REPORTS PER EVALUATOR'!$AI$30,1)</f>
        <v>B</v>
      </c>
      <c r="J112" s="86">
        <f>(RIGHT('REPORTS PER EVALUATOR'!$AI$30,1))*1</f>
        <v>3</v>
      </c>
      <c r="K112" s="70" t="str">
        <f>LEFT('REPORTS PER EVALUATOR'!$AI$42,1)</f>
        <v>A</v>
      </c>
      <c r="L112" s="86">
        <f>(RIGHT('REPORTS PER EVALUATOR'!$AI$42,1))*1</f>
        <v>3</v>
      </c>
      <c r="M112" s="70" t="str">
        <f>LEFT('REPORTS PER EVALUATOR'!$AI$54,1)</f>
        <v>A</v>
      </c>
      <c r="N112" s="86">
        <f>(RIGHT('REPORTS PER EVALUATOR'!$AI$54,1))*1</f>
        <v>4</v>
      </c>
      <c r="O112" s="70" t="str">
        <f>LEFT('REPORTS PER EVALUATOR'!$AI$66,1)</f>
        <v>A</v>
      </c>
      <c r="P112" s="86">
        <f>(RIGHT('REPORTS PER EVALUATOR'!$AI$66,1))*1</f>
        <v>3</v>
      </c>
      <c r="Q112" s="70" t="str">
        <f>LEFT('REPORTS PER EVALUATOR'!$AI$78,1)</f>
        <v>A</v>
      </c>
      <c r="R112" s="86">
        <f>(RIGHT('REPORTS PER EVALUATOR'!$AI$78,1))*1</f>
        <v>6</v>
      </c>
      <c r="S112" s="70" t="str">
        <f>LEFT('REPORTS PER EVALUATOR'!$AI$90,1)</f>
        <v>A</v>
      </c>
      <c r="T112" s="86">
        <f>(RIGHT('REPORTS PER EVALUATOR'!$AI$90,1))*1</f>
        <v>3</v>
      </c>
      <c r="U112" s="70" t="str">
        <f>LEFT('REPORTS PER EVALUATOR'!$AI$102,1)</f>
        <v>A</v>
      </c>
      <c r="V112" s="86">
        <f>(RIGHT('REPORTS PER EVALUATOR'!$AI$102,1))*1</f>
        <v>2</v>
      </c>
      <c r="W112" s="70" t="str">
        <f>LEFT('REPORTS PER EVALUATOR'!$AI$114,1)</f>
        <v>1</v>
      </c>
      <c r="X112" s="86">
        <f>(RIGHT('REPORTS PER EVALUATOR'!$AI$114,1))*1</f>
        <v>1</v>
      </c>
      <c r="Y112" s="70" t="str">
        <f>LEFT('REPORTS PER EVALUATOR'!$AI$126,1)</f>
        <v>1</v>
      </c>
      <c r="Z112" s="98">
        <f>(RIGHT('REPORTS PER EVALUATOR'!$AI$126,1))*1</f>
        <v>1</v>
      </c>
      <c r="AA112" s="70" t="e">
        <f>LEFT('REPORTS PER EVALUATOR'!#REF!,1)</f>
        <v>#REF!</v>
      </c>
      <c r="AB112" s="98" t="e">
        <f>(RIGHT('REPORTS PER EVALUATOR'!#REF!,1))*1</f>
        <v>#REF!</v>
      </c>
      <c r="AC112" s="70" t="e">
        <f>LEFT('REPORTS PER EVALUATOR'!#REF!,1)</f>
        <v>#REF!</v>
      </c>
      <c r="AD112" s="98" t="e">
        <f>(RIGHT('REPORTS PER EVALUATOR'!#REF!,1))*1</f>
        <v>#REF!</v>
      </c>
      <c r="AE112" s="70" t="e">
        <f>LEFT('REPORTS PER EVALUATOR'!#REF!,1)</f>
        <v>#REF!</v>
      </c>
      <c r="AF112" s="98" t="e">
        <f>(RIGHT('REPORTS PER EVALUATOR'!#REF!,1))*1</f>
        <v>#REF!</v>
      </c>
      <c r="AG112" s="70" t="e">
        <f>LEFT('REPORTS PER EVALUATOR'!#REF!,1)</f>
        <v>#REF!</v>
      </c>
      <c r="AH112" s="98" t="e">
        <f>(RIGHT('REPORTS PER EVALUATOR'!#REF!,1))*1</f>
        <v>#REF!</v>
      </c>
      <c r="AI112" s="70" t="e">
        <f>LEFT('REPORTS PER EVALUATOR'!#REF!,1)</f>
        <v>#REF!</v>
      </c>
      <c r="AJ112" s="98" t="e">
        <f>(RIGHT('REPORTS PER EVALUATOR'!#REF!,1))*1</f>
        <v>#REF!</v>
      </c>
      <c r="AK112" s="70" t="e">
        <f>LEFT('REPORTS PER EVALUATOR'!#REF!,1)</f>
        <v>#REF!</v>
      </c>
      <c r="AL112" s="98" t="e">
        <f>(RIGHT('REPORTS PER EVALUATOR'!#REF!,1))*1</f>
        <v>#REF!</v>
      </c>
      <c r="AM112" s="70" t="e">
        <f>LEFT('REPORTS PER EVALUATOR'!#REF!,1)</f>
        <v>#REF!</v>
      </c>
      <c r="AN112" s="98" t="e">
        <f>(RIGHT('REPORTS PER EVALUATOR'!#REF!,1))*1</f>
        <v>#REF!</v>
      </c>
      <c r="AO112" s="70" t="e">
        <f>LEFT('REPORTS PER EVALUATOR'!#REF!,1)</f>
        <v>#REF!</v>
      </c>
      <c r="AP112" s="98" t="e">
        <f>(RIGHT('REPORTS PER EVALUATOR'!#REF!,1))*1</f>
        <v>#REF!</v>
      </c>
      <c r="AQ112" s="70" t="e">
        <f>LEFT('REPORTS PER EVALUATOR'!#REF!,1)</f>
        <v>#REF!</v>
      </c>
      <c r="AR112" s="98" t="e">
        <f>(RIGHT('REPORTS PER EVALUATOR'!#REF!,1))*1</f>
        <v>#REF!</v>
      </c>
    </row>
    <row r="113" spans="1:44" x14ac:dyDescent="0.2">
      <c r="A113" s="214"/>
      <c r="B113" s="19" t="str">
        <f t="shared" si="7"/>
        <v>A</v>
      </c>
      <c r="C113" s="18" t="str">
        <f t="shared" si="6"/>
        <v>C</v>
      </c>
      <c r="D113" s="18" t="s">
        <v>11</v>
      </c>
      <c r="E113" s="26" t="str">
        <f>LEFT('REPORTS PER EVALUATOR'!$AJ$6,1)</f>
        <v>A</v>
      </c>
      <c r="F113" s="73">
        <f>(RIGHT('REPORTS PER EVALUATOR'!$AJ$6,1))*1</f>
        <v>3</v>
      </c>
      <c r="G113" s="11" t="str">
        <f>LEFT('REPORTS PER EVALUATOR'!$AJ$18,1)</f>
        <v>A</v>
      </c>
      <c r="H113" s="81">
        <f>(RIGHT('REPORTS PER EVALUATOR'!$AJ$18,1))*1</f>
        <v>5</v>
      </c>
      <c r="I113" s="11" t="str">
        <f>LEFT('REPORTS PER EVALUATOR'!$AJ$30,1)</f>
        <v>C</v>
      </c>
      <c r="J113" s="81">
        <f>(RIGHT('REPORTS PER EVALUATOR'!$AJ$30,1))*1</f>
        <v>2</v>
      </c>
      <c r="K113" s="11" t="str">
        <f>LEFT('REPORTS PER EVALUATOR'!$AJ$42,1)</f>
        <v>A</v>
      </c>
      <c r="L113" s="81">
        <f>(RIGHT('REPORTS PER EVALUATOR'!$AJ$42,1))*1</f>
        <v>2</v>
      </c>
      <c r="M113" s="11" t="str">
        <f>LEFT('REPORTS PER EVALUATOR'!$AJ$54,1)</f>
        <v>A</v>
      </c>
      <c r="N113" s="81">
        <f>(RIGHT('REPORTS PER EVALUATOR'!$AJ$54,1))*1</f>
        <v>6</v>
      </c>
      <c r="O113" s="11" t="str">
        <f>LEFT('REPORTS PER EVALUATOR'!$AJ$66,1)</f>
        <v>A</v>
      </c>
      <c r="P113" s="81">
        <f>(RIGHT('REPORTS PER EVALUATOR'!$AJ$66,1))*1</f>
        <v>6</v>
      </c>
      <c r="Q113" s="11" t="str">
        <f>LEFT('REPORTS PER EVALUATOR'!$AJ$78,1)</f>
        <v>A</v>
      </c>
      <c r="R113" s="81">
        <f>(RIGHT('REPORTS PER EVALUATOR'!$AJ$78,1))*1</f>
        <v>6</v>
      </c>
      <c r="S113" s="11" t="str">
        <f>LEFT('REPORTS PER EVALUATOR'!$AJ$90,1)</f>
        <v>A</v>
      </c>
      <c r="T113" s="81">
        <f>(RIGHT('REPORTS PER EVALUATOR'!$AJ$90,1))*1</f>
        <v>3</v>
      </c>
      <c r="U113" s="11" t="str">
        <f>LEFT('REPORTS PER EVALUATOR'!$AJ$102,1)</f>
        <v>1</v>
      </c>
      <c r="V113" s="81">
        <f>(RIGHT('REPORTS PER EVALUATOR'!$AJ$102,1))*1</f>
        <v>1</v>
      </c>
      <c r="W113" s="11" t="str">
        <f>LEFT('REPORTS PER EVALUATOR'!$AJ$114,1)</f>
        <v>A</v>
      </c>
      <c r="X113" s="81">
        <f>(RIGHT('REPORTS PER EVALUATOR'!$AJ$114,1))*1</f>
        <v>2</v>
      </c>
      <c r="Y113" s="11" t="str">
        <f>LEFT('REPORTS PER EVALUATOR'!$AJ$126,1)</f>
        <v>A</v>
      </c>
      <c r="Z113" s="92">
        <f>(RIGHT('REPORTS PER EVALUATOR'!$AJ$126,1))*1</f>
        <v>2</v>
      </c>
      <c r="AA113" s="11" t="e">
        <f>LEFT('REPORTS PER EVALUATOR'!#REF!,1)</f>
        <v>#REF!</v>
      </c>
      <c r="AB113" s="92" t="e">
        <f>(RIGHT('REPORTS PER EVALUATOR'!#REF!,1))*1</f>
        <v>#REF!</v>
      </c>
      <c r="AC113" s="11" t="e">
        <f>LEFT('REPORTS PER EVALUATOR'!#REF!,1)</f>
        <v>#REF!</v>
      </c>
      <c r="AD113" s="92" t="e">
        <f>(RIGHT('REPORTS PER EVALUATOR'!#REF!,1))*1</f>
        <v>#REF!</v>
      </c>
      <c r="AE113" s="11" t="e">
        <f>LEFT('REPORTS PER EVALUATOR'!#REF!,1)</f>
        <v>#REF!</v>
      </c>
      <c r="AF113" s="92" t="e">
        <f>(RIGHT('REPORTS PER EVALUATOR'!#REF!,1))*1</f>
        <v>#REF!</v>
      </c>
      <c r="AG113" s="11" t="e">
        <f>LEFT('REPORTS PER EVALUATOR'!#REF!,1)</f>
        <v>#REF!</v>
      </c>
      <c r="AH113" s="92" t="e">
        <f>(RIGHT('REPORTS PER EVALUATOR'!#REF!,1))*1</f>
        <v>#REF!</v>
      </c>
      <c r="AI113" s="11" t="e">
        <f>LEFT('REPORTS PER EVALUATOR'!#REF!,1)</f>
        <v>#REF!</v>
      </c>
      <c r="AJ113" s="92" t="e">
        <f>(RIGHT('REPORTS PER EVALUATOR'!#REF!,1))*1</f>
        <v>#REF!</v>
      </c>
      <c r="AK113" s="11" t="e">
        <f>LEFT('REPORTS PER EVALUATOR'!#REF!,1)</f>
        <v>#REF!</v>
      </c>
      <c r="AL113" s="92" t="e">
        <f>(RIGHT('REPORTS PER EVALUATOR'!#REF!,1))*1</f>
        <v>#REF!</v>
      </c>
      <c r="AM113" s="11" t="e">
        <f>LEFT('REPORTS PER EVALUATOR'!#REF!,1)</f>
        <v>#REF!</v>
      </c>
      <c r="AN113" s="92" t="e">
        <f>(RIGHT('REPORTS PER EVALUATOR'!#REF!,1))*1</f>
        <v>#REF!</v>
      </c>
      <c r="AO113" s="11" t="e">
        <f>LEFT('REPORTS PER EVALUATOR'!#REF!,1)</f>
        <v>#REF!</v>
      </c>
      <c r="AP113" s="92" t="e">
        <f>(RIGHT('REPORTS PER EVALUATOR'!#REF!,1))*1</f>
        <v>#REF!</v>
      </c>
      <c r="AQ113" s="11" t="e">
        <f>LEFT('REPORTS PER EVALUATOR'!#REF!,1)</f>
        <v>#REF!</v>
      </c>
      <c r="AR113" s="92" t="e">
        <f>(RIGHT('REPORTS PER EVALUATOR'!#REF!,1))*1</f>
        <v>#REF!</v>
      </c>
    </row>
    <row r="114" spans="1:44" x14ac:dyDescent="0.2">
      <c r="A114" s="214"/>
      <c r="B114" s="19" t="str">
        <f t="shared" si="7"/>
        <v>A</v>
      </c>
      <c r="C114" s="18" t="str">
        <f t="shared" si="6"/>
        <v>D</v>
      </c>
      <c r="D114" s="18" t="s">
        <v>12</v>
      </c>
      <c r="E114" s="26" t="str">
        <f>LEFT('REPORTS PER EVALUATOR'!$AK$6,1)</f>
        <v>D</v>
      </c>
      <c r="F114" s="73">
        <f>(RIGHT('REPORTS PER EVALUATOR'!$AK$6,1))*1</f>
        <v>3</v>
      </c>
      <c r="G114" s="11" t="str">
        <f>LEFT('REPORTS PER EVALUATOR'!$AK$18,1)</f>
        <v>1</v>
      </c>
      <c r="H114" s="81">
        <f>(RIGHT('REPORTS PER EVALUATOR'!$AK$18,1))*1</f>
        <v>1</v>
      </c>
      <c r="I114" s="11" t="str">
        <f>LEFT('REPORTS PER EVALUATOR'!$AK$30,1)</f>
        <v>D</v>
      </c>
      <c r="J114" s="81">
        <f>(RIGHT('REPORTS PER EVALUATOR'!$AK$30,1))*1</f>
        <v>4</v>
      </c>
      <c r="K114" s="11" t="str">
        <f>LEFT('REPORTS PER EVALUATOR'!$AK$42,1)</f>
        <v>1</v>
      </c>
      <c r="L114" s="81">
        <f>(RIGHT('REPORTS PER EVALUATOR'!$AK$42,1))*1</f>
        <v>1</v>
      </c>
      <c r="M114" s="11" t="str">
        <f>LEFT('REPORTS PER EVALUATOR'!$AK$54,1)</f>
        <v>1</v>
      </c>
      <c r="N114" s="81">
        <f>(RIGHT('REPORTS PER EVALUATOR'!$AK$54,1))*1</f>
        <v>1</v>
      </c>
      <c r="O114" s="11" t="str">
        <f>LEFT('REPORTS PER EVALUATOR'!$AK$66,1)</f>
        <v>A</v>
      </c>
      <c r="P114" s="81">
        <f>(RIGHT('REPORTS PER EVALUATOR'!$AK$66,1))*1</f>
        <v>2</v>
      </c>
      <c r="Q114" s="11" t="str">
        <f>LEFT('REPORTS PER EVALUATOR'!$AK$78,1)</f>
        <v>A</v>
      </c>
      <c r="R114" s="81">
        <f>(RIGHT('REPORTS PER EVALUATOR'!$AK$78,1))*1</f>
        <v>3</v>
      </c>
      <c r="S114" s="11" t="str">
        <f>LEFT('REPORTS PER EVALUATOR'!$AK$90,1)</f>
        <v>1</v>
      </c>
      <c r="T114" s="81">
        <f>(RIGHT('REPORTS PER EVALUATOR'!$AK$90,1))*1</f>
        <v>1</v>
      </c>
      <c r="U114" s="11" t="str">
        <f>LEFT('REPORTS PER EVALUATOR'!$AK$102,1)</f>
        <v>D</v>
      </c>
      <c r="V114" s="81">
        <f>(RIGHT('REPORTS PER EVALUATOR'!$AK$102,1))*1</f>
        <v>2</v>
      </c>
      <c r="W114" s="11" t="str">
        <f>LEFT('REPORTS PER EVALUATOR'!$AK$114,1)</f>
        <v>D</v>
      </c>
      <c r="X114" s="81">
        <f>(RIGHT('REPORTS PER EVALUATOR'!$AK$114,1))*1</f>
        <v>2</v>
      </c>
      <c r="Y114" s="11" t="str">
        <f>LEFT('REPORTS PER EVALUATOR'!$AK$126,1)</f>
        <v>1</v>
      </c>
      <c r="Z114" s="92">
        <f>(RIGHT('REPORTS PER EVALUATOR'!$AK$126,1))*1</f>
        <v>1</v>
      </c>
      <c r="AA114" s="11" t="e">
        <f>LEFT('REPORTS PER EVALUATOR'!#REF!,1)</f>
        <v>#REF!</v>
      </c>
      <c r="AB114" s="92" t="e">
        <f>(RIGHT('REPORTS PER EVALUATOR'!#REF!,1))*1</f>
        <v>#REF!</v>
      </c>
      <c r="AC114" s="11" t="e">
        <f>LEFT('REPORTS PER EVALUATOR'!#REF!,1)</f>
        <v>#REF!</v>
      </c>
      <c r="AD114" s="92" t="e">
        <f>(RIGHT('REPORTS PER EVALUATOR'!#REF!,1))*1</f>
        <v>#REF!</v>
      </c>
      <c r="AE114" s="11" t="e">
        <f>LEFT('REPORTS PER EVALUATOR'!#REF!,1)</f>
        <v>#REF!</v>
      </c>
      <c r="AF114" s="92" t="e">
        <f>(RIGHT('REPORTS PER EVALUATOR'!#REF!,1))*1</f>
        <v>#REF!</v>
      </c>
      <c r="AG114" s="11" t="e">
        <f>LEFT('REPORTS PER EVALUATOR'!#REF!,1)</f>
        <v>#REF!</v>
      </c>
      <c r="AH114" s="92" t="e">
        <f>(RIGHT('REPORTS PER EVALUATOR'!#REF!,1))*1</f>
        <v>#REF!</v>
      </c>
      <c r="AI114" s="11" t="e">
        <f>LEFT('REPORTS PER EVALUATOR'!#REF!,1)</f>
        <v>#REF!</v>
      </c>
      <c r="AJ114" s="92" t="e">
        <f>(RIGHT('REPORTS PER EVALUATOR'!#REF!,1))*1</f>
        <v>#REF!</v>
      </c>
      <c r="AK114" s="11" t="e">
        <f>LEFT('REPORTS PER EVALUATOR'!#REF!,1)</f>
        <v>#REF!</v>
      </c>
      <c r="AL114" s="92" t="e">
        <f>(RIGHT('REPORTS PER EVALUATOR'!#REF!,1))*1</f>
        <v>#REF!</v>
      </c>
      <c r="AM114" s="11" t="e">
        <f>LEFT('REPORTS PER EVALUATOR'!#REF!,1)</f>
        <v>#REF!</v>
      </c>
      <c r="AN114" s="92" t="e">
        <f>(RIGHT('REPORTS PER EVALUATOR'!#REF!,1))*1</f>
        <v>#REF!</v>
      </c>
      <c r="AO114" s="11" t="e">
        <f>LEFT('REPORTS PER EVALUATOR'!#REF!,1)</f>
        <v>#REF!</v>
      </c>
      <c r="AP114" s="92" t="e">
        <f>(RIGHT('REPORTS PER EVALUATOR'!#REF!,1))*1</f>
        <v>#REF!</v>
      </c>
      <c r="AQ114" s="11" t="e">
        <f>LEFT('REPORTS PER EVALUATOR'!#REF!,1)</f>
        <v>#REF!</v>
      </c>
      <c r="AR114" s="92" t="e">
        <f>(RIGHT('REPORTS PER EVALUATOR'!#REF!,1))*1</f>
        <v>#REF!</v>
      </c>
    </row>
    <row r="115" spans="1:44" x14ac:dyDescent="0.2">
      <c r="A115" s="214"/>
      <c r="B115" s="19" t="str">
        <f t="shared" si="7"/>
        <v>A</v>
      </c>
      <c r="C115" s="18" t="str">
        <f t="shared" si="6"/>
        <v>E</v>
      </c>
      <c r="D115" s="18" t="s">
        <v>13</v>
      </c>
      <c r="E115" s="26" t="str">
        <f>LEFT('REPORTS PER EVALUATOR'!$AL$6,1)</f>
        <v>E</v>
      </c>
      <c r="F115" s="73">
        <f>(RIGHT('REPORTS PER EVALUATOR'!$AL$6,1))*1</f>
        <v>2</v>
      </c>
      <c r="G115" s="11" t="str">
        <f>LEFT('REPORTS PER EVALUATOR'!$AL$18,1)</f>
        <v>1</v>
      </c>
      <c r="H115" s="81">
        <f>(RIGHT('REPORTS PER EVALUATOR'!$AL$18,1))*1</f>
        <v>1</v>
      </c>
      <c r="I115" s="11" t="str">
        <f>LEFT('REPORTS PER EVALUATOR'!$AL$30,1)</f>
        <v>A</v>
      </c>
      <c r="J115" s="81">
        <f>(RIGHT('REPORTS PER EVALUATOR'!$AL$30,1))*1</f>
        <v>2</v>
      </c>
      <c r="K115" s="11" t="str">
        <f>LEFT('REPORTS PER EVALUATOR'!$AL$42,1)</f>
        <v>A</v>
      </c>
      <c r="L115" s="81">
        <f>(RIGHT('REPORTS PER EVALUATOR'!$AL$42,1))*1</f>
        <v>2</v>
      </c>
      <c r="M115" s="11" t="str">
        <f>LEFT('REPORTS PER EVALUATOR'!$AL$54,1)</f>
        <v>A</v>
      </c>
      <c r="N115" s="81">
        <f>(RIGHT('REPORTS PER EVALUATOR'!$AL$54,1))*1</f>
        <v>2</v>
      </c>
      <c r="O115" s="11" t="str">
        <f>LEFT('REPORTS PER EVALUATOR'!$AL$66,1)</f>
        <v>1</v>
      </c>
      <c r="P115" s="81">
        <f>(RIGHT('REPORTS PER EVALUATOR'!$AL$66,1))*1</f>
        <v>1</v>
      </c>
      <c r="Q115" s="11" t="str">
        <f>LEFT('REPORTS PER EVALUATOR'!$AL$78,1)</f>
        <v>A</v>
      </c>
      <c r="R115" s="81">
        <f>(RIGHT('REPORTS PER EVALUATOR'!$AL$78,1))*1</f>
        <v>2</v>
      </c>
      <c r="S115" s="11" t="str">
        <f>LEFT('REPORTS PER EVALUATOR'!$AL$90,1)</f>
        <v>A</v>
      </c>
      <c r="T115" s="81">
        <f>(RIGHT('REPORTS PER EVALUATOR'!$AL$90,1))*1</f>
        <v>2</v>
      </c>
      <c r="U115" s="11" t="str">
        <f>LEFT('REPORTS PER EVALUATOR'!$AL$102,1)</f>
        <v>1</v>
      </c>
      <c r="V115" s="81">
        <f>(RIGHT('REPORTS PER EVALUATOR'!$AL$102,1))*1</f>
        <v>1</v>
      </c>
      <c r="W115" s="11" t="str">
        <f>LEFT('REPORTS PER EVALUATOR'!$AL$114,1)</f>
        <v>A</v>
      </c>
      <c r="X115" s="81">
        <f>(RIGHT('REPORTS PER EVALUATOR'!$AL$114,1))*1</f>
        <v>2</v>
      </c>
      <c r="Y115" s="11" t="str">
        <f>LEFT('REPORTS PER EVALUATOR'!$AL$126,1)</f>
        <v>1</v>
      </c>
      <c r="Z115" s="92">
        <f>(RIGHT('REPORTS PER EVALUATOR'!$AL$126,1))*1</f>
        <v>1</v>
      </c>
      <c r="AA115" s="11" t="e">
        <f>LEFT('REPORTS PER EVALUATOR'!#REF!,1)</f>
        <v>#REF!</v>
      </c>
      <c r="AB115" s="92" t="e">
        <f>(RIGHT('REPORTS PER EVALUATOR'!#REF!,1))*1</f>
        <v>#REF!</v>
      </c>
      <c r="AC115" s="11" t="e">
        <f>LEFT('REPORTS PER EVALUATOR'!#REF!,1)</f>
        <v>#REF!</v>
      </c>
      <c r="AD115" s="92" t="e">
        <f>(RIGHT('REPORTS PER EVALUATOR'!#REF!,1))*1</f>
        <v>#REF!</v>
      </c>
      <c r="AE115" s="11" t="e">
        <f>LEFT('REPORTS PER EVALUATOR'!#REF!,1)</f>
        <v>#REF!</v>
      </c>
      <c r="AF115" s="92" t="e">
        <f>(RIGHT('REPORTS PER EVALUATOR'!#REF!,1))*1</f>
        <v>#REF!</v>
      </c>
      <c r="AG115" s="11" t="e">
        <f>LEFT('REPORTS PER EVALUATOR'!#REF!,1)</f>
        <v>#REF!</v>
      </c>
      <c r="AH115" s="92" t="e">
        <f>(RIGHT('REPORTS PER EVALUATOR'!#REF!,1))*1</f>
        <v>#REF!</v>
      </c>
      <c r="AI115" s="11" t="e">
        <f>LEFT('REPORTS PER EVALUATOR'!#REF!,1)</f>
        <v>#REF!</v>
      </c>
      <c r="AJ115" s="92" t="e">
        <f>(RIGHT('REPORTS PER EVALUATOR'!#REF!,1))*1</f>
        <v>#REF!</v>
      </c>
      <c r="AK115" s="11" t="e">
        <f>LEFT('REPORTS PER EVALUATOR'!#REF!,1)</f>
        <v>#REF!</v>
      </c>
      <c r="AL115" s="92" t="e">
        <f>(RIGHT('REPORTS PER EVALUATOR'!#REF!,1))*1</f>
        <v>#REF!</v>
      </c>
      <c r="AM115" s="11" t="e">
        <f>LEFT('REPORTS PER EVALUATOR'!#REF!,1)</f>
        <v>#REF!</v>
      </c>
      <c r="AN115" s="92" t="e">
        <f>(RIGHT('REPORTS PER EVALUATOR'!#REF!,1))*1</f>
        <v>#REF!</v>
      </c>
      <c r="AO115" s="11" t="e">
        <f>LEFT('REPORTS PER EVALUATOR'!#REF!,1)</f>
        <v>#REF!</v>
      </c>
      <c r="AP115" s="92" t="e">
        <f>(RIGHT('REPORTS PER EVALUATOR'!#REF!,1))*1</f>
        <v>#REF!</v>
      </c>
      <c r="AQ115" s="11" t="e">
        <f>LEFT('REPORTS PER EVALUATOR'!#REF!,1)</f>
        <v>#REF!</v>
      </c>
      <c r="AR115" s="92" t="e">
        <f>(RIGHT('REPORTS PER EVALUATOR'!#REF!,1))*1</f>
        <v>#REF!</v>
      </c>
    </row>
    <row r="116" spans="1:44" x14ac:dyDescent="0.2">
      <c r="A116" s="214"/>
      <c r="B116" s="19" t="str">
        <f t="shared" si="7"/>
        <v>A</v>
      </c>
      <c r="C116" s="18" t="str">
        <f t="shared" si="6"/>
        <v>F</v>
      </c>
      <c r="D116" s="18" t="s">
        <v>14</v>
      </c>
      <c r="E116" s="26" t="str">
        <f>LEFT('REPORTS PER EVALUATOR'!$AM$6,1)</f>
        <v>F</v>
      </c>
      <c r="F116" s="73">
        <f>(RIGHT('REPORTS PER EVALUATOR'!$AM$6,1))*1</f>
        <v>3</v>
      </c>
      <c r="G116" s="11" t="str">
        <f>LEFT('REPORTS PER EVALUATOR'!$AM$18,1)</f>
        <v>A</v>
      </c>
      <c r="H116" s="81">
        <f>(RIGHT('REPORTS PER EVALUATOR'!$AM$18,1))*1</f>
        <v>2</v>
      </c>
      <c r="I116" s="11" t="str">
        <f>LEFT('REPORTS PER EVALUATOR'!$AM$30,1)</f>
        <v>F</v>
      </c>
      <c r="J116" s="81">
        <f>(RIGHT('REPORTS PER EVALUATOR'!$AM$30,1))*1</f>
        <v>4</v>
      </c>
      <c r="K116" s="11" t="str">
        <f>LEFT('REPORTS PER EVALUATOR'!$AM$42,1)</f>
        <v>1</v>
      </c>
      <c r="L116" s="81">
        <f>(RIGHT('REPORTS PER EVALUATOR'!$AM$42,1))*1</f>
        <v>1</v>
      </c>
      <c r="M116" s="11" t="str">
        <f>LEFT('REPORTS PER EVALUATOR'!$AM$54,1)</f>
        <v>1</v>
      </c>
      <c r="N116" s="81">
        <f>(RIGHT('REPORTS PER EVALUATOR'!$AM$54,1))*1</f>
        <v>1</v>
      </c>
      <c r="O116" s="11" t="str">
        <f>LEFT('REPORTS PER EVALUATOR'!$AM$66,1)</f>
        <v>1</v>
      </c>
      <c r="P116" s="81">
        <f>(RIGHT('REPORTS PER EVALUATOR'!$AM$66,1))*1</f>
        <v>1</v>
      </c>
      <c r="Q116" s="11" t="str">
        <f>LEFT('REPORTS PER EVALUATOR'!$AM$78,1)</f>
        <v>A</v>
      </c>
      <c r="R116" s="81">
        <f>(RIGHT('REPORTS PER EVALUATOR'!$AM$78,1))*1</f>
        <v>2</v>
      </c>
      <c r="S116" s="11" t="str">
        <f>LEFT('REPORTS PER EVALUATOR'!$AM$90,1)</f>
        <v>A</v>
      </c>
      <c r="T116" s="81">
        <f>(RIGHT('REPORTS PER EVALUATOR'!$AM$90,1))*1</f>
        <v>3</v>
      </c>
      <c r="U116" s="11" t="str">
        <f>LEFT('REPORTS PER EVALUATOR'!$AM$102,1)</f>
        <v>A</v>
      </c>
      <c r="V116" s="81">
        <f>(RIGHT('REPORTS PER EVALUATOR'!$AM$102,1))*1</f>
        <v>2</v>
      </c>
      <c r="W116" s="11" t="str">
        <f>LEFT('REPORTS PER EVALUATOR'!$AM$114,1)</f>
        <v>1</v>
      </c>
      <c r="X116" s="81">
        <f>(RIGHT('REPORTS PER EVALUATOR'!$AM$114,1))*1</f>
        <v>1</v>
      </c>
      <c r="Y116" s="11" t="str">
        <f>LEFT('REPORTS PER EVALUATOR'!$AM$126,1)</f>
        <v>A</v>
      </c>
      <c r="Z116" s="92">
        <f>(RIGHT('REPORTS PER EVALUATOR'!$AM$126,1))*1</f>
        <v>2</v>
      </c>
      <c r="AA116" s="11" t="e">
        <f>LEFT('REPORTS PER EVALUATOR'!#REF!,1)</f>
        <v>#REF!</v>
      </c>
      <c r="AB116" s="92" t="e">
        <f>(RIGHT('REPORTS PER EVALUATOR'!#REF!,1))*1</f>
        <v>#REF!</v>
      </c>
      <c r="AC116" s="11" t="e">
        <f>LEFT('REPORTS PER EVALUATOR'!#REF!,1)</f>
        <v>#REF!</v>
      </c>
      <c r="AD116" s="92" t="e">
        <f>(RIGHT('REPORTS PER EVALUATOR'!#REF!,1))*1</f>
        <v>#REF!</v>
      </c>
      <c r="AE116" s="11" t="e">
        <f>LEFT('REPORTS PER EVALUATOR'!#REF!,1)</f>
        <v>#REF!</v>
      </c>
      <c r="AF116" s="92" t="e">
        <f>(RIGHT('REPORTS PER EVALUATOR'!#REF!,1))*1</f>
        <v>#REF!</v>
      </c>
      <c r="AG116" s="11" t="e">
        <f>LEFT('REPORTS PER EVALUATOR'!#REF!,1)</f>
        <v>#REF!</v>
      </c>
      <c r="AH116" s="92" t="e">
        <f>(RIGHT('REPORTS PER EVALUATOR'!#REF!,1))*1</f>
        <v>#REF!</v>
      </c>
      <c r="AI116" s="11" t="e">
        <f>LEFT('REPORTS PER EVALUATOR'!#REF!,1)</f>
        <v>#REF!</v>
      </c>
      <c r="AJ116" s="92" t="e">
        <f>(RIGHT('REPORTS PER EVALUATOR'!#REF!,1))*1</f>
        <v>#REF!</v>
      </c>
      <c r="AK116" s="11" t="e">
        <f>LEFT('REPORTS PER EVALUATOR'!#REF!,1)</f>
        <v>#REF!</v>
      </c>
      <c r="AL116" s="92" t="e">
        <f>(RIGHT('REPORTS PER EVALUATOR'!#REF!,1))*1</f>
        <v>#REF!</v>
      </c>
      <c r="AM116" s="11" t="e">
        <f>LEFT('REPORTS PER EVALUATOR'!#REF!,1)</f>
        <v>#REF!</v>
      </c>
      <c r="AN116" s="92" t="e">
        <f>(RIGHT('REPORTS PER EVALUATOR'!#REF!,1))*1</f>
        <v>#REF!</v>
      </c>
      <c r="AO116" s="11" t="e">
        <f>LEFT('REPORTS PER EVALUATOR'!#REF!,1)</f>
        <v>#REF!</v>
      </c>
      <c r="AP116" s="92" t="e">
        <f>(RIGHT('REPORTS PER EVALUATOR'!#REF!,1))*1</f>
        <v>#REF!</v>
      </c>
      <c r="AQ116" s="11" t="e">
        <f>LEFT('REPORTS PER EVALUATOR'!#REF!,1)</f>
        <v>#REF!</v>
      </c>
      <c r="AR116" s="92" t="e">
        <f>(RIGHT('REPORTS PER EVALUATOR'!#REF!,1))*1</f>
        <v>#REF!</v>
      </c>
    </row>
    <row r="117" spans="1:44" x14ac:dyDescent="0.2">
      <c r="A117" s="214"/>
      <c r="B117" s="19" t="str">
        <f t="shared" si="7"/>
        <v>A</v>
      </c>
      <c r="C117" s="18" t="str">
        <f t="shared" si="6"/>
        <v>G</v>
      </c>
      <c r="D117" s="18" t="s">
        <v>15</v>
      </c>
      <c r="E117" s="26" t="str">
        <f>LEFT('REPORTS PER EVALUATOR'!$AN$6,1)</f>
        <v>A</v>
      </c>
      <c r="F117" s="73">
        <f>(RIGHT('REPORTS PER EVALUATOR'!$AN$6,1))*1</f>
        <v>5</v>
      </c>
      <c r="G117" s="11" t="str">
        <f>LEFT('REPORTS PER EVALUATOR'!$AN$18,1)</f>
        <v>A</v>
      </c>
      <c r="H117" s="81">
        <f>(RIGHT('REPORTS PER EVALUATOR'!$AN$18,1))*1</f>
        <v>4</v>
      </c>
      <c r="I117" s="11" t="str">
        <f>LEFT('REPORTS PER EVALUATOR'!$AN$30,1)</f>
        <v>A</v>
      </c>
      <c r="J117" s="81">
        <f>(RIGHT('REPORTS PER EVALUATOR'!$AN$30,1))*1</f>
        <v>2</v>
      </c>
      <c r="K117" s="11" t="str">
        <f>LEFT('REPORTS PER EVALUATOR'!$AN$42,1)</f>
        <v>1</v>
      </c>
      <c r="L117" s="81">
        <f>(RIGHT('REPORTS PER EVALUATOR'!$AN$42,1))*1</f>
        <v>1</v>
      </c>
      <c r="M117" s="11" t="str">
        <f>LEFT('REPORTS PER EVALUATOR'!$AN$54,1)</f>
        <v>A</v>
      </c>
      <c r="N117" s="81">
        <f>(RIGHT('REPORTS PER EVALUATOR'!$AN$54,1))*1</f>
        <v>3</v>
      </c>
      <c r="O117" s="11" t="str">
        <f>LEFT('REPORTS PER EVALUATOR'!$AN$66,1)</f>
        <v>A</v>
      </c>
      <c r="P117" s="81">
        <f>(RIGHT('REPORTS PER EVALUATOR'!$AN$66,1))*1</f>
        <v>5</v>
      </c>
      <c r="Q117" s="11" t="str">
        <f>LEFT('REPORTS PER EVALUATOR'!$AN$78,1)</f>
        <v>A</v>
      </c>
      <c r="R117" s="81">
        <f>(RIGHT('REPORTS PER EVALUATOR'!$AN$78,1))*1</f>
        <v>6</v>
      </c>
      <c r="S117" s="11" t="str">
        <f>LEFT('REPORTS PER EVALUATOR'!$AN$90,1)</f>
        <v>A</v>
      </c>
      <c r="T117" s="81">
        <f>(RIGHT('REPORTS PER EVALUATOR'!$AN$90,1))*1</f>
        <v>6</v>
      </c>
      <c r="U117" s="11" t="str">
        <f>LEFT('REPORTS PER EVALUATOR'!$AN$102,1)</f>
        <v>A</v>
      </c>
      <c r="V117" s="81">
        <f>(RIGHT('REPORTS PER EVALUATOR'!$AN$102,1))*1</f>
        <v>4</v>
      </c>
      <c r="W117" s="11" t="str">
        <f>LEFT('REPORTS PER EVALUATOR'!$AN$114,1)</f>
        <v>1</v>
      </c>
      <c r="X117" s="81">
        <f>(RIGHT('REPORTS PER EVALUATOR'!$AN$114,1))*1</f>
        <v>1</v>
      </c>
      <c r="Y117" s="11" t="str">
        <f>LEFT('REPORTS PER EVALUATOR'!$AN$126,1)</f>
        <v>A</v>
      </c>
      <c r="Z117" s="92">
        <f>(RIGHT('REPORTS PER EVALUATOR'!$AN$126,1))*1</f>
        <v>4</v>
      </c>
      <c r="AA117" s="11" t="e">
        <f>LEFT('REPORTS PER EVALUATOR'!#REF!,1)</f>
        <v>#REF!</v>
      </c>
      <c r="AB117" s="92" t="e">
        <f>(RIGHT('REPORTS PER EVALUATOR'!#REF!,1))*1</f>
        <v>#REF!</v>
      </c>
      <c r="AC117" s="11" t="e">
        <f>LEFT('REPORTS PER EVALUATOR'!#REF!,1)</f>
        <v>#REF!</v>
      </c>
      <c r="AD117" s="92" t="e">
        <f>(RIGHT('REPORTS PER EVALUATOR'!#REF!,1))*1</f>
        <v>#REF!</v>
      </c>
      <c r="AE117" s="11" t="e">
        <f>LEFT('REPORTS PER EVALUATOR'!#REF!,1)</f>
        <v>#REF!</v>
      </c>
      <c r="AF117" s="92" t="e">
        <f>(RIGHT('REPORTS PER EVALUATOR'!#REF!,1))*1</f>
        <v>#REF!</v>
      </c>
      <c r="AG117" s="11" t="e">
        <f>LEFT('REPORTS PER EVALUATOR'!#REF!,1)</f>
        <v>#REF!</v>
      </c>
      <c r="AH117" s="92" t="e">
        <f>(RIGHT('REPORTS PER EVALUATOR'!#REF!,1))*1</f>
        <v>#REF!</v>
      </c>
      <c r="AI117" s="11" t="e">
        <f>LEFT('REPORTS PER EVALUATOR'!#REF!,1)</f>
        <v>#REF!</v>
      </c>
      <c r="AJ117" s="92" t="e">
        <f>(RIGHT('REPORTS PER EVALUATOR'!#REF!,1))*1</f>
        <v>#REF!</v>
      </c>
      <c r="AK117" s="11" t="e">
        <f>LEFT('REPORTS PER EVALUATOR'!#REF!,1)</f>
        <v>#REF!</v>
      </c>
      <c r="AL117" s="92" t="e">
        <f>(RIGHT('REPORTS PER EVALUATOR'!#REF!,1))*1</f>
        <v>#REF!</v>
      </c>
      <c r="AM117" s="11" t="e">
        <f>LEFT('REPORTS PER EVALUATOR'!#REF!,1)</f>
        <v>#REF!</v>
      </c>
      <c r="AN117" s="92" t="e">
        <f>(RIGHT('REPORTS PER EVALUATOR'!#REF!,1))*1</f>
        <v>#REF!</v>
      </c>
      <c r="AO117" s="11" t="e">
        <f>LEFT('REPORTS PER EVALUATOR'!#REF!,1)</f>
        <v>#REF!</v>
      </c>
      <c r="AP117" s="92" t="e">
        <f>(RIGHT('REPORTS PER EVALUATOR'!#REF!,1))*1</f>
        <v>#REF!</v>
      </c>
      <c r="AQ117" s="11" t="e">
        <f>LEFT('REPORTS PER EVALUATOR'!#REF!,1)</f>
        <v>#REF!</v>
      </c>
      <c r="AR117" s="92" t="e">
        <f>(RIGHT('REPORTS PER EVALUATOR'!#REF!,1))*1</f>
        <v>#REF!</v>
      </c>
    </row>
    <row r="118" spans="1:44" x14ac:dyDescent="0.2">
      <c r="A118" s="214"/>
      <c r="B118" s="19" t="str">
        <f t="shared" si="7"/>
        <v>A</v>
      </c>
      <c r="C118" s="18" t="str">
        <f t="shared" si="6"/>
        <v>H</v>
      </c>
      <c r="D118" s="18" t="s">
        <v>16</v>
      </c>
      <c r="E118" s="26" t="str">
        <f>LEFT('REPORTS PER EVALUATOR'!$AO$6,1)</f>
        <v>H</v>
      </c>
      <c r="F118" s="73">
        <f>(RIGHT('REPORTS PER EVALUATOR'!$AO$6,1))*1</f>
        <v>2</v>
      </c>
      <c r="G118" s="11" t="str">
        <f>LEFT('REPORTS PER EVALUATOR'!$AO$18,1)</f>
        <v>A</v>
      </c>
      <c r="H118" s="81">
        <f>(RIGHT('REPORTS PER EVALUATOR'!$AO$18,1))*1</f>
        <v>3</v>
      </c>
      <c r="I118" s="11" t="str">
        <f>LEFT('REPORTS PER EVALUATOR'!$AO$30,1)</f>
        <v>A</v>
      </c>
      <c r="J118" s="81">
        <f>(RIGHT('REPORTS PER EVALUATOR'!$AO$30,1))*1</f>
        <v>2</v>
      </c>
      <c r="K118" s="11" t="str">
        <f>LEFT('REPORTS PER EVALUATOR'!$AO$42,1)</f>
        <v>A</v>
      </c>
      <c r="L118" s="81">
        <f>(RIGHT('REPORTS PER EVALUATOR'!$AO$42,1))*1</f>
        <v>4</v>
      </c>
      <c r="M118" s="11" t="str">
        <f>LEFT('REPORTS PER EVALUATOR'!$AO$54,1)</f>
        <v>A</v>
      </c>
      <c r="N118" s="81">
        <f>(RIGHT('REPORTS PER EVALUATOR'!$AO$54,1))*1</f>
        <v>2</v>
      </c>
      <c r="O118" s="11" t="str">
        <f>LEFT('REPORTS PER EVALUATOR'!$AO$66,1)</f>
        <v>A</v>
      </c>
      <c r="P118" s="81">
        <f>(RIGHT('REPORTS PER EVALUATOR'!$AO$66,1))*1</f>
        <v>3</v>
      </c>
      <c r="Q118" s="11" t="str">
        <f>LEFT('REPORTS PER EVALUATOR'!$AO$78,1)</f>
        <v>A</v>
      </c>
      <c r="R118" s="81">
        <f>(RIGHT('REPORTS PER EVALUATOR'!$AO$78,1))*1</f>
        <v>4</v>
      </c>
      <c r="S118" s="11" t="str">
        <f>LEFT('REPORTS PER EVALUATOR'!$AO$90,1)</f>
        <v>1</v>
      </c>
      <c r="T118" s="81">
        <f>(RIGHT('REPORTS PER EVALUATOR'!$AO$90,1))*1</f>
        <v>1</v>
      </c>
      <c r="U118" s="11" t="str">
        <f>LEFT('REPORTS PER EVALUATOR'!$AO$102,1)</f>
        <v>1</v>
      </c>
      <c r="V118" s="81">
        <f>(RIGHT('REPORTS PER EVALUATOR'!$AO$102,1))*1</f>
        <v>1</v>
      </c>
      <c r="W118" s="11" t="str">
        <f>LEFT('REPORTS PER EVALUATOR'!$AO$114,1)</f>
        <v>H</v>
      </c>
      <c r="X118" s="81">
        <f>(RIGHT('REPORTS PER EVALUATOR'!$AO$114,1))*1</f>
        <v>2</v>
      </c>
      <c r="Y118" s="11" t="str">
        <f>LEFT('REPORTS PER EVALUATOR'!$AO$126,1)</f>
        <v>A</v>
      </c>
      <c r="Z118" s="92">
        <f>(RIGHT('REPORTS PER EVALUATOR'!$AO$126,1))*1</f>
        <v>2</v>
      </c>
      <c r="AA118" s="11" t="e">
        <f>LEFT('REPORTS PER EVALUATOR'!#REF!,1)</f>
        <v>#REF!</v>
      </c>
      <c r="AB118" s="92" t="e">
        <f>(RIGHT('REPORTS PER EVALUATOR'!#REF!,1))*1</f>
        <v>#REF!</v>
      </c>
      <c r="AC118" s="11" t="e">
        <f>LEFT('REPORTS PER EVALUATOR'!#REF!,1)</f>
        <v>#REF!</v>
      </c>
      <c r="AD118" s="92" t="e">
        <f>(RIGHT('REPORTS PER EVALUATOR'!#REF!,1))*1</f>
        <v>#REF!</v>
      </c>
      <c r="AE118" s="11" t="e">
        <f>LEFT('REPORTS PER EVALUATOR'!#REF!,1)</f>
        <v>#REF!</v>
      </c>
      <c r="AF118" s="92" t="e">
        <f>(RIGHT('REPORTS PER EVALUATOR'!#REF!,1))*1</f>
        <v>#REF!</v>
      </c>
      <c r="AG118" s="11" t="e">
        <f>LEFT('REPORTS PER EVALUATOR'!#REF!,1)</f>
        <v>#REF!</v>
      </c>
      <c r="AH118" s="92" t="e">
        <f>(RIGHT('REPORTS PER EVALUATOR'!#REF!,1))*1</f>
        <v>#REF!</v>
      </c>
      <c r="AI118" s="11" t="e">
        <f>LEFT('REPORTS PER EVALUATOR'!#REF!,1)</f>
        <v>#REF!</v>
      </c>
      <c r="AJ118" s="92" t="e">
        <f>(RIGHT('REPORTS PER EVALUATOR'!#REF!,1))*1</f>
        <v>#REF!</v>
      </c>
      <c r="AK118" s="11" t="e">
        <f>LEFT('REPORTS PER EVALUATOR'!#REF!,1)</f>
        <v>#REF!</v>
      </c>
      <c r="AL118" s="92" t="e">
        <f>(RIGHT('REPORTS PER EVALUATOR'!#REF!,1))*1</f>
        <v>#REF!</v>
      </c>
      <c r="AM118" s="11" t="e">
        <f>LEFT('REPORTS PER EVALUATOR'!#REF!,1)</f>
        <v>#REF!</v>
      </c>
      <c r="AN118" s="92" t="e">
        <f>(RIGHT('REPORTS PER EVALUATOR'!#REF!,1))*1</f>
        <v>#REF!</v>
      </c>
      <c r="AO118" s="11" t="e">
        <f>LEFT('REPORTS PER EVALUATOR'!#REF!,1)</f>
        <v>#REF!</v>
      </c>
      <c r="AP118" s="92" t="e">
        <f>(RIGHT('REPORTS PER EVALUATOR'!#REF!,1))*1</f>
        <v>#REF!</v>
      </c>
      <c r="AQ118" s="11" t="e">
        <f>LEFT('REPORTS PER EVALUATOR'!#REF!,1)</f>
        <v>#REF!</v>
      </c>
      <c r="AR118" s="92" t="e">
        <f>(RIGHT('REPORTS PER EVALUATOR'!#REF!,1))*1</f>
        <v>#REF!</v>
      </c>
    </row>
    <row r="119" spans="1:44" x14ac:dyDescent="0.2">
      <c r="A119" s="214"/>
      <c r="B119" s="19" t="str">
        <f t="shared" si="7"/>
        <v>A</v>
      </c>
      <c r="C119" s="18" t="str">
        <f t="shared" si="6"/>
        <v>I</v>
      </c>
      <c r="D119" s="18" t="s">
        <v>17</v>
      </c>
      <c r="E119" s="26" t="str">
        <f>LEFT('REPORTS PER EVALUATOR'!$AP$6,1)</f>
        <v>I</v>
      </c>
      <c r="F119" s="73">
        <f>(RIGHT('REPORTS PER EVALUATOR'!$AP$6,1))*1</f>
        <v>2</v>
      </c>
      <c r="G119" s="11" t="str">
        <f>LEFT('REPORTS PER EVALUATOR'!$AP$18,1)</f>
        <v>A</v>
      </c>
      <c r="H119" s="81">
        <f>(RIGHT('REPORTS PER EVALUATOR'!$AP$18,1))*1</f>
        <v>5</v>
      </c>
      <c r="I119" s="11" t="str">
        <f>LEFT('REPORTS PER EVALUATOR'!$AP$30,1)</f>
        <v>I</v>
      </c>
      <c r="J119" s="81">
        <f>(RIGHT('REPORTS PER EVALUATOR'!$AP$30,1))*1</f>
        <v>3</v>
      </c>
      <c r="K119" s="11" t="str">
        <f>LEFT('REPORTS PER EVALUATOR'!$AP$42,1)</f>
        <v>1</v>
      </c>
      <c r="L119" s="81">
        <f>(RIGHT('REPORTS PER EVALUATOR'!$AP$42,1))*1</f>
        <v>1</v>
      </c>
      <c r="M119" s="11" t="str">
        <f>LEFT('REPORTS PER EVALUATOR'!$AP$54,1)</f>
        <v>A</v>
      </c>
      <c r="N119" s="81">
        <f>(RIGHT('REPORTS PER EVALUATOR'!$AP$54,1))*1</f>
        <v>3</v>
      </c>
      <c r="O119" s="11" t="str">
        <f>LEFT('REPORTS PER EVALUATOR'!$AP$66,1)</f>
        <v>A</v>
      </c>
      <c r="P119" s="81">
        <f>(RIGHT('REPORTS PER EVALUATOR'!$AP$66,1))*1</f>
        <v>3</v>
      </c>
      <c r="Q119" s="11" t="str">
        <f>LEFT('REPORTS PER EVALUATOR'!$AP$78,1)</f>
        <v>A</v>
      </c>
      <c r="R119" s="81">
        <f>(RIGHT('REPORTS PER EVALUATOR'!$AP$78,1))*1</f>
        <v>5</v>
      </c>
      <c r="S119" s="11" t="str">
        <f>LEFT('REPORTS PER EVALUATOR'!$AP$90,1)</f>
        <v>A</v>
      </c>
      <c r="T119" s="81">
        <f>(RIGHT('REPORTS PER EVALUATOR'!$AP$90,1))*1</f>
        <v>3</v>
      </c>
      <c r="U119" s="11" t="str">
        <f>LEFT('REPORTS PER EVALUATOR'!$AP$102,1)</f>
        <v>A</v>
      </c>
      <c r="V119" s="81">
        <f>(RIGHT('REPORTS PER EVALUATOR'!$AP$102,1))*1</f>
        <v>3</v>
      </c>
      <c r="W119" s="11" t="str">
        <f>LEFT('REPORTS PER EVALUATOR'!$AP$114,1)</f>
        <v>I</v>
      </c>
      <c r="X119" s="81">
        <f>(RIGHT('REPORTS PER EVALUATOR'!$AP$114,1))*1</f>
        <v>2</v>
      </c>
      <c r="Y119" s="11" t="str">
        <f>LEFT('REPORTS PER EVALUATOR'!$AP$126,1)</f>
        <v>A</v>
      </c>
      <c r="Z119" s="92">
        <f>(RIGHT('REPORTS PER EVALUATOR'!$AP$126,1))*1</f>
        <v>2</v>
      </c>
      <c r="AA119" s="11" t="e">
        <f>LEFT('REPORTS PER EVALUATOR'!#REF!,1)</f>
        <v>#REF!</v>
      </c>
      <c r="AB119" s="92" t="e">
        <f>(RIGHT('REPORTS PER EVALUATOR'!#REF!,1))*1</f>
        <v>#REF!</v>
      </c>
      <c r="AC119" s="11" t="e">
        <f>LEFT('REPORTS PER EVALUATOR'!#REF!,1)</f>
        <v>#REF!</v>
      </c>
      <c r="AD119" s="92" t="e">
        <f>(RIGHT('REPORTS PER EVALUATOR'!#REF!,1))*1</f>
        <v>#REF!</v>
      </c>
      <c r="AE119" s="11" t="e">
        <f>LEFT('REPORTS PER EVALUATOR'!#REF!,1)</f>
        <v>#REF!</v>
      </c>
      <c r="AF119" s="92" t="e">
        <f>(RIGHT('REPORTS PER EVALUATOR'!#REF!,1))*1</f>
        <v>#REF!</v>
      </c>
      <c r="AG119" s="11" t="e">
        <f>LEFT('REPORTS PER EVALUATOR'!#REF!,1)</f>
        <v>#REF!</v>
      </c>
      <c r="AH119" s="92" t="e">
        <f>(RIGHT('REPORTS PER EVALUATOR'!#REF!,1))*1</f>
        <v>#REF!</v>
      </c>
      <c r="AI119" s="11" t="e">
        <f>LEFT('REPORTS PER EVALUATOR'!#REF!,1)</f>
        <v>#REF!</v>
      </c>
      <c r="AJ119" s="92" t="e">
        <f>(RIGHT('REPORTS PER EVALUATOR'!#REF!,1))*1</f>
        <v>#REF!</v>
      </c>
      <c r="AK119" s="11" t="e">
        <f>LEFT('REPORTS PER EVALUATOR'!#REF!,1)</f>
        <v>#REF!</v>
      </c>
      <c r="AL119" s="92" t="e">
        <f>(RIGHT('REPORTS PER EVALUATOR'!#REF!,1))*1</f>
        <v>#REF!</v>
      </c>
      <c r="AM119" s="11" t="e">
        <f>LEFT('REPORTS PER EVALUATOR'!#REF!,1)</f>
        <v>#REF!</v>
      </c>
      <c r="AN119" s="92" t="e">
        <f>(RIGHT('REPORTS PER EVALUATOR'!#REF!,1))*1</f>
        <v>#REF!</v>
      </c>
      <c r="AO119" s="11" t="e">
        <f>LEFT('REPORTS PER EVALUATOR'!#REF!,1)</f>
        <v>#REF!</v>
      </c>
      <c r="AP119" s="92" t="e">
        <f>(RIGHT('REPORTS PER EVALUATOR'!#REF!,1))*1</f>
        <v>#REF!</v>
      </c>
      <c r="AQ119" s="11" t="e">
        <f>LEFT('REPORTS PER EVALUATOR'!#REF!,1)</f>
        <v>#REF!</v>
      </c>
      <c r="AR119" s="92" t="e">
        <f>(RIGHT('REPORTS PER EVALUATOR'!#REF!,1))*1</f>
        <v>#REF!</v>
      </c>
    </row>
    <row r="120" spans="1:44" x14ac:dyDescent="0.2">
      <c r="A120" s="214"/>
      <c r="B120" s="19" t="str">
        <f t="shared" si="7"/>
        <v>A</v>
      </c>
      <c r="C120" s="18" t="str">
        <f t="shared" si="6"/>
        <v>L</v>
      </c>
      <c r="D120" s="18" t="s">
        <v>18</v>
      </c>
      <c r="E120" s="26" t="str">
        <f>LEFT('REPORTS PER EVALUATOR'!$AQ$6,1)</f>
        <v>A</v>
      </c>
      <c r="F120" s="73">
        <f>(RIGHT('REPORTS PER EVALUATOR'!$AQ$6,1))*1</f>
        <v>3</v>
      </c>
      <c r="G120" s="11" t="str">
        <f>LEFT('REPORTS PER EVALUATOR'!$AQ$18,1)</f>
        <v>A</v>
      </c>
      <c r="H120" s="81">
        <f>(RIGHT('REPORTS PER EVALUATOR'!$AQ$18,1))*1</f>
        <v>5</v>
      </c>
      <c r="I120" s="11" t="str">
        <f>LEFT('REPORTS PER EVALUATOR'!$AQ$30,1)</f>
        <v>A</v>
      </c>
      <c r="J120" s="81">
        <f>(RIGHT('REPORTS PER EVALUATOR'!$AQ$30,1))*1</f>
        <v>2</v>
      </c>
      <c r="K120" s="11" t="str">
        <f>LEFT('REPORTS PER EVALUATOR'!$AQ$42,1)</f>
        <v>A</v>
      </c>
      <c r="L120" s="81">
        <f>(RIGHT('REPORTS PER EVALUATOR'!$AQ$42,1))*1</f>
        <v>5</v>
      </c>
      <c r="M120" s="11" t="str">
        <f>LEFT('REPORTS PER EVALUATOR'!$AQ$54,1)</f>
        <v>A</v>
      </c>
      <c r="N120" s="81">
        <f>(RIGHT('REPORTS PER EVALUATOR'!$AQ$54,1))*1</f>
        <v>3</v>
      </c>
      <c r="O120" s="11" t="str">
        <f>LEFT('REPORTS PER EVALUATOR'!$AQ$66,1)</f>
        <v>A</v>
      </c>
      <c r="P120" s="81">
        <f>(RIGHT('REPORTS PER EVALUATOR'!$AQ$66,1))*1</f>
        <v>3</v>
      </c>
      <c r="Q120" s="11" t="str">
        <f>LEFT('REPORTS PER EVALUATOR'!$AQ$78,1)</f>
        <v>A</v>
      </c>
      <c r="R120" s="81">
        <f>(RIGHT('REPORTS PER EVALUATOR'!$AQ$78,1))*1</f>
        <v>5</v>
      </c>
      <c r="S120" s="11" t="str">
        <f>LEFT('REPORTS PER EVALUATOR'!$AQ$90,1)</f>
        <v>1</v>
      </c>
      <c r="T120" s="81">
        <f>(RIGHT('REPORTS PER EVALUATOR'!$AQ$90,1))*1</f>
        <v>1</v>
      </c>
      <c r="U120" s="11" t="str">
        <f>LEFT('REPORTS PER EVALUATOR'!$AQ$102,1)</f>
        <v>1</v>
      </c>
      <c r="V120" s="81">
        <f>(RIGHT('REPORTS PER EVALUATOR'!$AQ$102,1))*1</f>
        <v>1</v>
      </c>
      <c r="W120" s="11" t="str">
        <f>LEFT('REPORTS PER EVALUATOR'!$AQ$114,1)</f>
        <v>1</v>
      </c>
      <c r="X120" s="81">
        <f>(RIGHT('REPORTS PER EVALUATOR'!$AQ$114,1))*1</f>
        <v>1</v>
      </c>
      <c r="Y120" s="11" t="str">
        <f>LEFT('REPORTS PER EVALUATOR'!$AQ$126,1)</f>
        <v>A</v>
      </c>
      <c r="Z120" s="92">
        <f>(RIGHT('REPORTS PER EVALUATOR'!$AQ$126,1))*1</f>
        <v>3</v>
      </c>
      <c r="AA120" s="11" t="e">
        <f>LEFT('REPORTS PER EVALUATOR'!#REF!,1)</f>
        <v>#REF!</v>
      </c>
      <c r="AB120" s="92" t="e">
        <f>(RIGHT('REPORTS PER EVALUATOR'!#REF!,1))*1</f>
        <v>#REF!</v>
      </c>
      <c r="AC120" s="11" t="e">
        <f>LEFT('REPORTS PER EVALUATOR'!#REF!,1)</f>
        <v>#REF!</v>
      </c>
      <c r="AD120" s="92" t="e">
        <f>(RIGHT('REPORTS PER EVALUATOR'!#REF!,1))*1</f>
        <v>#REF!</v>
      </c>
      <c r="AE120" s="11" t="e">
        <f>LEFT('REPORTS PER EVALUATOR'!#REF!,1)</f>
        <v>#REF!</v>
      </c>
      <c r="AF120" s="92" t="e">
        <f>(RIGHT('REPORTS PER EVALUATOR'!#REF!,1))*1</f>
        <v>#REF!</v>
      </c>
      <c r="AG120" s="11" t="e">
        <f>LEFT('REPORTS PER EVALUATOR'!#REF!,1)</f>
        <v>#REF!</v>
      </c>
      <c r="AH120" s="92" t="e">
        <f>(RIGHT('REPORTS PER EVALUATOR'!#REF!,1))*1</f>
        <v>#REF!</v>
      </c>
      <c r="AI120" s="11" t="e">
        <f>LEFT('REPORTS PER EVALUATOR'!#REF!,1)</f>
        <v>#REF!</v>
      </c>
      <c r="AJ120" s="92" t="e">
        <f>(RIGHT('REPORTS PER EVALUATOR'!#REF!,1))*1</f>
        <v>#REF!</v>
      </c>
      <c r="AK120" s="11" t="e">
        <f>LEFT('REPORTS PER EVALUATOR'!#REF!,1)</f>
        <v>#REF!</v>
      </c>
      <c r="AL120" s="92" t="e">
        <f>(RIGHT('REPORTS PER EVALUATOR'!#REF!,1))*1</f>
        <v>#REF!</v>
      </c>
      <c r="AM120" s="11" t="e">
        <f>LEFT('REPORTS PER EVALUATOR'!#REF!,1)</f>
        <v>#REF!</v>
      </c>
      <c r="AN120" s="92" t="e">
        <f>(RIGHT('REPORTS PER EVALUATOR'!#REF!,1))*1</f>
        <v>#REF!</v>
      </c>
      <c r="AO120" s="11" t="e">
        <f>LEFT('REPORTS PER EVALUATOR'!#REF!,1)</f>
        <v>#REF!</v>
      </c>
      <c r="AP120" s="92" t="e">
        <f>(RIGHT('REPORTS PER EVALUATOR'!#REF!,1))*1</f>
        <v>#REF!</v>
      </c>
      <c r="AQ120" s="11" t="e">
        <f>LEFT('REPORTS PER EVALUATOR'!#REF!,1)</f>
        <v>#REF!</v>
      </c>
      <c r="AR120" s="92" t="e">
        <f>(RIGHT('REPORTS PER EVALUATOR'!#REF!,1))*1</f>
        <v>#REF!</v>
      </c>
    </row>
    <row r="121" spans="1:44" x14ac:dyDescent="0.2">
      <c r="A121" s="214"/>
      <c r="B121" s="19" t="str">
        <f t="shared" si="7"/>
        <v>A</v>
      </c>
      <c r="C121" s="18" t="str">
        <f t="shared" si="6"/>
        <v>M</v>
      </c>
      <c r="D121" s="18" t="s">
        <v>157</v>
      </c>
      <c r="E121" s="26" t="str">
        <f>LEFT('REPORTS PER EVALUATOR'!$AR$6,1)</f>
        <v/>
      </c>
      <c r="F121" s="73" t="e">
        <f>(RIGHT('REPORTS PER EVALUATOR'!$AR$6,1))*1</f>
        <v>#VALUE!</v>
      </c>
      <c r="G121" s="11" t="str">
        <f>LEFT('REPORTS PER EVALUATOR'!$AR$18,1)</f>
        <v/>
      </c>
      <c r="H121" s="81" t="e">
        <f>(RIGHT('REPORTS PER EVALUATOR'!$AR$18,1))*1</f>
        <v>#VALUE!</v>
      </c>
      <c r="I121" s="11" t="str">
        <f>LEFT('REPORTS PER EVALUATOR'!$AR$30,1)</f>
        <v/>
      </c>
      <c r="J121" s="81" t="e">
        <f>(RIGHT('REPORTS PER EVALUATOR'!$AR$30,1))*1</f>
        <v>#VALUE!</v>
      </c>
      <c r="K121" s="11" t="str">
        <f>LEFT('REPORTS PER EVALUATOR'!$AR$42,1)</f>
        <v/>
      </c>
      <c r="L121" s="81" t="e">
        <f>(RIGHT('REPORTS PER EVALUATOR'!$AR$42,1))*1</f>
        <v>#VALUE!</v>
      </c>
      <c r="M121" s="11" t="str">
        <f>LEFT('REPORTS PER EVALUATOR'!$AR$54,1)</f>
        <v/>
      </c>
      <c r="N121" s="81" t="e">
        <f>(RIGHT('REPORTS PER EVALUATOR'!$AR$54,1))*1</f>
        <v>#VALUE!</v>
      </c>
      <c r="O121" s="11" t="str">
        <f>LEFT('REPORTS PER EVALUATOR'!$AR$66,1)</f>
        <v/>
      </c>
      <c r="P121" s="81" t="e">
        <f>(RIGHT('REPORTS PER EVALUATOR'!$AR$66,1))*1</f>
        <v>#VALUE!</v>
      </c>
      <c r="Q121" s="11" t="str">
        <f>LEFT('REPORTS PER EVALUATOR'!$AR$78,1)</f>
        <v/>
      </c>
      <c r="R121" s="81" t="e">
        <f>(RIGHT('REPORTS PER EVALUATOR'!$AR$78,1))*1</f>
        <v>#VALUE!</v>
      </c>
      <c r="S121" s="11" t="str">
        <f>LEFT('REPORTS PER EVALUATOR'!$AR$90,1)</f>
        <v/>
      </c>
      <c r="T121" s="81" t="e">
        <f>(RIGHT('REPORTS PER EVALUATOR'!$AR$90,1))*1</f>
        <v>#VALUE!</v>
      </c>
      <c r="U121" s="11" t="str">
        <f>LEFT('REPORTS PER EVALUATOR'!$AR$102,1)</f>
        <v/>
      </c>
      <c r="V121" s="81" t="e">
        <f>(RIGHT('REPORTS PER EVALUATOR'!$AR$102,1))*1</f>
        <v>#VALUE!</v>
      </c>
      <c r="W121" s="11" t="str">
        <f>LEFT('REPORTS PER EVALUATOR'!$AR$114,1)</f>
        <v/>
      </c>
      <c r="X121" s="81" t="e">
        <f>(RIGHT('REPORTS PER EVALUATOR'!$AR$114,1))*1</f>
        <v>#VALUE!</v>
      </c>
      <c r="Y121" s="11" t="str">
        <f>LEFT('REPORTS PER EVALUATOR'!$AR$126,1)</f>
        <v/>
      </c>
      <c r="Z121" s="92" t="e">
        <f>(RIGHT('REPORTS PER EVALUATOR'!$AR$126,1))*1</f>
        <v>#VALUE!</v>
      </c>
      <c r="AA121" s="11" t="e">
        <f>LEFT('REPORTS PER EVALUATOR'!#REF!,1)</f>
        <v>#REF!</v>
      </c>
      <c r="AB121" s="92" t="e">
        <f>(RIGHT('REPORTS PER EVALUATOR'!#REF!,1))*1</f>
        <v>#REF!</v>
      </c>
      <c r="AC121" s="11" t="e">
        <f>LEFT('REPORTS PER EVALUATOR'!#REF!,1)</f>
        <v>#REF!</v>
      </c>
      <c r="AD121" s="92" t="e">
        <f>(RIGHT('REPORTS PER EVALUATOR'!#REF!,1))*1</f>
        <v>#REF!</v>
      </c>
      <c r="AE121" s="11" t="e">
        <f>LEFT('REPORTS PER EVALUATOR'!#REF!,1)</f>
        <v>#REF!</v>
      </c>
      <c r="AF121" s="92" t="e">
        <f>(RIGHT('REPORTS PER EVALUATOR'!#REF!,1))*1</f>
        <v>#REF!</v>
      </c>
      <c r="AG121" s="11" t="e">
        <f>LEFT('REPORTS PER EVALUATOR'!#REF!,1)</f>
        <v>#REF!</v>
      </c>
      <c r="AH121" s="92" t="e">
        <f>(RIGHT('REPORTS PER EVALUATOR'!#REF!,1))*1</f>
        <v>#REF!</v>
      </c>
      <c r="AI121" s="11" t="e">
        <f>LEFT('REPORTS PER EVALUATOR'!#REF!,1)</f>
        <v>#REF!</v>
      </c>
      <c r="AJ121" s="92" t="e">
        <f>(RIGHT('REPORTS PER EVALUATOR'!#REF!,1))*1</f>
        <v>#REF!</v>
      </c>
      <c r="AK121" s="11" t="e">
        <f>LEFT('REPORTS PER EVALUATOR'!#REF!,1)</f>
        <v>#REF!</v>
      </c>
      <c r="AL121" s="92" t="e">
        <f>(RIGHT('REPORTS PER EVALUATOR'!#REF!,1))*1</f>
        <v>#REF!</v>
      </c>
      <c r="AM121" s="11" t="e">
        <f>LEFT('REPORTS PER EVALUATOR'!#REF!,1)</f>
        <v>#REF!</v>
      </c>
      <c r="AN121" s="92" t="e">
        <f>(RIGHT('REPORTS PER EVALUATOR'!#REF!,1))*1</f>
        <v>#REF!</v>
      </c>
      <c r="AO121" s="11" t="e">
        <f>LEFT('REPORTS PER EVALUATOR'!#REF!,1)</f>
        <v>#REF!</v>
      </c>
      <c r="AP121" s="92" t="e">
        <f>(RIGHT('REPORTS PER EVALUATOR'!#REF!,1))*1</f>
        <v>#REF!</v>
      </c>
      <c r="AQ121" s="11" t="e">
        <f>LEFT('REPORTS PER EVALUATOR'!#REF!,1)</f>
        <v>#REF!</v>
      </c>
      <c r="AR121" s="92" t="e">
        <f>(RIGHT('REPORTS PER EVALUATOR'!#REF!,1))*1</f>
        <v>#REF!</v>
      </c>
    </row>
    <row r="122" spans="1:44" x14ac:dyDescent="0.2">
      <c r="A122" s="214"/>
      <c r="B122" s="19" t="str">
        <f t="shared" si="7"/>
        <v>B</v>
      </c>
      <c r="C122" s="18" t="str">
        <f t="shared" si="6"/>
        <v>C</v>
      </c>
      <c r="D122" s="18" t="s">
        <v>20</v>
      </c>
      <c r="E122" s="56" t="str">
        <f>LEFT('REPORTS PER EVALUATOR'!$AJ$7,1)</f>
        <v>B</v>
      </c>
      <c r="F122" s="72">
        <f>(RIGHT('REPORTS PER EVALUATOR'!$AJ$7,1))*1</f>
        <v>3</v>
      </c>
      <c r="G122" s="57" t="str">
        <f>LEFT('REPORTS PER EVALUATOR'!$AJ$19,1)</f>
        <v>B</v>
      </c>
      <c r="H122" s="80">
        <f>(RIGHT('REPORTS PER EVALUATOR'!$AJ$19,1))*1</f>
        <v>4</v>
      </c>
      <c r="I122" s="57" t="str">
        <f>LEFT('REPORTS PER EVALUATOR'!$AJ$31,1)</f>
        <v>B</v>
      </c>
      <c r="J122" s="80">
        <f>(RIGHT('REPORTS PER EVALUATOR'!$AJ$31,1))*1</f>
        <v>2</v>
      </c>
      <c r="K122" s="57" t="str">
        <f>LEFT('REPORTS PER EVALUATOR'!$AJ$43,1)</f>
        <v>C</v>
      </c>
      <c r="L122" s="80">
        <f>(RIGHT('REPORTS PER EVALUATOR'!$AJ$43,1))*1</f>
        <v>2</v>
      </c>
      <c r="M122" s="57" t="str">
        <f>LEFT('REPORTS PER EVALUATOR'!$AJ$55,1)</f>
        <v>B</v>
      </c>
      <c r="N122" s="80">
        <f>(RIGHT('REPORTS PER EVALUATOR'!$AJ$55,1))*1</f>
        <v>4</v>
      </c>
      <c r="O122" s="57" t="str">
        <f>LEFT('REPORTS PER EVALUATOR'!$AJ$67,1)</f>
        <v>B</v>
      </c>
      <c r="P122" s="80">
        <f>(RIGHT('REPORTS PER EVALUATOR'!$AJ$67,1))*1</f>
        <v>6</v>
      </c>
      <c r="Q122" s="57" t="str">
        <f>LEFT('REPORTS PER EVALUATOR'!$AJ$79,1)</f>
        <v>B</v>
      </c>
      <c r="R122" s="80">
        <f>(RIGHT('REPORTS PER EVALUATOR'!$AJ$79,1))*1</f>
        <v>2</v>
      </c>
      <c r="S122" s="57" t="str">
        <f>LEFT('REPORTS PER EVALUATOR'!$AJ$91,1)</f>
        <v>1</v>
      </c>
      <c r="T122" s="80">
        <f>(RIGHT('REPORTS PER EVALUATOR'!$AJ$91,1))*1</f>
        <v>1</v>
      </c>
      <c r="U122" s="57" t="str">
        <f>LEFT('REPORTS PER EVALUATOR'!$AJ$103,1)</f>
        <v>C</v>
      </c>
      <c r="V122" s="80">
        <f>(RIGHT('REPORTS PER EVALUATOR'!$AJ$103,1))*1</f>
        <v>2</v>
      </c>
      <c r="W122" s="57" t="str">
        <f>LEFT('REPORTS PER EVALUATOR'!$AJ$115,1)</f>
        <v>B</v>
      </c>
      <c r="X122" s="80">
        <f>(RIGHT('REPORTS PER EVALUATOR'!$AJ$115,1))*1</f>
        <v>2</v>
      </c>
      <c r="Y122" s="57" t="str">
        <f>LEFT('REPORTS PER EVALUATOR'!$AJ$127,1)</f>
        <v>B</v>
      </c>
      <c r="Z122" s="93">
        <f>(RIGHT('REPORTS PER EVALUATOR'!$AJ$127,1))*1</f>
        <v>2</v>
      </c>
      <c r="AA122" s="57" t="e">
        <f>LEFT('REPORTS PER EVALUATOR'!#REF!,1)</f>
        <v>#REF!</v>
      </c>
      <c r="AB122" s="93" t="e">
        <f>(RIGHT('REPORTS PER EVALUATOR'!#REF!,1))*1</f>
        <v>#REF!</v>
      </c>
      <c r="AC122" s="57" t="e">
        <f>LEFT('REPORTS PER EVALUATOR'!#REF!,1)</f>
        <v>#REF!</v>
      </c>
      <c r="AD122" s="93" t="e">
        <f>(RIGHT('REPORTS PER EVALUATOR'!#REF!,1))*1</f>
        <v>#REF!</v>
      </c>
      <c r="AE122" s="57" t="e">
        <f>LEFT('REPORTS PER EVALUATOR'!#REF!,1)</f>
        <v>#REF!</v>
      </c>
      <c r="AF122" s="93" t="e">
        <f>(RIGHT('REPORTS PER EVALUATOR'!#REF!,1))*1</f>
        <v>#REF!</v>
      </c>
      <c r="AG122" s="57" t="e">
        <f>LEFT('REPORTS PER EVALUATOR'!#REF!,1)</f>
        <v>#REF!</v>
      </c>
      <c r="AH122" s="93" t="e">
        <f>(RIGHT('REPORTS PER EVALUATOR'!#REF!,1))*1</f>
        <v>#REF!</v>
      </c>
      <c r="AI122" s="57" t="e">
        <f>LEFT('REPORTS PER EVALUATOR'!#REF!,1)</f>
        <v>#REF!</v>
      </c>
      <c r="AJ122" s="93" t="e">
        <f>(RIGHT('REPORTS PER EVALUATOR'!#REF!,1))*1</f>
        <v>#REF!</v>
      </c>
      <c r="AK122" s="57" t="e">
        <f>LEFT('REPORTS PER EVALUATOR'!#REF!,1)</f>
        <v>#REF!</v>
      </c>
      <c r="AL122" s="93" t="e">
        <f>(RIGHT('REPORTS PER EVALUATOR'!#REF!,1))*1</f>
        <v>#REF!</v>
      </c>
      <c r="AM122" s="57" t="e">
        <f>LEFT('REPORTS PER EVALUATOR'!#REF!,1)</f>
        <v>#REF!</v>
      </c>
      <c r="AN122" s="93" t="e">
        <f>(RIGHT('REPORTS PER EVALUATOR'!#REF!,1))*1</f>
        <v>#REF!</v>
      </c>
      <c r="AO122" s="57" t="e">
        <f>LEFT('REPORTS PER EVALUATOR'!#REF!,1)</f>
        <v>#REF!</v>
      </c>
      <c r="AP122" s="93" t="e">
        <f>(RIGHT('REPORTS PER EVALUATOR'!#REF!,1))*1</f>
        <v>#REF!</v>
      </c>
      <c r="AQ122" s="57" t="e">
        <f>LEFT('REPORTS PER EVALUATOR'!#REF!,1)</f>
        <v>#REF!</v>
      </c>
      <c r="AR122" s="93" t="e">
        <f>(RIGHT('REPORTS PER EVALUATOR'!#REF!,1))*1</f>
        <v>#REF!</v>
      </c>
    </row>
    <row r="123" spans="1:44" x14ac:dyDescent="0.2">
      <c r="A123" s="214"/>
      <c r="B123" s="19" t="str">
        <f t="shared" si="7"/>
        <v>B</v>
      </c>
      <c r="C123" s="18" t="str">
        <f t="shared" si="6"/>
        <v>D</v>
      </c>
      <c r="D123" s="18" t="s">
        <v>21</v>
      </c>
      <c r="E123" s="26" t="str">
        <f>LEFT('REPORTS PER EVALUATOR'!$AK$7,1)</f>
        <v>D</v>
      </c>
      <c r="F123" s="73">
        <f>(RIGHT('REPORTS PER EVALUATOR'!$AK$7,1))*1</f>
        <v>2</v>
      </c>
      <c r="G123" s="11" t="str">
        <f>LEFT('REPORTS PER EVALUATOR'!$AK$19,1)</f>
        <v>D</v>
      </c>
      <c r="H123" s="81">
        <f>(RIGHT('REPORTS PER EVALUATOR'!$AK$19,1))*1</f>
        <v>2</v>
      </c>
      <c r="I123" s="11" t="str">
        <f>LEFT('REPORTS PER EVALUATOR'!$AK$31,1)</f>
        <v>D</v>
      </c>
      <c r="J123" s="81">
        <f>(RIGHT('REPORTS PER EVALUATOR'!$AK$31,1))*1</f>
        <v>2</v>
      </c>
      <c r="K123" s="11" t="str">
        <f>LEFT('REPORTS PER EVALUATOR'!$AK$43,1)</f>
        <v>D</v>
      </c>
      <c r="L123" s="81">
        <f>(RIGHT('REPORTS PER EVALUATOR'!$AK$43,1))*1</f>
        <v>3</v>
      </c>
      <c r="M123" s="11" t="str">
        <f>LEFT('REPORTS PER EVALUATOR'!$AK$55,1)</f>
        <v>D</v>
      </c>
      <c r="N123" s="81">
        <f>(RIGHT('REPORTS PER EVALUATOR'!$AK$55,1))*1</f>
        <v>3</v>
      </c>
      <c r="O123" s="11" t="str">
        <f>LEFT('REPORTS PER EVALUATOR'!$AK$67,1)</f>
        <v>D</v>
      </c>
      <c r="P123" s="81">
        <f>(RIGHT('REPORTS PER EVALUATOR'!$AK$67,1))*1</f>
        <v>2</v>
      </c>
      <c r="Q123" s="11" t="str">
        <f>LEFT('REPORTS PER EVALUATOR'!$AK$79,1)</f>
        <v>D</v>
      </c>
      <c r="R123" s="81">
        <f>(RIGHT('REPORTS PER EVALUATOR'!$AK$79,1))*1</f>
        <v>3</v>
      </c>
      <c r="S123" s="11" t="str">
        <f>LEFT('REPORTS PER EVALUATOR'!$AK$91,1)</f>
        <v>D</v>
      </c>
      <c r="T123" s="81">
        <f>(RIGHT('REPORTS PER EVALUATOR'!$AK$91,1))*1</f>
        <v>3</v>
      </c>
      <c r="U123" s="11" t="str">
        <f>LEFT('REPORTS PER EVALUATOR'!$AK$103,1)</f>
        <v>D</v>
      </c>
      <c r="V123" s="81">
        <f>(RIGHT('REPORTS PER EVALUATOR'!$AK$103,1))*1</f>
        <v>3</v>
      </c>
      <c r="W123" s="11" t="str">
        <f>LEFT('REPORTS PER EVALUATOR'!$AK$115,1)</f>
        <v>D</v>
      </c>
      <c r="X123" s="81">
        <f>(RIGHT('REPORTS PER EVALUATOR'!$AK$115,1))*1</f>
        <v>2</v>
      </c>
      <c r="Y123" s="11" t="str">
        <f>LEFT('REPORTS PER EVALUATOR'!$AK$127,1)</f>
        <v>1</v>
      </c>
      <c r="Z123" s="92">
        <f>(RIGHT('REPORTS PER EVALUATOR'!$AK$127,1))*1</f>
        <v>1</v>
      </c>
      <c r="AA123" s="11" t="e">
        <f>LEFT('REPORTS PER EVALUATOR'!#REF!,1)</f>
        <v>#REF!</v>
      </c>
      <c r="AB123" s="92" t="e">
        <f>(RIGHT('REPORTS PER EVALUATOR'!#REF!,1))*1</f>
        <v>#REF!</v>
      </c>
      <c r="AC123" s="11" t="e">
        <f>LEFT('REPORTS PER EVALUATOR'!#REF!,1)</f>
        <v>#REF!</v>
      </c>
      <c r="AD123" s="92" t="e">
        <f>(RIGHT('REPORTS PER EVALUATOR'!#REF!,1))*1</f>
        <v>#REF!</v>
      </c>
      <c r="AE123" s="11" t="e">
        <f>LEFT('REPORTS PER EVALUATOR'!#REF!,1)</f>
        <v>#REF!</v>
      </c>
      <c r="AF123" s="92" t="e">
        <f>(RIGHT('REPORTS PER EVALUATOR'!#REF!,1))*1</f>
        <v>#REF!</v>
      </c>
      <c r="AG123" s="11" t="e">
        <f>LEFT('REPORTS PER EVALUATOR'!#REF!,1)</f>
        <v>#REF!</v>
      </c>
      <c r="AH123" s="92" t="e">
        <f>(RIGHT('REPORTS PER EVALUATOR'!#REF!,1))*1</f>
        <v>#REF!</v>
      </c>
      <c r="AI123" s="11" t="e">
        <f>LEFT('REPORTS PER EVALUATOR'!#REF!,1)</f>
        <v>#REF!</v>
      </c>
      <c r="AJ123" s="92" t="e">
        <f>(RIGHT('REPORTS PER EVALUATOR'!#REF!,1))*1</f>
        <v>#REF!</v>
      </c>
      <c r="AK123" s="11" t="e">
        <f>LEFT('REPORTS PER EVALUATOR'!#REF!,1)</f>
        <v>#REF!</v>
      </c>
      <c r="AL123" s="92" t="e">
        <f>(RIGHT('REPORTS PER EVALUATOR'!#REF!,1))*1</f>
        <v>#REF!</v>
      </c>
      <c r="AM123" s="11" t="e">
        <f>LEFT('REPORTS PER EVALUATOR'!#REF!,1)</f>
        <v>#REF!</v>
      </c>
      <c r="AN123" s="92" t="e">
        <f>(RIGHT('REPORTS PER EVALUATOR'!#REF!,1))*1</f>
        <v>#REF!</v>
      </c>
      <c r="AO123" s="11" t="e">
        <f>LEFT('REPORTS PER EVALUATOR'!#REF!,1)</f>
        <v>#REF!</v>
      </c>
      <c r="AP123" s="92" t="e">
        <f>(RIGHT('REPORTS PER EVALUATOR'!#REF!,1))*1</f>
        <v>#REF!</v>
      </c>
      <c r="AQ123" s="11" t="e">
        <f>LEFT('REPORTS PER EVALUATOR'!#REF!,1)</f>
        <v>#REF!</v>
      </c>
      <c r="AR123" s="92" t="e">
        <f>(RIGHT('REPORTS PER EVALUATOR'!#REF!,1))*1</f>
        <v>#REF!</v>
      </c>
    </row>
    <row r="124" spans="1:44" x14ac:dyDescent="0.2">
      <c r="A124" s="214"/>
      <c r="B124" s="19" t="str">
        <f t="shared" si="7"/>
        <v>B</v>
      </c>
      <c r="C124" s="18" t="str">
        <f t="shared" si="6"/>
        <v>E</v>
      </c>
      <c r="D124" s="18" t="s">
        <v>22</v>
      </c>
      <c r="E124" s="26" t="str">
        <f>LEFT('REPORTS PER EVALUATOR'!$AL$7,1)</f>
        <v>1</v>
      </c>
      <c r="F124" s="73">
        <f>(RIGHT('REPORTS PER EVALUATOR'!$AL$7,1))*1</f>
        <v>1</v>
      </c>
      <c r="G124" s="11" t="str">
        <f>LEFT('REPORTS PER EVALUATOR'!$AL$19,1)</f>
        <v>E</v>
      </c>
      <c r="H124" s="81">
        <f>(RIGHT('REPORTS PER EVALUATOR'!$AL$19,1))*1</f>
        <v>2</v>
      </c>
      <c r="I124" s="11" t="str">
        <f>LEFT('REPORTS PER EVALUATOR'!$AL$31,1)</f>
        <v>B</v>
      </c>
      <c r="J124" s="81">
        <f>(RIGHT('REPORTS PER EVALUATOR'!$AL$31,1))*1</f>
        <v>4</v>
      </c>
      <c r="K124" s="11" t="str">
        <f>LEFT('REPORTS PER EVALUATOR'!$AL$43,1)</f>
        <v>E</v>
      </c>
      <c r="L124" s="81">
        <f>(RIGHT('REPORTS PER EVALUATOR'!$AL$43,1))*1</f>
        <v>2</v>
      </c>
      <c r="M124" s="11" t="str">
        <f>LEFT('REPORTS PER EVALUATOR'!$AL$55,1)</f>
        <v>E</v>
      </c>
      <c r="N124" s="81">
        <f>(RIGHT('REPORTS PER EVALUATOR'!$AL$55,1))*1</f>
        <v>3</v>
      </c>
      <c r="O124" s="11" t="str">
        <f>LEFT('REPORTS PER EVALUATOR'!$AL$67,1)</f>
        <v>E</v>
      </c>
      <c r="P124" s="81">
        <f>(RIGHT('REPORTS PER EVALUATOR'!$AL$67,1))*1</f>
        <v>4</v>
      </c>
      <c r="Q124" s="11" t="str">
        <f>LEFT('REPORTS PER EVALUATOR'!$AL$79,1)</f>
        <v>E</v>
      </c>
      <c r="R124" s="81">
        <f>(RIGHT('REPORTS PER EVALUATOR'!$AL$79,1))*1</f>
        <v>5</v>
      </c>
      <c r="S124" s="11" t="str">
        <f>LEFT('REPORTS PER EVALUATOR'!$AL$91,1)</f>
        <v>E</v>
      </c>
      <c r="T124" s="81">
        <f>(RIGHT('REPORTS PER EVALUATOR'!$AL$91,1))*1</f>
        <v>2</v>
      </c>
      <c r="U124" s="11" t="str">
        <f>LEFT('REPORTS PER EVALUATOR'!$AL$103,1)</f>
        <v>E</v>
      </c>
      <c r="V124" s="81">
        <f>(RIGHT('REPORTS PER EVALUATOR'!$AL$103,1))*1</f>
        <v>2</v>
      </c>
      <c r="W124" s="11" t="str">
        <f>LEFT('REPORTS PER EVALUATOR'!$AL$115,1)</f>
        <v>B</v>
      </c>
      <c r="X124" s="81">
        <f>(RIGHT('REPORTS PER EVALUATOR'!$AL$115,1))*1</f>
        <v>2</v>
      </c>
      <c r="Y124" s="11" t="str">
        <f>LEFT('REPORTS PER EVALUATOR'!$AL$127,1)</f>
        <v>1</v>
      </c>
      <c r="Z124" s="92">
        <f>(RIGHT('REPORTS PER EVALUATOR'!$AL$127,1))*1</f>
        <v>1</v>
      </c>
      <c r="AA124" s="11" t="e">
        <f>LEFT('REPORTS PER EVALUATOR'!#REF!,1)</f>
        <v>#REF!</v>
      </c>
      <c r="AB124" s="92" t="e">
        <f>(RIGHT('REPORTS PER EVALUATOR'!#REF!,1))*1</f>
        <v>#REF!</v>
      </c>
      <c r="AC124" s="11" t="e">
        <f>LEFT('REPORTS PER EVALUATOR'!#REF!,1)</f>
        <v>#REF!</v>
      </c>
      <c r="AD124" s="92" t="e">
        <f>(RIGHT('REPORTS PER EVALUATOR'!#REF!,1))*1</f>
        <v>#REF!</v>
      </c>
      <c r="AE124" s="11" t="e">
        <f>LEFT('REPORTS PER EVALUATOR'!#REF!,1)</f>
        <v>#REF!</v>
      </c>
      <c r="AF124" s="92" t="e">
        <f>(RIGHT('REPORTS PER EVALUATOR'!#REF!,1))*1</f>
        <v>#REF!</v>
      </c>
      <c r="AG124" s="11" t="e">
        <f>LEFT('REPORTS PER EVALUATOR'!#REF!,1)</f>
        <v>#REF!</v>
      </c>
      <c r="AH124" s="92" t="e">
        <f>(RIGHT('REPORTS PER EVALUATOR'!#REF!,1))*1</f>
        <v>#REF!</v>
      </c>
      <c r="AI124" s="11" t="e">
        <f>LEFT('REPORTS PER EVALUATOR'!#REF!,1)</f>
        <v>#REF!</v>
      </c>
      <c r="AJ124" s="92" t="e">
        <f>(RIGHT('REPORTS PER EVALUATOR'!#REF!,1))*1</f>
        <v>#REF!</v>
      </c>
      <c r="AK124" s="11" t="e">
        <f>LEFT('REPORTS PER EVALUATOR'!#REF!,1)</f>
        <v>#REF!</v>
      </c>
      <c r="AL124" s="92" t="e">
        <f>(RIGHT('REPORTS PER EVALUATOR'!#REF!,1))*1</f>
        <v>#REF!</v>
      </c>
      <c r="AM124" s="11" t="e">
        <f>LEFT('REPORTS PER EVALUATOR'!#REF!,1)</f>
        <v>#REF!</v>
      </c>
      <c r="AN124" s="92" t="e">
        <f>(RIGHT('REPORTS PER EVALUATOR'!#REF!,1))*1</f>
        <v>#REF!</v>
      </c>
      <c r="AO124" s="11" t="e">
        <f>LEFT('REPORTS PER EVALUATOR'!#REF!,1)</f>
        <v>#REF!</v>
      </c>
      <c r="AP124" s="92" t="e">
        <f>(RIGHT('REPORTS PER EVALUATOR'!#REF!,1))*1</f>
        <v>#REF!</v>
      </c>
      <c r="AQ124" s="11" t="e">
        <f>LEFT('REPORTS PER EVALUATOR'!#REF!,1)</f>
        <v>#REF!</v>
      </c>
      <c r="AR124" s="92" t="e">
        <f>(RIGHT('REPORTS PER EVALUATOR'!#REF!,1))*1</f>
        <v>#REF!</v>
      </c>
    </row>
    <row r="125" spans="1:44" x14ac:dyDescent="0.2">
      <c r="A125" s="214"/>
      <c r="B125" s="19" t="str">
        <f t="shared" si="7"/>
        <v>B</v>
      </c>
      <c r="C125" s="18" t="str">
        <f t="shared" si="6"/>
        <v>F</v>
      </c>
      <c r="D125" s="18" t="s">
        <v>23</v>
      </c>
      <c r="E125" s="26" t="str">
        <f>LEFT('REPORTS PER EVALUATOR'!$AM$7,1)</f>
        <v>1</v>
      </c>
      <c r="F125" s="73">
        <f>(RIGHT('REPORTS PER EVALUATOR'!$AM$7,1))*1</f>
        <v>1</v>
      </c>
      <c r="G125" s="11" t="str">
        <f>LEFT('REPORTS PER EVALUATOR'!$AM$19,1)</f>
        <v>1</v>
      </c>
      <c r="H125" s="81">
        <f>(RIGHT('REPORTS PER EVALUATOR'!$AM$19,1))*1</f>
        <v>1</v>
      </c>
      <c r="I125" s="11" t="str">
        <f>LEFT('REPORTS PER EVALUATOR'!$AM$31,1)</f>
        <v>F</v>
      </c>
      <c r="J125" s="81">
        <f>(RIGHT('REPORTS PER EVALUATOR'!$AM$31,1))*1</f>
        <v>2</v>
      </c>
      <c r="K125" s="11" t="str">
        <f>LEFT('REPORTS PER EVALUATOR'!$AM$43,1)</f>
        <v>F</v>
      </c>
      <c r="L125" s="81">
        <f>(RIGHT('REPORTS PER EVALUATOR'!$AM$43,1))*1</f>
        <v>3</v>
      </c>
      <c r="M125" s="11" t="str">
        <f>LEFT('REPORTS PER EVALUATOR'!$AM$55,1)</f>
        <v>F</v>
      </c>
      <c r="N125" s="81">
        <f>(RIGHT('REPORTS PER EVALUATOR'!$AM$55,1))*1</f>
        <v>5</v>
      </c>
      <c r="O125" s="11" t="str">
        <f>LEFT('REPORTS PER EVALUATOR'!$AM$67,1)</f>
        <v>F</v>
      </c>
      <c r="P125" s="81">
        <f>(RIGHT('REPORTS PER EVALUATOR'!$AM$67,1))*1</f>
        <v>4</v>
      </c>
      <c r="Q125" s="11" t="str">
        <f>LEFT('REPORTS PER EVALUATOR'!$AM$79,1)</f>
        <v>F</v>
      </c>
      <c r="R125" s="81">
        <f>(RIGHT('REPORTS PER EVALUATOR'!$AM$79,1))*1</f>
        <v>5</v>
      </c>
      <c r="S125" s="11" t="str">
        <f>LEFT('REPORTS PER EVALUATOR'!$AM$91,1)</f>
        <v>1</v>
      </c>
      <c r="T125" s="81">
        <f>(RIGHT('REPORTS PER EVALUATOR'!$AM$91,1))*1</f>
        <v>1</v>
      </c>
      <c r="U125" s="11" t="str">
        <f>LEFT('REPORTS PER EVALUATOR'!$AM$103,1)</f>
        <v>1</v>
      </c>
      <c r="V125" s="81">
        <f>(RIGHT('REPORTS PER EVALUATOR'!$AM$103,1))*1</f>
        <v>1</v>
      </c>
      <c r="W125" s="11" t="str">
        <f>LEFT('REPORTS PER EVALUATOR'!$AM$115,1)</f>
        <v>1</v>
      </c>
      <c r="X125" s="81">
        <f>(RIGHT('REPORTS PER EVALUATOR'!$AM$115,1))*1</f>
        <v>1</v>
      </c>
      <c r="Y125" s="11" t="str">
        <f>LEFT('REPORTS PER EVALUATOR'!$AM$127,1)</f>
        <v>B</v>
      </c>
      <c r="Z125" s="92">
        <f>(RIGHT('REPORTS PER EVALUATOR'!$AM$127,1))*1</f>
        <v>2</v>
      </c>
      <c r="AA125" s="11" t="e">
        <f>LEFT('REPORTS PER EVALUATOR'!#REF!,1)</f>
        <v>#REF!</v>
      </c>
      <c r="AB125" s="92" t="e">
        <f>(RIGHT('REPORTS PER EVALUATOR'!#REF!,1))*1</f>
        <v>#REF!</v>
      </c>
      <c r="AC125" s="11" t="e">
        <f>LEFT('REPORTS PER EVALUATOR'!#REF!,1)</f>
        <v>#REF!</v>
      </c>
      <c r="AD125" s="92" t="e">
        <f>(RIGHT('REPORTS PER EVALUATOR'!#REF!,1))*1</f>
        <v>#REF!</v>
      </c>
      <c r="AE125" s="11" t="e">
        <f>LEFT('REPORTS PER EVALUATOR'!#REF!,1)</f>
        <v>#REF!</v>
      </c>
      <c r="AF125" s="92" t="e">
        <f>(RIGHT('REPORTS PER EVALUATOR'!#REF!,1))*1</f>
        <v>#REF!</v>
      </c>
      <c r="AG125" s="11" t="e">
        <f>LEFT('REPORTS PER EVALUATOR'!#REF!,1)</f>
        <v>#REF!</v>
      </c>
      <c r="AH125" s="92" t="e">
        <f>(RIGHT('REPORTS PER EVALUATOR'!#REF!,1))*1</f>
        <v>#REF!</v>
      </c>
      <c r="AI125" s="11" t="e">
        <f>LEFT('REPORTS PER EVALUATOR'!#REF!,1)</f>
        <v>#REF!</v>
      </c>
      <c r="AJ125" s="92" t="e">
        <f>(RIGHT('REPORTS PER EVALUATOR'!#REF!,1))*1</f>
        <v>#REF!</v>
      </c>
      <c r="AK125" s="11" t="e">
        <f>LEFT('REPORTS PER EVALUATOR'!#REF!,1)</f>
        <v>#REF!</v>
      </c>
      <c r="AL125" s="92" t="e">
        <f>(RIGHT('REPORTS PER EVALUATOR'!#REF!,1))*1</f>
        <v>#REF!</v>
      </c>
      <c r="AM125" s="11" t="e">
        <f>LEFT('REPORTS PER EVALUATOR'!#REF!,1)</f>
        <v>#REF!</v>
      </c>
      <c r="AN125" s="92" t="e">
        <f>(RIGHT('REPORTS PER EVALUATOR'!#REF!,1))*1</f>
        <v>#REF!</v>
      </c>
      <c r="AO125" s="11" t="e">
        <f>LEFT('REPORTS PER EVALUATOR'!#REF!,1)</f>
        <v>#REF!</v>
      </c>
      <c r="AP125" s="92" t="e">
        <f>(RIGHT('REPORTS PER EVALUATOR'!#REF!,1))*1</f>
        <v>#REF!</v>
      </c>
      <c r="AQ125" s="11" t="e">
        <f>LEFT('REPORTS PER EVALUATOR'!#REF!,1)</f>
        <v>#REF!</v>
      </c>
      <c r="AR125" s="92" t="e">
        <f>(RIGHT('REPORTS PER EVALUATOR'!#REF!,1))*1</f>
        <v>#REF!</v>
      </c>
    </row>
    <row r="126" spans="1:44" x14ac:dyDescent="0.2">
      <c r="A126" s="214"/>
      <c r="B126" s="19" t="str">
        <f t="shared" si="7"/>
        <v>B</v>
      </c>
      <c r="C126" s="18" t="str">
        <f t="shared" si="6"/>
        <v>G</v>
      </c>
      <c r="D126" s="18" t="s">
        <v>24</v>
      </c>
      <c r="E126" s="26" t="str">
        <f>LEFT('REPORTS PER EVALUATOR'!$AN$7,1)</f>
        <v>B</v>
      </c>
      <c r="F126" s="73">
        <f>(RIGHT('REPORTS PER EVALUATOR'!$AN$7,1))*1</f>
        <v>3</v>
      </c>
      <c r="G126" s="11" t="str">
        <f>LEFT('REPORTS PER EVALUATOR'!$AN$19,1)</f>
        <v>B</v>
      </c>
      <c r="H126" s="81">
        <f>(RIGHT('REPORTS PER EVALUATOR'!$AN$19,1))*1</f>
        <v>3</v>
      </c>
      <c r="I126" s="11" t="str">
        <f>LEFT('REPORTS PER EVALUATOR'!$AN$31,1)</f>
        <v>B</v>
      </c>
      <c r="J126" s="81">
        <f>(RIGHT('REPORTS PER EVALUATOR'!$AN$31,1))*1</f>
        <v>4</v>
      </c>
      <c r="K126" s="11" t="str">
        <f>LEFT('REPORTS PER EVALUATOR'!$AN$43,1)</f>
        <v>G</v>
      </c>
      <c r="L126" s="81">
        <f>(RIGHT('REPORTS PER EVALUATOR'!$AN$43,1))*1</f>
        <v>3</v>
      </c>
      <c r="M126" s="11" t="str">
        <f>LEFT('REPORTS PER EVALUATOR'!$AN$55,1)</f>
        <v>1</v>
      </c>
      <c r="N126" s="81">
        <f>(RIGHT('REPORTS PER EVALUATOR'!$AN$55,1))*1</f>
        <v>1</v>
      </c>
      <c r="O126" s="11" t="str">
        <f>LEFT('REPORTS PER EVALUATOR'!$AN$67,1)</f>
        <v>B</v>
      </c>
      <c r="P126" s="81">
        <f>(RIGHT('REPORTS PER EVALUATOR'!$AN$67,1))*1</f>
        <v>3</v>
      </c>
      <c r="Q126" s="11" t="str">
        <f>LEFT('REPORTS PER EVALUATOR'!$AN$79,1)</f>
        <v>G</v>
      </c>
      <c r="R126" s="81">
        <f>(RIGHT('REPORTS PER EVALUATOR'!$AN$79,1))*1</f>
        <v>2</v>
      </c>
      <c r="S126" s="11" t="str">
        <f>LEFT('REPORTS PER EVALUATOR'!$AN$91,1)</f>
        <v>B</v>
      </c>
      <c r="T126" s="81">
        <f>(RIGHT('REPORTS PER EVALUATOR'!$AN$91,1))*1</f>
        <v>6</v>
      </c>
      <c r="U126" s="11" t="str">
        <f>LEFT('REPORTS PER EVALUATOR'!$AN$103,1)</f>
        <v>B</v>
      </c>
      <c r="V126" s="81">
        <f>(RIGHT('REPORTS PER EVALUATOR'!$AN$103,1))*1</f>
        <v>3</v>
      </c>
      <c r="W126" s="11" t="str">
        <f>LEFT('REPORTS PER EVALUATOR'!$AN$115,1)</f>
        <v>1</v>
      </c>
      <c r="X126" s="81">
        <f>(RIGHT('REPORTS PER EVALUATOR'!$AN$115,1))*1</f>
        <v>1</v>
      </c>
      <c r="Y126" s="11" t="str">
        <f>LEFT('REPORTS PER EVALUATOR'!$AN$127,1)</f>
        <v>B</v>
      </c>
      <c r="Z126" s="92">
        <f>(RIGHT('REPORTS PER EVALUATOR'!$AN$127,1))*1</f>
        <v>4</v>
      </c>
      <c r="AA126" s="11" t="e">
        <f>LEFT('REPORTS PER EVALUATOR'!#REF!,1)</f>
        <v>#REF!</v>
      </c>
      <c r="AB126" s="92" t="e">
        <f>(RIGHT('REPORTS PER EVALUATOR'!#REF!,1))*1</f>
        <v>#REF!</v>
      </c>
      <c r="AC126" s="11" t="e">
        <f>LEFT('REPORTS PER EVALUATOR'!#REF!,1)</f>
        <v>#REF!</v>
      </c>
      <c r="AD126" s="92" t="e">
        <f>(RIGHT('REPORTS PER EVALUATOR'!#REF!,1))*1</f>
        <v>#REF!</v>
      </c>
      <c r="AE126" s="11" t="e">
        <f>LEFT('REPORTS PER EVALUATOR'!#REF!,1)</f>
        <v>#REF!</v>
      </c>
      <c r="AF126" s="92" t="e">
        <f>(RIGHT('REPORTS PER EVALUATOR'!#REF!,1))*1</f>
        <v>#REF!</v>
      </c>
      <c r="AG126" s="11" t="e">
        <f>LEFT('REPORTS PER EVALUATOR'!#REF!,1)</f>
        <v>#REF!</v>
      </c>
      <c r="AH126" s="92" t="e">
        <f>(RIGHT('REPORTS PER EVALUATOR'!#REF!,1))*1</f>
        <v>#REF!</v>
      </c>
      <c r="AI126" s="11" t="e">
        <f>LEFT('REPORTS PER EVALUATOR'!#REF!,1)</f>
        <v>#REF!</v>
      </c>
      <c r="AJ126" s="92" t="e">
        <f>(RIGHT('REPORTS PER EVALUATOR'!#REF!,1))*1</f>
        <v>#REF!</v>
      </c>
      <c r="AK126" s="11" t="e">
        <f>LEFT('REPORTS PER EVALUATOR'!#REF!,1)</f>
        <v>#REF!</v>
      </c>
      <c r="AL126" s="92" t="e">
        <f>(RIGHT('REPORTS PER EVALUATOR'!#REF!,1))*1</f>
        <v>#REF!</v>
      </c>
      <c r="AM126" s="11" t="e">
        <f>LEFT('REPORTS PER EVALUATOR'!#REF!,1)</f>
        <v>#REF!</v>
      </c>
      <c r="AN126" s="92" t="e">
        <f>(RIGHT('REPORTS PER EVALUATOR'!#REF!,1))*1</f>
        <v>#REF!</v>
      </c>
      <c r="AO126" s="11" t="e">
        <f>LEFT('REPORTS PER EVALUATOR'!#REF!,1)</f>
        <v>#REF!</v>
      </c>
      <c r="AP126" s="92" t="e">
        <f>(RIGHT('REPORTS PER EVALUATOR'!#REF!,1))*1</f>
        <v>#REF!</v>
      </c>
      <c r="AQ126" s="11" t="e">
        <f>LEFT('REPORTS PER EVALUATOR'!#REF!,1)</f>
        <v>#REF!</v>
      </c>
      <c r="AR126" s="92" t="e">
        <f>(RIGHT('REPORTS PER EVALUATOR'!#REF!,1))*1</f>
        <v>#REF!</v>
      </c>
    </row>
    <row r="127" spans="1:44" x14ac:dyDescent="0.2">
      <c r="A127" s="214"/>
      <c r="B127" s="19" t="str">
        <f t="shared" si="7"/>
        <v>B</v>
      </c>
      <c r="C127" s="18" t="str">
        <f t="shared" si="6"/>
        <v>H</v>
      </c>
      <c r="D127" s="18" t="s">
        <v>25</v>
      </c>
      <c r="E127" s="26" t="str">
        <f>LEFT('REPORTS PER EVALUATOR'!$AO$7,1)</f>
        <v>1</v>
      </c>
      <c r="F127" s="73">
        <f>(RIGHT('REPORTS PER EVALUATOR'!$AO$7,1))*1</f>
        <v>1</v>
      </c>
      <c r="G127" s="11" t="str">
        <f>LEFT('REPORTS PER EVALUATOR'!$AO$19,1)</f>
        <v>B</v>
      </c>
      <c r="H127" s="81">
        <f>(RIGHT('REPORTS PER EVALUATOR'!$AO$19,1))*1</f>
        <v>2</v>
      </c>
      <c r="I127" s="11" t="str">
        <f>LEFT('REPORTS PER EVALUATOR'!$AO$31,1)</f>
        <v>B</v>
      </c>
      <c r="J127" s="81">
        <f>(RIGHT('REPORTS PER EVALUATOR'!$AO$31,1))*1</f>
        <v>4</v>
      </c>
      <c r="K127" s="11" t="str">
        <f>LEFT('REPORTS PER EVALUATOR'!$AO$43,1)</f>
        <v>B</v>
      </c>
      <c r="L127" s="81">
        <f>(RIGHT('REPORTS PER EVALUATOR'!$AO$43,1))*1</f>
        <v>2</v>
      </c>
      <c r="M127" s="11" t="str">
        <f>LEFT('REPORTS PER EVALUATOR'!$AO$55,1)</f>
        <v>H</v>
      </c>
      <c r="N127" s="81">
        <f>(RIGHT('REPORTS PER EVALUATOR'!$AO$55,1))*1</f>
        <v>2</v>
      </c>
      <c r="O127" s="11" t="str">
        <f>LEFT('REPORTS PER EVALUATOR'!$AO$67,1)</f>
        <v>1</v>
      </c>
      <c r="P127" s="81">
        <f>(RIGHT('REPORTS PER EVALUATOR'!$AO$67,1))*1</f>
        <v>1</v>
      </c>
      <c r="Q127" s="11" t="str">
        <f>LEFT('REPORTS PER EVALUATOR'!$AO$79,1)</f>
        <v>H</v>
      </c>
      <c r="R127" s="81">
        <f>(RIGHT('REPORTS PER EVALUATOR'!$AO$79,1))*1</f>
        <v>3</v>
      </c>
      <c r="S127" s="11" t="str">
        <f>LEFT('REPORTS PER EVALUATOR'!$AO$91,1)</f>
        <v>H</v>
      </c>
      <c r="T127" s="81">
        <f>(RIGHT('REPORTS PER EVALUATOR'!$AO$91,1))*1</f>
        <v>3</v>
      </c>
      <c r="U127" s="11" t="str">
        <f>LEFT('REPORTS PER EVALUATOR'!$AO$103,1)</f>
        <v>H</v>
      </c>
      <c r="V127" s="81">
        <f>(RIGHT('REPORTS PER EVALUATOR'!$AO$103,1))*1</f>
        <v>2</v>
      </c>
      <c r="W127" s="11" t="str">
        <f>LEFT('REPORTS PER EVALUATOR'!$AO$115,1)</f>
        <v>H</v>
      </c>
      <c r="X127" s="81">
        <f>(RIGHT('REPORTS PER EVALUATOR'!$AO$115,1))*1</f>
        <v>2</v>
      </c>
      <c r="Y127" s="11" t="str">
        <f>LEFT('REPORTS PER EVALUATOR'!$AO$127,1)</f>
        <v>B</v>
      </c>
      <c r="Z127" s="92">
        <f>(RIGHT('REPORTS PER EVALUATOR'!$AO$127,1))*1</f>
        <v>2</v>
      </c>
      <c r="AA127" s="11" t="e">
        <f>LEFT('REPORTS PER EVALUATOR'!#REF!,1)</f>
        <v>#REF!</v>
      </c>
      <c r="AB127" s="92" t="e">
        <f>(RIGHT('REPORTS PER EVALUATOR'!#REF!,1))*1</f>
        <v>#REF!</v>
      </c>
      <c r="AC127" s="11" t="e">
        <f>LEFT('REPORTS PER EVALUATOR'!#REF!,1)</f>
        <v>#REF!</v>
      </c>
      <c r="AD127" s="92" t="e">
        <f>(RIGHT('REPORTS PER EVALUATOR'!#REF!,1))*1</f>
        <v>#REF!</v>
      </c>
      <c r="AE127" s="11" t="e">
        <f>LEFT('REPORTS PER EVALUATOR'!#REF!,1)</f>
        <v>#REF!</v>
      </c>
      <c r="AF127" s="92" t="e">
        <f>(RIGHT('REPORTS PER EVALUATOR'!#REF!,1))*1</f>
        <v>#REF!</v>
      </c>
      <c r="AG127" s="11" t="e">
        <f>LEFT('REPORTS PER EVALUATOR'!#REF!,1)</f>
        <v>#REF!</v>
      </c>
      <c r="AH127" s="92" t="e">
        <f>(RIGHT('REPORTS PER EVALUATOR'!#REF!,1))*1</f>
        <v>#REF!</v>
      </c>
      <c r="AI127" s="11" t="e">
        <f>LEFT('REPORTS PER EVALUATOR'!#REF!,1)</f>
        <v>#REF!</v>
      </c>
      <c r="AJ127" s="92" t="e">
        <f>(RIGHT('REPORTS PER EVALUATOR'!#REF!,1))*1</f>
        <v>#REF!</v>
      </c>
      <c r="AK127" s="11" t="e">
        <f>LEFT('REPORTS PER EVALUATOR'!#REF!,1)</f>
        <v>#REF!</v>
      </c>
      <c r="AL127" s="92" t="e">
        <f>(RIGHT('REPORTS PER EVALUATOR'!#REF!,1))*1</f>
        <v>#REF!</v>
      </c>
      <c r="AM127" s="11" t="e">
        <f>LEFT('REPORTS PER EVALUATOR'!#REF!,1)</f>
        <v>#REF!</v>
      </c>
      <c r="AN127" s="92" t="e">
        <f>(RIGHT('REPORTS PER EVALUATOR'!#REF!,1))*1</f>
        <v>#REF!</v>
      </c>
      <c r="AO127" s="11" t="e">
        <f>LEFT('REPORTS PER EVALUATOR'!#REF!,1)</f>
        <v>#REF!</v>
      </c>
      <c r="AP127" s="92" t="e">
        <f>(RIGHT('REPORTS PER EVALUATOR'!#REF!,1))*1</f>
        <v>#REF!</v>
      </c>
      <c r="AQ127" s="11" t="e">
        <f>LEFT('REPORTS PER EVALUATOR'!#REF!,1)</f>
        <v>#REF!</v>
      </c>
      <c r="AR127" s="92" t="e">
        <f>(RIGHT('REPORTS PER EVALUATOR'!#REF!,1))*1</f>
        <v>#REF!</v>
      </c>
    </row>
    <row r="128" spans="1:44" x14ac:dyDescent="0.2">
      <c r="A128" s="214"/>
      <c r="B128" s="19" t="str">
        <f t="shared" si="7"/>
        <v>B</v>
      </c>
      <c r="C128" s="18" t="str">
        <f t="shared" si="6"/>
        <v>I</v>
      </c>
      <c r="D128" s="18" t="s">
        <v>26</v>
      </c>
      <c r="E128" s="26" t="str">
        <f>LEFT('REPORTS PER EVALUATOR'!$AP$7,1)</f>
        <v>1</v>
      </c>
      <c r="F128" s="73">
        <f>(RIGHT('REPORTS PER EVALUATOR'!$AP$7,1))*1</f>
        <v>1</v>
      </c>
      <c r="G128" s="11" t="str">
        <f>LEFT('REPORTS PER EVALUATOR'!$AP$19,1)</f>
        <v>B</v>
      </c>
      <c r="H128" s="81">
        <f>(RIGHT('REPORTS PER EVALUATOR'!$AP$19,1))*1</f>
        <v>4</v>
      </c>
      <c r="I128" s="11" t="str">
        <f>LEFT('REPORTS PER EVALUATOR'!$AP$31,1)</f>
        <v>1</v>
      </c>
      <c r="J128" s="81">
        <f>(RIGHT('REPORTS PER EVALUATOR'!$AP$31,1))*1</f>
        <v>1</v>
      </c>
      <c r="K128" s="11" t="str">
        <f>LEFT('REPORTS PER EVALUATOR'!$AP$43,1)</f>
        <v>I</v>
      </c>
      <c r="L128" s="81">
        <f>(RIGHT('REPORTS PER EVALUATOR'!$AP$43,1))*1</f>
        <v>3</v>
      </c>
      <c r="M128" s="11" t="str">
        <f>LEFT('REPORTS PER EVALUATOR'!$AP$55,1)</f>
        <v>1</v>
      </c>
      <c r="N128" s="81">
        <f>(RIGHT('REPORTS PER EVALUATOR'!$AP$55,1))*1</f>
        <v>1</v>
      </c>
      <c r="O128" s="11" t="str">
        <f>LEFT('REPORTS PER EVALUATOR'!$AP$67,1)</f>
        <v>1</v>
      </c>
      <c r="P128" s="81">
        <f>(RIGHT('REPORTS PER EVALUATOR'!$AP$67,1))*1</f>
        <v>1</v>
      </c>
      <c r="Q128" s="11" t="str">
        <f>LEFT('REPORTS PER EVALUATOR'!$AP$79,1)</f>
        <v>1</v>
      </c>
      <c r="R128" s="81">
        <f>(RIGHT('REPORTS PER EVALUATOR'!$AP$79,1))*1</f>
        <v>1</v>
      </c>
      <c r="S128" s="11" t="str">
        <f>LEFT('REPORTS PER EVALUATOR'!$AP$91,1)</f>
        <v>1</v>
      </c>
      <c r="T128" s="81">
        <f>(RIGHT('REPORTS PER EVALUATOR'!$AP$91,1))*1</f>
        <v>1</v>
      </c>
      <c r="U128" s="11" t="str">
        <f>LEFT('REPORTS PER EVALUATOR'!$AP$103,1)</f>
        <v>B</v>
      </c>
      <c r="V128" s="81">
        <f>(RIGHT('REPORTS PER EVALUATOR'!$AP$103,1))*1</f>
        <v>2</v>
      </c>
      <c r="W128" s="11" t="str">
        <f>LEFT('REPORTS PER EVALUATOR'!$AP$115,1)</f>
        <v>I</v>
      </c>
      <c r="X128" s="81">
        <f>(RIGHT('REPORTS PER EVALUATOR'!$AP$115,1))*1</f>
        <v>2</v>
      </c>
      <c r="Y128" s="11" t="str">
        <f>LEFT('REPORTS PER EVALUATOR'!$AP$127,1)</f>
        <v>B</v>
      </c>
      <c r="Z128" s="92">
        <f>(RIGHT('REPORTS PER EVALUATOR'!$AP$127,1))*1</f>
        <v>2</v>
      </c>
      <c r="AA128" s="11" t="e">
        <f>LEFT('REPORTS PER EVALUATOR'!#REF!,1)</f>
        <v>#REF!</v>
      </c>
      <c r="AB128" s="92" t="e">
        <f>(RIGHT('REPORTS PER EVALUATOR'!#REF!,1))*1</f>
        <v>#REF!</v>
      </c>
      <c r="AC128" s="11" t="e">
        <f>LEFT('REPORTS PER EVALUATOR'!#REF!,1)</f>
        <v>#REF!</v>
      </c>
      <c r="AD128" s="92" t="e">
        <f>(RIGHT('REPORTS PER EVALUATOR'!#REF!,1))*1</f>
        <v>#REF!</v>
      </c>
      <c r="AE128" s="11" t="e">
        <f>LEFT('REPORTS PER EVALUATOR'!#REF!,1)</f>
        <v>#REF!</v>
      </c>
      <c r="AF128" s="92" t="e">
        <f>(RIGHT('REPORTS PER EVALUATOR'!#REF!,1))*1</f>
        <v>#REF!</v>
      </c>
      <c r="AG128" s="11" t="e">
        <f>LEFT('REPORTS PER EVALUATOR'!#REF!,1)</f>
        <v>#REF!</v>
      </c>
      <c r="AH128" s="92" t="e">
        <f>(RIGHT('REPORTS PER EVALUATOR'!#REF!,1))*1</f>
        <v>#REF!</v>
      </c>
      <c r="AI128" s="11" t="e">
        <f>LEFT('REPORTS PER EVALUATOR'!#REF!,1)</f>
        <v>#REF!</v>
      </c>
      <c r="AJ128" s="92" t="e">
        <f>(RIGHT('REPORTS PER EVALUATOR'!#REF!,1))*1</f>
        <v>#REF!</v>
      </c>
      <c r="AK128" s="11" t="e">
        <f>LEFT('REPORTS PER EVALUATOR'!#REF!,1)</f>
        <v>#REF!</v>
      </c>
      <c r="AL128" s="92" t="e">
        <f>(RIGHT('REPORTS PER EVALUATOR'!#REF!,1))*1</f>
        <v>#REF!</v>
      </c>
      <c r="AM128" s="11" t="e">
        <f>LEFT('REPORTS PER EVALUATOR'!#REF!,1)</f>
        <v>#REF!</v>
      </c>
      <c r="AN128" s="92" t="e">
        <f>(RIGHT('REPORTS PER EVALUATOR'!#REF!,1))*1</f>
        <v>#REF!</v>
      </c>
      <c r="AO128" s="11" t="e">
        <f>LEFT('REPORTS PER EVALUATOR'!#REF!,1)</f>
        <v>#REF!</v>
      </c>
      <c r="AP128" s="92" t="e">
        <f>(RIGHT('REPORTS PER EVALUATOR'!#REF!,1))*1</f>
        <v>#REF!</v>
      </c>
      <c r="AQ128" s="11" t="e">
        <f>LEFT('REPORTS PER EVALUATOR'!#REF!,1)</f>
        <v>#REF!</v>
      </c>
      <c r="AR128" s="92" t="e">
        <f>(RIGHT('REPORTS PER EVALUATOR'!#REF!,1))*1</f>
        <v>#REF!</v>
      </c>
    </row>
    <row r="129" spans="2:44" x14ac:dyDescent="0.2">
      <c r="B129" s="19" t="str">
        <f t="shared" si="7"/>
        <v>B</v>
      </c>
      <c r="C129" s="18" t="str">
        <f t="shared" si="6"/>
        <v>L</v>
      </c>
      <c r="D129" s="18" t="s">
        <v>27</v>
      </c>
      <c r="E129" s="26" t="str">
        <f>LEFT('REPORTS PER EVALUATOR'!$AQ$7,1)</f>
        <v>B</v>
      </c>
      <c r="F129" s="73">
        <f>(RIGHT('REPORTS PER EVALUATOR'!$AQ$7,1))*1</f>
        <v>5</v>
      </c>
      <c r="G129" s="11" t="str">
        <f>LEFT('REPORTS PER EVALUATOR'!$AQ$19,1)</f>
        <v>B</v>
      </c>
      <c r="H129" s="81">
        <f>(RIGHT('REPORTS PER EVALUATOR'!$AQ$19,1))*1</f>
        <v>4</v>
      </c>
      <c r="I129" s="11" t="str">
        <f>LEFT('REPORTS PER EVALUATOR'!$AQ$31,1)</f>
        <v>L</v>
      </c>
      <c r="J129" s="81">
        <f>(RIGHT('REPORTS PER EVALUATOR'!$AQ$31,1))*1</f>
        <v>4</v>
      </c>
      <c r="K129" s="11" t="str">
        <f>LEFT('REPORTS PER EVALUATOR'!$AQ$43,1)</f>
        <v>B</v>
      </c>
      <c r="L129" s="81">
        <f>(RIGHT('REPORTS PER EVALUATOR'!$AQ$43,1))*1</f>
        <v>3</v>
      </c>
      <c r="M129" s="11" t="str">
        <f>LEFT('REPORTS PER EVALUATOR'!$AQ$55,1)</f>
        <v>L</v>
      </c>
      <c r="N129" s="81">
        <f>(RIGHT('REPORTS PER EVALUATOR'!$AQ$55,1))*1</f>
        <v>2</v>
      </c>
      <c r="O129" s="11" t="str">
        <f>LEFT('REPORTS PER EVALUATOR'!$AQ$67,1)</f>
        <v>1</v>
      </c>
      <c r="P129" s="81">
        <f>(RIGHT('REPORTS PER EVALUATOR'!$AQ$67,1))*1</f>
        <v>1</v>
      </c>
      <c r="Q129" s="11" t="str">
        <f>LEFT('REPORTS PER EVALUATOR'!$AQ$79,1)</f>
        <v>L</v>
      </c>
      <c r="R129" s="81">
        <f>(RIGHT('REPORTS PER EVALUATOR'!$AQ$79,1))*1</f>
        <v>5</v>
      </c>
      <c r="S129" s="11" t="str">
        <f>LEFT('REPORTS PER EVALUATOR'!$AQ$91,1)</f>
        <v>L</v>
      </c>
      <c r="T129" s="81">
        <f>(RIGHT('REPORTS PER EVALUATOR'!$AQ$91,1))*1</f>
        <v>3</v>
      </c>
      <c r="U129" s="11" t="str">
        <f>LEFT('REPORTS PER EVALUATOR'!$AQ$103,1)</f>
        <v>L</v>
      </c>
      <c r="V129" s="81">
        <f>(RIGHT('REPORTS PER EVALUATOR'!$AQ$103,1))*1</f>
        <v>2</v>
      </c>
      <c r="W129" s="11" t="str">
        <f>LEFT('REPORTS PER EVALUATOR'!$AQ$115,1)</f>
        <v>1</v>
      </c>
      <c r="X129" s="81">
        <f>(RIGHT('REPORTS PER EVALUATOR'!$AQ$115,1))*1</f>
        <v>1</v>
      </c>
      <c r="Y129" s="11" t="str">
        <f>LEFT('REPORTS PER EVALUATOR'!$AQ$127,1)</f>
        <v>B</v>
      </c>
      <c r="Z129" s="92">
        <f>(RIGHT('REPORTS PER EVALUATOR'!$AQ$127,1))*1</f>
        <v>3</v>
      </c>
      <c r="AA129" s="11" t="e">
        <f>LEFT('REPORTS PER EVALUATOR'!#REF!,1)</f>
        <v>#REF!</v>
      </c>
      <c r="AB129" s="92" t="e">
        <f>(RIGHT('REPORTS PER EVALUATOR'!#REF!,1))*1</f>
        <v>#REF!</v>
      </c>
      <c r="AC129" s="11" t="e">
        <f>LEFT('REPORTS PER EVALUATOR'!#REF!,1)</f>
        <v>#REF!</v>
      </c>
      <c r="AD129" s="92" t="e">
        <f>(RIGHT('REPORTS PER EVALUATOR'!#REF!,1))*1</f>
        <v>#REF!</v>
      </c>
      <c r="AE129" s="11" t="e">
        <f>LEFT('REPORTS PER EVALUATOR'!#REF!,1)</f>
        <v>#REF!</v>
      </c>
      <c r="AF129" s="92" t="e">
        <f>(RIGHT('REPORTS PER EVALUATOR'!#REF!,1))*1</f>
        <v>#REF!</v>
      </c>
      <c r="AG129" s="11" t="e">
        <f>LEFT('REPORTS PER EVALUATOR'!#REF!,1)</f>
        <v>#REF!</v>
      </c>
      <c r="AH129" s="92" t="e">
        <f>(RIGHT('REPORTS PER EVALUATOR'!#REF!,1))*1</f>
        <v>#REF!</v>
      </c>
      <c r="AI129" s="11" t="e">
        <f>LEFT('REPORTS PER EVALUATOR'!#REF!,1)</f>
        <v>#REF!</v>
      </c>
      <c r="AJ129" s="92" t="e">
        <f>(RIGHT('REPORTS PER EVALUATOR'!#REF!,1))*1</f>
        <v>#REF!</v>
      </c>
      <c r="AK129" s="11" t="e">
        <f>LEFT('REPORTS PER EVALUATOR'!#REF!,1)</f>
        <v>#REF!</v>
      </c>
      <c r="AL129" s="92" t="e">
        <f>(RIGHT('REPORTS PER EVALUATOR'!#REF!,1))*1</f>
        <v>#REF!</v>
      </c>
      <c r="AM129" s="11" t="e">
        <f>LEFT('REPORTS PER EVALUATOR'!#REF!,1)</f>
        <v>#REF!</v>
      </c>
      <c r="AN129" s="92" t="e">
        <f>(RIGHT('REPORTS PER EVALUATOR'!#REF!,1))*1</f>
        <v>#REF!</v>
      </c>
      <c r="AO129" s="11" t="e">
        <f>LEFT('REPORTS PER EVALUATOR'!#REF!,1)</f>
        <v>#REF!</v>
      </c>
      <c r="AP129" s="92" t="e">
        <f>(RIGHT('REPORTS PER EVALUATOR'!#REF!,1))*1</f>
        <v>#REF!</v>
      </c>
      <c r="AQ129" s="11" t="e">
        <f>LEFT('REPORTS PER EVALUATOR'!#REF!,1)</f>
        <v>#REF!</v>
      </c>
      <c r="AR129" s="92" t="e">
        <f>(RIGHT('REPORTS PER EVALUATOR'!#REF!,1))*1</f>
        <v>#REF!</v>
      </c>
    </row>
    <row r="130" spans="2:44" x14ac:dyDescent="0.2">
      <c r="B130" s="19" t="str">
        <f t="shared" si="7"/>
        <v>B</v>
      </c>
      <c r="C130" s="18" t="str">
        <f t="shared" si="6"/>
        <v>M</v>
      </c>
      <c r="D130" s="18" t="s">
        <v>158</v>
      </c>
      <c r="E130" s="26" t="str">
        <f>LEFT('REPORTS PER EVALUATOR'!$AR$7,1)</f>
        <v/>
      </c>
      <c r="F130" s="73" t="e">
        <f>(RIGHT('REPORTS PER EVALUATOR'!$AR$7,1))*1</f>
        <v>#VALUE!</v>
      </c>
      <c r="G130" s="11" t="str">
        <f>LEFT('REPORTS PER EVALUATOR'!$AR$19,1)</f>
        <v/>
      </c>
      <c r="H130" s="81" t="e">
        <f>(RIGHT('REPORTS PER EVALUATOR'!$AR$19,1))*1</f>
        <v>#VALUE!</v>
      </c>
      <c r="I130" s="11" t="str">
        <f>LEFT('REPORTS PER EVALUATOR'!$AR$31,1)</f>
        <v/>
      </c>
      <c r="J130" s="81" t="e">
        <f>(RIGHT('REPORTS PER EVALUATOR'!$AR$31,1))*1</f>
        <v>#VALUE!</v>
      </c>
      <c r="K130" s="11" t="str">
        <f>LEFT('REPORTS PER EVALUATOR'!$AR$43,1)</f>
        <v/>
      </c>
      <c r="L130" s="81" t="e">
        <f>(RIGHT('REPORTS PER EVALUATOR'!$AR$43,1))*1</f>
        <v>#VALUE!</v>
      </c>
      <c r="M130" s="11" t="str">
        <f>LEFT('REPORTS PER EVALUATOR'!$AR$55,1)</f>
        <v/>
      </c>
      <c r="N130" s="81" t="e">
        <f>(RIGHT('REPORTS PER EVALUATOR'!$AR$55,1))*1</f>
        <v>#VALUE!</v>
      </c>
      <c r="O130" s="11" t="str">
        <f>LEFT('REPORTS PER EVALUATOR'!$AR$67,1)</f>
        <v/>
      </c>
      <c r="P130" s="81" t="e">
        <f>(RIGHT('REPORTS PER EVALUATOR'!$AR$67,1))*1</f>
        <v>#VALUE!</v>
      </c>
      <c r="Q130" s="11" t="str">
        <f>LEFT('REPORTS PER EVALUATOR'!$AR$79,1)</f>
        <v/>
      </c>
      <c r="R130" s="81" t="e">
        <f>(RIGHT('REPORTS PER EVALUATOR'!$AR$79,1))*1</f>
        <v>#VALUE!</v>
      </c>
      <c r="S130" s="11" t="str">
        <f>LEFT('REPORTS PER EVALUATOR'!$AR$91,1)</f>
        <v/>
      </c>
      <c r="T130" s="81" t="e">
        <f>(RIGHT('REPORTS PER EVALUATOR'!$AR$91,1))*1</f>
        <v>#VALUE!</v>
      </c>
      <c r="U130" s="11" t="str">
        <f>LEFT('REPORTS PER EVALUATOR'!$AR$103,1)</f>
        <v/>
      </c>
      <c r="V130" s="81" t="e">
        <f>(RIGHT('REPORTS PER EVALUATOR'!$AR$103,1))*1</f>
        <v>#VALUE!</v>
      </c>
      <c r="W130" s="11" t="str">
        <f>LEFT('REPORTS PER EVALUATOR'!$AR$115,1)</f>
        <v/>
      </c>
      <c r="X130" s="81" t="e">
        <f>(RIGHT('REPORTS PER EVALUATOR'!$AR$115,1))*1</f>
        <v>#VALUE!</v>
      </c>
      <c r="Y130" s="11" t="str">
        <f>LEFT('REPORTS PER EVALUATOR'!$AR$127,1)</f>
        <v/>
      </c>
      <c r="Z130" s="92" t="e">
        <f>(RIGHT('REPORTS PER EVALUATOR'!$AR$127,1))*1</f>
        <v>#VALUE!</v>
      </c>
      <c r="AA130" s="11" t="e">
        <f>LEFT('REPORTS PER EVALUATOR'!#REF!,1)</f>
        <v>#REF!</v>
      </c>
      <c r="AB130" s="92" t="e">
        <f>(RIGHT('REPORTS PER EVALUATOR'!#REF!,1))*1</f>
        <v>#REF!</v>
      </c>
      <c r="AC130" s="11" t="e">
        <f>LEFT('REPORTS PER EVALUATOR'!#REF!,1)</f>
        <v>#REF!</v>
      </c>
      <c r="AD130" s="92" t="e">
        <f>(RIGHT('REPORTS PER EVALUATOR'!#REF!,1))*1</f>
        <v>#REF!</v>
      </c>
      <c r="AE130" s="11" t="e">
        <f>LEFT('REPORTS PER EVALUATOR'!#REF!,1)</f>
        <v>#REF!</v>
      </c>
      <c r="AF130" s="92" t="e">
        <f>(RIGHT('REPORTS PER EVALUATOR'!#REF!,1))*1</f>
        <v>#REF!</v>
      </c>
      <c r="AG130" s="11" t="e">
        <f>LEFT('REPORTS PER EVALUATOR'!#REF!,1)</f>
        <v>#REF!</v>
      </c>
      <c r="AH130" s="92" t="e">
        <f>(RIGHT('REPORTS PER EVALUATOR'!#REF!,1))*1</f>
        <v>#REF!</v>
      </c>
      <c r="AI130" s="11" t="e">
        <f>LEFT('REPORTS PER EVALUATOR'!#REF!,1)</f>
        <v>#REF!</v>
      </c>
      <c r="AJ130" s="92" t="e">
        <f>(RIGHT('REPORTS PER EVALUATOR'!#REF!,1))*1</f>
        <v>#REF!</v>
      </c>
      <c r="AK130" s="11" t="e">
        <f>LEFT('REPORTS PER EVALUATOR'!#REF!,1)</f>
        <v>#REF!</v>
      </c>
      <c r="AL130" s="92" t="e">
        <f>(RIGHT('REPORTS PER EVALUATOR'!#REF!,1))*1</f>
        <v>#REF!</v>
      </c>
      <c r="AM130" s="11" t="e">
        <f>LEFT('REPORTS PER EVALUATOR'!#REF!,1)</f>
        <v>#REF!</v>
      </c>
      <c r="AN130" s="92" t="e">
        <f>(RIGHT('REPORTS PER EVALUATOR'!#REF!,1))*1</f>
        <v>#REF!</v>
      </c>
      <c r="AO130" s="11" t="e">
        <f>LEFT('REPORTS PER EVALUATOR'!#REF!,1)</f>
        <v>#REF!</v>
      </c>
      <c r="AP130" s="92" t="e">
        <f>(RIGHT('REPORTS PER EVALUATOR'!#REF!,1))*1</f>
        <v>#REF!</v>
      </c>
      <c r="AQ130" s="11" t="e">
        <f>LEFT('REPORTS PER EVALUATOR'!#REF!,1)</f>
        <v>#REF!</v>
      </c>
      <c r="AR130" s="92" t="e">
        <f>(RIGHT('REPORTS PER EVALUATOR'!#REF!,1))*1</f>
        <v>#REF!</v>
      </c>
    </row>
    <row r="131" spans="2:44" x14ac:dyDescent="0.2">
      <c r="B131" s="19" t="str">
        <f t="shared" si="7"/>
        <v>C</v>
      </c>
      <c r="C131" s="18" t="str">
        <f t="shared" si="6"/>
        <v>D</v>
      </c>
      <c r="D131" s="18" t="s">
        <v>28</v>
      </c>
      <c r="E131" s="56" t="str">
        <f>LEFT('REPORTS PER EVALUATOR'!$AK$8,1)</f>
        <v>D</v>
      </c>
      <c r="F131" s="72">
        <f>(RIGHT('REPORTS PER EVALUATOR'!$AK$8,1))*1</f>
        <v>5</v>
      </c>
      <c r="G131" s="57" t="str">
        <f>LEFT('REPORTS PER EVALUATOR'!$AK$20,1)</f>
        <v>D</v>
      </c>
      <c r="H131" s="80">
        <f>(RIGHT('REPORTS PER EVALUATOR'!$AK$20,1))*1</f>
        <v>5</v>
      </c>
      <c r="I131" s="57" t="str">
        <f>LEFT('REPORTS PER EVALUATOR'!$AK$32,1)</f>
        <v>D</v>
      </c>
      <c r="J131" s="80">
        <f>(RIGHT('REPORTS PER EVALUATOR'!$AK$32,1))*1</f>
        <v>3</v>
      </c>
      <c r="K131" s="57" t="str">
        <f>LEFT('REPORTS PER EVALUATOR'!$AK$44,1)</f>
        <v>D</v>
      </c>
      <c r="L131" s="80">
        <f>(RIGHT('REPORTS PER EVALUATOR'!$AK$44,1))*1</f>
        <v>2</v>
      </c>
      <c r="M131" s="57" t="str">
        <f>LEFT('REPORTS PER EVALUATOR'!$AK$56,1)</f>
        <v>D</v>
      </c>
      <c r="N131" s="80">
        <f>(RIGHT('REPORTS PER EVALUATOR'!$AK$56,1))*1</f>
        <v>6</v>
      </c>
      <c r="O131" s="57" t="str">
        <f>LEFT('REPORTS PER EVALUATOR'!$AK$68,1)</f>
        <v>D</v>
      </c>
      <c r="P131" s="80">
        <f>(RIGHT('REPORTS PER EVALUATOR'!$AK$68,1))*1</f>
        <v>5</v>
      </c>
      <c r="Q131" s="57" t="str">
        <f>LEFT('REPORTS PER EVALUATOR'!$AK$80,1)</f>
        <v>D</v>
      </c>
      <c r="R131" s="80">
        <f>(RIGHT('REPORTS PER EVALUATOR'!$AK$80,1))*1</f>
        <v>5</v>
      </c>
      <c r="S131" s="57" t="str">
        <f>LEFT('REPORTS PER EVALUATOR'!$AK$92,1)</f>
        <v>D</v>
      </c>
      <c r="T131" s="80">
        <f>(RIGHT('REPORTS PER EVALUATOR'!$AK$92,1))*1</f>
        <v>3</v>
      </c>
      <c r="U131" s="57" t="str">
        <f>LEFT('REPORTS PER EVALUATOR'!$AK$104,1)</f>
        <v>C</v>
      </c>
      <c r="V131" s="80">
        <f>(RIGHT('REPORTS PER EVALUATOR'!$AK$104,1))*1</f>
        <v>2</v>
      </c>
      <c r="W131" s="57" t="str">
        <f>LEFT('REPORTS PER EVALUATOR'!$AK$116,1)</f>
        <v>D</v>
      </c>
      <c r="X131" s="80">
        <f>(RIGHT('REPORTS PER EVALUATOR'!$AK$116,1))*1</f>
        <v>3</v>
      </c>
      <c r="Y131" s="57" t="str">
        <f>LEFT('REPORTS PER EVALUATOR'!$AK$128,1)</f>
        <v>D</v>
      </c>
      <c r="Z131" s="93">
        <f>(RIGHT('REPORTS PER EVALUATOR'!$AK$128,1))*1</f>
        <v>2</v>
      </c>
      <c r="AA131" s="57" t="e">
        <f>LEFT('REPORTS PER EVALUATOR'!#REF!,1)</f>
        <v>#REF!</v>
      </c>
      <c r="AB131" s="93" t="e">
        <f>(RIGHT('REPORTS PER EVALUATOR'!#REF!,1))*1</f>
        <v>#REF!</v>
      </c>
      <c r="AC131" s="57" t="e">
        <f>LEFT('REPORTS PER EVALUATOR'!#REF!,1)</f>
        <v>#REF!</v>
      </c>
      <c r="AD131" s="93" t="e">
        <f>(RIGHT('REPORTS PER EVALUATOR'!#REF!,1))*1</f>
        <v>#REF!</v>
      </c>
      <c r="AE131" s="57" t="e">
        <f>LEFT('REPORTS PER EVALUATOR'!#REF!,1)</f>
        <v>#REF!</v>
      </c>
      <c r="AF131" s="93" t="e">
        <f>(RIGHT('REPORTS PER EVALUATOR'!#REF!,1))*1</f>
        <v>#REF!</v>
      </c>
      <c r="AG131" s="57" t="e">
        <f>LEFT('REPORTS PER EVALUATOR'!#REF!,1)</f>
        <v>#REF!</v>
      </c>
      <c r="AH131" s="93" t="e">
        <f>(RIGHT('REPORTS PER EVALUATOR'!#REF!,1))*1</f>
        <v>#REF!</v>
      </c>
      <c r="AI131" s="57" t="e">
        <f>LEFT('REPORTS PER EVALUATOR'!#REF!,1)</f>
        <v>#REF!</v>
      </c>
      <c r="AJ131" s="93" t="e">
        <f>(RIGHT('REPORTS PER EVALUATOR'!#REF!,1))*1</f>
        <v>#REF!</v>
      </c>
      <c r="AK131" s="57" t="e">
        <f>LEFT('REPORTS PER EVALUATOR'!#REF!,1)</f>
        <v>#REF!</v>
      </c>
      <c r="AL131" s="93" t="e">
        <f>(RIGHT('REPORTS PER EVALUATOR'!#REF!,1))*1</f>
        <v>#REF!</v>
      </c>
      <c r="AM131" s="57" t="e">
        <f>LEFT('REPORTS PER EVALUATOR'!#REF!,1)</f>
        <v>#REF!</v>
      </c>
      <c r="AN131" s="93" t="e">
        <f>(RIGHT('REPORTS PER EVALUATOR'!#REF!,1))*1</f>
        <v>#REF!</v>
      </c>
      <c r="AO131" s="57" t="e">
        <f>LEFT('REPORTS PER EVALUATOR'!#REF!,1)</f>
        <v>#REF!</v>
      </c>
      <c r="AP131" s="93" t="e">
        <f>(RIGHT('REPORTS PER EVALUATOR'!#REF!,1))*1</f>
        <v>#REF!</v>
      </c>
      <c r="AQ131" s="57" t="e">
        <f>LEFT('REPORTS PER EVALUATOR'!#REF!,1)</f>
        <v>#REF!</v>
      </c>
      <c r="AR131" s="93" t="e">
        <f>(RIGHT('REPORTS PER EVALUATOR'!#REF!,1))*1</f>
        <v>#REF!</v>
      </c>
    </row>
    <row r="132" spans="2:44" x14ac:dyDescent="0.2">
      <c r="B132" s="19" t="str">
        <f t="shared" si="7"/>
        <v>C</v>
      </c>
      <c r="C132" s="18" t="str">
        <f t="shared" si="6"/>
        <v>E</v>
      </c>
      <c r="D132" s="18" t="s">
        <v>29</v>
      </c>
      <c r="E132" s="26" t="str">
        <f>LEFT('REPORTS PER EVALUATOR'!$AL$8,1)</f>
        <v>E</v>
      </c>
      <c r="F132" s="73">
        <f>(RIGHT('REPORTS PER EVALUATOR'!$AL$8,1))*1</f>
        <v>3</v>
      </c>
      <c r="G132" s="11" t="str">
        <f>LEFT('REPORTS PER EVALUATOR'!$AL$20,1)</f>
        <v>E</v>
      </c>
      <c r="H132" s="81">
        <f>(RIGHT('REPORTS PER EVALUATOR'!$AL$20,1))*1</f>
        <v>5</v>
      </c>
      <c r="I132" s="11" t="str">
        <f>LEFT('REPORTS PER EVALUATOR'!$AL$32,1)</f>
        <v>C</v>
      </c>
      <c r="J132" s="81">
        <f>(RIGHT('REPORTS PER EVALUATOR'!$AL$32,1))*1</f>
        <v>3</v>
      </c>
      <c r="K132" s="11" t="str">
        <f>LEFT('REPORTS PER EVALUATOR'!$AL$44,1)</f>
        <v>1</v>
      </c>
      <c r="L132" s="81">
        <f>(RIGHT('REPORTS PER EVALUATOR'!$AL$44,1))*1</f>
        <v>1</v>
      </c>
      <c r="M132" s="11" t="str">
        <f>LEFT('REPORTS PER EVALUATOR'!$AL$56,1)</f>
        <v>E</v>
      </c>
      <c r="N132" s="81">
        <f>(RIGHT('REPORTS PER EVALUATOR'!$AL$56,1))*1</f>
        <v>5</v>
      </c>
      <c r="O132" s="11" t="str">
        <f>LEFT('REPORTS PER EVALUATOR'!$AL$68,1)</f>
        <v>E</v>
      </c>
      <c r="P132" s="81">
        <f>(RIGHT('REPORTS PER EVALUATOR'!$AL$68,1))*1</f>
        <v>5</v>
      </c>
      <c r="Q132" s="11" t="str">
        <f>LEFT('REPORTS PER EVALUATOR'!$AL$80,1)</f>
        <v>E</v>
      </c>
      <c r="R132" s="81">
        <f>(RIGHT('REPORTS PER EVALUATOR'!$AL$80,1))*1</f>
        <v>5</v>
      </c>
      <c r="S132" s="11" t="str">
        <f>LEFT('REPORTS PER EVALUATOR'!$AL$92,1)</f>
        <v>E</v>
      </c>
      <c r="T132" s="81">
        <f>(RIGHT('REPORTS PER EVALUATOR'!$AL$92,1))*1</f>
        <v>2</v>
      </c>
      <c r="U132" s="11" t="str">
        <f>LEFT('REPORTS PER EVALUATOR'!$AL$104,1)</f>
        <v>1</v>
      </c>
      <c r="V132" s="81">
        <f>(RIGHT('REPORTS PER EVALUATOR'!$AL$104,1))*1</f>
        <v>1</v>
      </c>
      <c r="W132" s="11" t="str">
        <f>LEFT('REPORTS PER EVALUATOR'!$AL$116,1)</f>
        <v>1</v>
      </c>
      <c r="X132" s="81">
        <f>(RIGHT('REPORTS PER EVALUATOR'!$AL$116,1))*1</f>
        <v>1</v>
      </c>
      <c r="Y132" s="11" t="str">
        <f>LEFT('REPORTS PER EVALUATOR'!$AL$128,1)</f>
        <v>E</v>
      </c>
      <c r="Z132" s="92">
        <f>(RIGHT('REPORTS PER EVALUATOR'!$AL$128,1))*1</f>
        <v>2</v>
      </c>
      <c r="AA132" s="11" t="e">
        <f>LEFT('REPORTS PER EVALUATOR'!#REF!,1)</f>
        <v>#REF!</v>
      </c>
      <c r="AB132" s="92" t="e">
        <f>(RIGHT('REPORTS PER EVALUATOR'!#REF!,1))*1</f>
        <v>#REF!</v>
      </c>
      <c r="AC132" s="11" t="e">
        <f>LEFT('REPORTS PER EVALUATOR'!#REF!,1)</f>
        <v>#REF!</v>
      </c>
      <c r="AD132" s="92" t="e">
        <f>(RIGHT('REPORTS PER EVALUATOR'!#REF!,1))*1</f>
        <v>#REF!</v>
      </c>
      <c r="AE132" s="11" t="e">
        <f>LEFT('REPORTS PER EVALUATOR'!#REF!,1)</f>
        <v>#REF!</v>
      </c>
      <c r="AF132" s="92" t="e">
        <f>(RIGHT('REPORTS PER EVALUATOR'!#REF!,1))*1</f>
        <v>#REF!</v>
      </c>
      <c r="AG132" s="11" t="e">
        <f>LEFT('REPORTS PER EVALUATOR'!#REF!,1)</f>
        <v>#REF!</v>
      </c>
      <c r="AH132" s="92" t="e">
        <f>(RIGHT('REPORTS PER EVALUATOR'!#REF!,1))*1</f>
        <v>#REF!</v>
      </c>
      <c r="AI132" s="11" t="e">
        <f>LEFT('REPORTS PER EVALUATOR'!#REF!,1)</f>
        <v>#REF!</v>
      </c>
      <c r="AJ132" s="92" t="e">
        <f>(RIGHT('REPORTS PER EVALUATOR'!#REF!,1))*1</f>
        <v>#REF!</v>
      </c>
      <c r="AK132" s="11" t="e">
        <f>LEFT('REPORTS PER EVALUATOR'!#REF!,1)</f>
        <v>#REF!</v>
      </c>
      <c r="AL132" s="92" t="e">
        <f>(RIGHT('REPORTS PER EVALUATOR'!#REF!,1))*1</f>
        <v>#REF!</v>
      </c>
      <c r="AM132" s="11" t="e">
        <f>LEFT('REPORTS PER EVALUATOR'!#REF!,1)</f>
        <v>#REF!</v>
      </c>
      <c r="AN132" s="92" t="e">
        <f>(RIGHT('REPORTS PER EVALUATOR'!#REF!,1))*1</f>
        <v>#REF!</v>
      </c>
      <c r="AO132" s="11" t="e">
        <f>LEFT('REPORTS PER EVALUATOR'!#REF!,1)</f>
        <v>#REF!</v>
      </c>
      <c r="AP132" s="92" t="e">
        <f>(RIGHT('REPORTS PER EVALUATOR'!#REF!,1))*1</f>
        <v>#REF!</v>
      </c>
      <c r="AQ132" s="11" t="e">
        <f>LEFT('REPORTS PER EVALUATOR'!#REF!,1)</f>
        <v>#REF!</v>
      </c>
      <c r="AR132" s="92" t="e">
        <f>(RIGHT('REPORTS PER EVALUATOR'!#REF!,1))*1</f>
        <v>#REF!</v>
      </c>
    </row>
    <row r="133" spans="2:44" x14ac:dyDescent="0.2">
      <c r="B133" s="19" t="str">
        <f t="shared" ref="B133:B166" si="8">LEFT(D133,1)</f>
        <v>C</v>
      </c>
      <c r="C133" s="18" t="str">
        <f t="shared" ref="C133:C166" si="9">RIGHT(D133,1)</f>
        <v>F</v>
      </c>
      <c r="D133" s="18" t="s">
        <v>30</v>
      </c>
      <c r="E133" s="26" t="str">
        <f>LEFT('REPORTS PER EVALUATOR'!$AM$8,1)</f>
        <v>F</v>
      </c>
      <c r="F133" s="73">
        <f>(RIGHT('REPORTS PER EVALUATOR'!$AM$8,1))*1</f>
        <v>3</v>
      </c>
      <c r="G133" s="11" t="str">
        <f>LEFT('REPORTS PER EVALUATOR'!$AM$20,1)</f>
        <v>F</v>
      </c>
      <c r="H133" s="81">
        <f>(RIGHT('REPORTS PER EVALUATOR'!$AM$20,1))*1</f>
        <v>4</v>
      </c>
      <c r="I133" s="11" t="str">
        <f>LEFT('REPORTS PER EVALUATOR'!$AM$32,1)</f>
        <v>F</v>
      </c>
      <c r="J133" s="81">
        <f>(RIGHT('REPORTS PER EVALUATOR'!$AM$32,1))*1</f>
        <v>3</v>
      </c>
      <c r="K133" s="11" t="str">
        <f>LEFT('REPORTS PER EVALUATOR'!$AM$44,1)</f>
        <v>F</v>
      </c>
      <c r="L133" s="81">
        <f>(RIGHT('REPORTS PER EVALUATOR'!$AM$44,1))*1</f>
        <v>2</v>
      </c>
      <c r="M133" s="11" t="str">
        <f>LEFT('REPORTS PER EVALUATOR'!$AM$56,1)</f>
        <v>F</v>
      </c>
      <c r="N133" s="81">
        <f>(RIGHT('REPORTS PER EVALUATOR'!$AM$56,1))*1</f>
        <v>6</v>
      </c>
      <c r="O133" s="11" t="str">
        <f>LEFT('REPORTS PER EVALUATOR'!$AM$68,1)</f>
        <v>F</v>
      </c>
      <c r="P133" s="81">
        <f>(RIGHT('REPORTS PER EVALUATOR'!$AM$68,1))*1</f>
        <v>5</v>
      </c>
      <c r="Q133" s="11" t="str">
        <f>LEFT('REPORTS PER EVALUATOR'!$AM$80,1)</f>
        <v>F</v>
      </c>
      <c r="R133" s="81">
        <f>(RIGHT('REPORTS PER EVALUATOR'!$AM$80,1))*1</f>
        <v>5</v>
      </c>
      <c r="S133" s="11" t="str">
        <f>LEFT('REPORTS PER EVALUATOR'!$AM$92,1)</f>
        <v>1</v>
      </c>
      <c r="T133" s="81">
        <f>(RIGHT('REPORTS PER EVALUATOR'!$AM$92,1))*1</f>
        <v>1</v>
      </c>
      <c r="U133" s="11" t="str">
        <f>LEFT('REPORTS PER EVALUATOR'!$AM$104,1)</f>
        <v>C</v>
      </c>
      <c r="V133" s="81">
        <f>(RIGHT('REPORTS PER EVALUATOR'!$AM$104,1))*1</f>
        <v>2</v>
      </c>
      <c r="W133" s="11" t="str">
        <f>LEFT('REPORTS PER EVALUATOR'!$AM$116,1)</f>
        <v>F</v>
      </c>
      <c r="X133" s="81">
        <f>(RIGHT('REPORTS PER EVALUATOR'!$AM$116,1))*1</f>
        <v>2</v>
      </c>
      <c r="Y133" s="11" t="str">
        <f>LEFT('REPORTS PER EVALUATOR'!$AM$128,1)</f>
        <v>1</v>
      </c>
      <c r="Z133" s="92">
        <f>(RIGHT('REPORTS PER EVALUATOR'!$AM$128,1))*1</f>
        <v>1</v>
      </c>
      <c r="AA133" s="11" t="e">
        <f>LEFT('REPORTS PER EVALUATOR'!#REF!,1)</f>
        <v>#REF!</v>
      </c>
      <c r="AB133" s="92" t="e">
        <f>(RIGHT('REPORTS PER EVALUATOR'!#REF!,1))*1</f>
        <v>#REF!</v>
      </c>
      <c r="AC133" s="11" t="e">
        <f>LEFT('REPORTS PER EVALUATOR'!#REF!,1)</f>
        <v>#REF!</v>
      </c>
      <c r="AD133" s="92" t="e">
        <f>(RIGHT('REPORTS PER EVALUATOR'!#REF!,1))*1</f>
        <v>#REF!</v>
      </c>
      <c r="AE133" s="11" t="e">
        <f>LEFT('REPORTS PER EVALUATOR'!#REF!,1)</f>
        <v>#REF!</v>
      </c>
      <c r="AF133" s="92" t="e">
        <f>(RIGHT('REPORTS PER EVALUATOR'!#REF!,1))*1</f>
        <v>#REF!</v>
      </c>
      <c r="AG133" s="11" t="e">
        <f>LEFT('REPORTS PER EVALUATOR'!#REF!,1)</f>
        <v>#REF!</v>
      </c>
      <c r="AH133" s="92" t="e">
        <f>(RIGHT('REPORTS PER EVALUATOR'!#REF!,1))*1</f>
        <v>#REF!</v>
      </c>
      <c r="AI133" s="11" t="e">
        <f>LEFT('REPORTS PER EVALUATOR'!#REF!,1)</f>
        <v>#REF!</v>
      </c>
      <c r="AJ133" s="92" t="e">
        <f>(RIGHT('REPORTS PER EVALUATOR'!#REF!,1))*1</f>
        <v>#REF!</v>
      </c>
      <c r="AK133" s="11" t="e">
        <f>LEFT('REPORTS PER EVALUATOR'!#REF!,1)</f>
        <v>#REF!</v>
      </c>
      <c r="AL133" s="92" t="e">
        <f>(RIGHT('REPORTS PER EVALUATOR'!#REF!,1))*1</f>
        <v>#REF!</v>
      </c>
      <c r="AM133" s="11" t="e">
        <f>LEFT('REPORTS PER EVALUATOR'!#REF!,1)</f>
        <v>#REF!</v>
      </c>
      <c r="AN133" s="92" t="e">
        <f>(RIGHT('REPORTS PER EVALUATOR'!#REF!,1))*1</f>
        <v>#REF!</v>
      </c>
      <c r="AO133" s="11" t="e">
        <f>LEFT('REPORTS PER EVALUATOR'!#REF!,1)</f>
        <v>#REF!</v>
      </c>
      <c r="AP133" s="92" t="e">
        <f>(RIGHT('REPORTS PER EVALUATOR'!#REF!,1))*1</f>
        <v>#REF!</v>
      </c>
      <c r="AQ133" s="11" t="e">
        <f>LEFT('REPORTS PER EVALUATOR'!#REF!,1)</f>
        <v>#REF!</v>
      </c>
      <c r="AR133" s="92" t="e">
        <f>(RIGHT('REPORTS PER EVALUATOR'!#REF!,1))*1</f>
        <v>#REF!</v>
      </c>
    </row>
    <row r="134" spans="2:44" x14ac:dyDescent="0.2">
      <c r="B134" s="19" t="str">
        <f t="shared" si="8"/>
        <v>C</v>
      </c>
      <c r="C134" s="18" t="str">
        <f t="shared" si="9"/>
        <v>G</v>
      </c>
      <c r="D134" s="18" t="s">
        <v>31</v>
      </c>
      <c r="E134" s="26" t="str">
        <f>LEFT('REPORTS PER EVALUATOR'!$AN$8,1)</f>
        <v>1</v>
      </c>
      <c r="F134" s="73">
        <f>(RIGHT('REPORTS PER EVALUATOR'!$AN$8,1))*1</f>
        <v>1</v>
      </c>
      <c r="G134" s="11" t="str">
        <f>LEFT('REPORTS PER EVALUATOR'!$AN$20,1)</f>
        <v>G</v>
      </c>
      <c r="H134" s="81">
        <f>(RIGHT('REPORTS PER EVALUATOR'!$AN$20,1))*1</f>
        <v>2</v>
      </c>
      <c r="I134" s="11" t="str">
        <f>LEFT('REPORTS PER EVALUATOR'!$AN$32,1)</f>
        <v>C</v>
      </c>
      <c r="J134" s="81">
        <f>(RIGHT('REPORTS PER EVALUATOR'!$AN$32,1))*1</f>
        <v>3</v>
      </c>
      <c r="K134" s="11" t="str">
        <f>LEFT('REPORTS PER EVALUATOR'!$AN$44,1)</f>
        <v>G</v>
      </c>
      <c r="L134" s="81">
        <f>(RIGHT('REPORTS PER EVALUATOR'!$AN$44,1))*1</f>
        <v>2</v>
      </c>
      <c r="M134" s="11" t="str">
        <f>LEFT('REPORTS PER EVALUATOR'!$AN$56,1)</f>
        <v>G</v>
      </c>
      <c r="N134" s="81">
        <f>(RIGHT('REPORTS PER EVALUATOR'!$AN$56,1))*1</f>
        <v>4</v>
      </c>
      <c r="O134" s="11" t="str">
        <f>LEFT('REPORTS PER EVALUATOR'!$AN$68,1)</f>
        <v>G</v>
      </c>
      <c r="P134" s="81">
        <f>(RIGHT('REPORTS PER EVALUATOR'!$AN$68,1))*1</f>
        <v>3</v>
      </c>
      <c r="Q134" s="11" t="str">
        <f>LEFT('REPORTS PER EVALUATOR'!$AN$80,1)</f>
        <v>G</v>
      </c>
      <c r="R134" s="81">
        <f>(RIGHT('REPORTS PER EVALUATOR'!$AN$80,1))*1</f>
        <v>5</v>
      </c>
      <c r="S134" s="11" t="str">
        <f>LEFT('REPORTS PER EVALUATOR'!$AN$92,1)</f>
        <v>C</v>
      </c>
      <c r="T134" s="81">
        <f>(RIGHT('REPORTS PER EVALUATOR'!$AN$92,1))*1</f>
        <v>6</v>
      </c>
      <c r="U134" s="11" t="str">
        <f>LEFT('REPORTS PER EVALUATOR'!$AN$104,1)</f>
        <v>C</v>
      </c>
      <c r="V134" s="81">
        <f>(RIGHT('REPORTS PER EVALUATOR'!$AN$104,1))*1</f>
        <v>4</v>
      </c>
      <c r="W134" s="11" t="str">
        <f>LEFT('REPORTS PER EVALUATOR'!$AN$116,1)</f>
        <v>G</v>
      </c>
      <c r="X134" s="81">
        <f>(RIGHT('REPORTS PER EVALUATOR'!$AN$116,1))*1</f>
        <v>2</v>
      </c>
      <c r="Y134" s="11" t="str">
        <f>LEFT('REPORTS PER EVALUATOR'!$AN$128,1)</f>
        <v>C</v>
      </c>
      <c r="Z134" s="92">
        <f>(RIGHT('REPORTS PER EVALUATOR'!$AN$128,1))*1</f>
        <v>3</v>
      </c>
      <c r="AA134" s="11" t="e">
        <f>LEFT('REPORTS PER EVALUATOR'!#REF!,1)</f>
        <v>#REF!</v>
      </c>
      <c r="AB134" s="92" t="e">
        <f>(RIGHT('REPORTS PER EVALUATOR'!#REF!,1))*1</f>
        <v>#REF!</v>
      </c>
      <c r="AC134" s="11" t="e">
        <f>LEFT('REPORTS PER EVALUATOR'!#REF!,1)</f>
        <v>#REF!</v>
      </c>
      <c r="AD134" s="92" t="e">
        <f>(RIGHT('REPORTS PER EVALUATOR'!#REF!,1))*1</f>
        <v>#REF!</v>
      </c>
      <c r="AE134" s="11" t="e">
        <f>LEFT('REPORTS PER EVALUATOR'!#REF!,1)</f>
        <v>#REF!</v>
      </c>
      <c r="AF134" s="92" t="e">
        <f>(RIGHT('REPORTS PER EVALUATOR'!#REF!,1))*1</f>
        <v>#REF!</v>
      </c>
      <c r="AG134" s="11" t="e">
        <f>LEFT('REPORTS PER EVALUATOR'!#REF!,1)</f>
        <v>#REF!</v>
      </c>
      <c r="AH134" s="92" t="e">
        <f>(RIGHT('REPORTS PER EVALUATOR'!#REF!,1))*1</f>
        <v>#REF!</v>
      </c>
      <c r="AI134" s="11" t="e">
        <f>LEFT('REPORTS PER EVALUATOR'!#REF!,1)</f>
        <v>#REF!</v>
      </c>
      <c r="AJ134" s="92" t="e">
        <f>(RIGHT('REPORTS PER EVALUATOR'!#REF!,1))*1</f>
        <v>#REF!</v>
      </c>
      <c r="AK134" s="11" t="e">
        <f>LEFT('REPORTS PER EVALUATOR'!#REF!,1)</f>
        <v>#REF!</v>
      </c>
      <c r="AL134" s="92" t="e">
        <f>(RIGHT('REPORTS PER EVALUATOR'!#REF!,1))*1</f>
        <v>#REF!</v>
      </c>
      <c r="AM134" s="11" t="e">
        <f>LEFT('REPORTS PER EVALUATOR'!#REF!,1)</f>
        <v>#REF!</v>
      </c>
      <c r="AN134" s="92" t="e">
        <f>(RIGHT('REPORTS PER EVALUATOR'!#REF!,1))*1</f>
        <v>#REF!</v>
      </c>
      <c r="AO134" s="11" t="e">
        <f>LEFT('REPORTS PER EVALUATOR'!#REF!,1)</f>
        <v>#REF!</v>
      </c>
      <c r="AP134" s="92" t="e">
        <f>(RIGHT('REPORTS PER EVALUATOR'!#REF!,1))*1</f>
        <v>#REF!</v>
      </c>
      <c r="AQ134" s="11" t="e">
        <f>LEFT('REPORTS PER EVALUATOR'!#REF!,1)</f>
        <v>#REF!</v>
      </c>
      <c r="AR134" s="92" t="e">
        <f>(RIGHT('REPORTS PER EVALUATOR'!#REF!,1))*1</f>
        <v>#REF!</v>
      </c>
    </row>
    <row r="135" spans="2:44" x14ac:dyDescent="0.2">
      <c r="B135" s="19" t="str">
        <f t="shared" si="8"/>
        <v>C</v>
      </c>
      <c r="C135" s="18" t="str">
        <f t="shared" si="9"/>
        <v>H</v>
      </c>
      <c r="D135" s="18" t="s">
        <v>32</v>
      </c>
      <c r="E135" s="26" t="str">
        <f>LEFT('REPORTS PER EVALUATOR'!$AO$8,1)</f>
        <v>H</v>
      </c>
      <c r="F135" s="73">
        <f>(RIGHT('REPORTS PER EVALUATOR'!$AO$8,1))*1</f>
        <v>3</v>
      </c>
      <c r="G135" s="11" t="str">
        <f>LEFT('REPORTS PER EVALUATOR'!$AO$20,1)</f>
        <v>H</v>
      </c>
      <c r="H135" s="81">
        <f>(RIGHT('REPORTS PER EVALUATOR'!$AO$20,1))*1</f>
        <v>3</v>
      </c>
      <c r="I135" s="11" t="str">
        <f>LEFT('REPORTS PER EVALUATOR'!$AO$32,1)</f>
        <v>H</v>
      </c>
      <c r="J135" s="81">
        <f>(RIGHT('REPORTS PER EVALUATOR'!$AO$32,1))*1</f>
        <v>3</v>
      </c>
      <c r="K135" s="11" t="str">
        <f>LEFT('REPORTS PER EVALUATOR'!$AO$44,1)</f>
        <v>C</v>
      </c>
      <c r="L135" s="81">
        <f>(RIGHT('REPORTS PER EVALUATOR'!$AO$44,1))*1</f>
        <v>3</v>
      </c>
      <c r="M135" s="11" t="str">
        <f>LEFT('REPORTS PER EVALUATOR'!$AO$56,1)</f>
        <v>H</v>
      </c>
      <c r="N135" s="81">
        <f>(RIGHT('REPORTS PER EVALUATOR'!$AO$56,1))*1</f>
        <v>4</v>
      </c>
      <c r="O135" s="11" t="str">
        <f>LEFT('REPORTS PER EVALUATOR'!$AO$68,1)</f>
        <v>H</v>
      </c>
      <c r="P135" s="81">
        <f>(RIGHT('REPORTS PER EVALUATOR'!$AO$68,1))*1</f>
        <v>5</v>
      </c>
      <c r="Q135" s="11" t="str">
        <f>LEFT('REPORTS PER EVALUATOR'!$AO$80,1)</f>
        <v>H</v>
      </c>
      <c r="R135" s="81">
        <f>(RIGHT('REPORTS PER EVALUATOR'!$AO$80,1))*1</f>
        <v>5</v>
      </c>
      <c r="S135" s="11" t="str">
        <f>LEFT('REPORTS PER EVALUATOR'!$AO$92,1)</f>
        <v>H</v>
      </c>
      <c r="T135" s="81">
        <f>(RIGHT('REPORTS PER EVALUATOR'!$AO$92,1))*1</f>
        <v>3</v>
      </c>
      <c r="U135" s="11" t="str">
        <f>LEFT('REPORTS PER EVALUATOR'!$AO$104,1)</f>
        <v>1</v>
      </c>
      <c r="V135" s="81">
        <f>(RIGHT('REPORTS PER EVALUATOR'!$AO$104,1))*1</f>
        <v>1</v>
      </c>
      <c r="W135" s="11" t="str">
        <f>LEFT('REPORTS PER EVALUATOR'!$AO$116,1)</f>
        <v>H</v>
      </c>
      <c r="X135" s="81">
        <f>(RIGHT('REPORTS PER EVALUATOR'!$AO$116,1))*1</f>
        <v>3</v>
      </c>
      <c r="Y135" s="11" t="str">
        <f>LEFT('REPORTS PER EVALUATOR'!$AO$128,1)</f>
        <v>1</v>
      </c>
      <c r="Z135" s="92">
        <f>(RIGHT('REPORTS PER EVALUATOR'!$AO$128,1))*1</f>
        <v>1</v>
      </c>
      <c r="AA135" s="11" t="e">
        <f>LEFT('REPORTS PER EVALUATOR'!#REF!,1)</f>
        <v>#REF!</v>
      </c>
      <c r="AB135" s="92" t="e">
        <f>(RIGHT('REPORTS PER EVALUATOR'!#REF!,1))*1</f>
        <v>#REF!</v>
      </c>
      <c r="AC135" s="11" t="e">
        <f>LEFT('REPORTS PER EVALUATOR'!#REF!,1)</f>
        <v>#REF!</v>
      </c>
      <c r="AD135" s="92" t="e">
        <f>(RIGHT('REPORTS PER EVALUATOR'!#REF!,1))*1</f>
        <v>#REF!</v>
      </c>
      <c r="AE135" s="11" t="e">
        <f>LEFT('REPORTS PER EVALUATOR'!#REF!,1)</f>
        <v>#REF!</v>
      </c>
      <c r="AF135" s="92" t="e">
        <f>(RIGHT('REPORTS PER EVALUATOR'!#REF!,1))*1</f>
        <v>#REF!</v>
      </c>
      <c r="AG135" s="11" t="e">
        <f>LEFT('REPORTS PER EVALUATOR'!#REF!,1)</f>
        <v>#REF!</v>
      </c>
      <c r="AH135" s="92" t="e">
        <f>(RIGHT('REPORTS PER EVALUATOR'!#REF!,1))*1</f>
        <v>#REF!</v>
      </c>
      <c r="AI135" s="11" t="e">
        <f>LEFT('REPORTS PER EVALUATOR'!#REF!,1)</f>
        <v>#REF!</v>
      </c>
      <c r="AJ135" s="92" t="e">
        <f>(RIGHT('REPORTS PER EVALUATOR'!#REF!,1))*1</f>
        <v>#REF!</v>
      </c>
      <c r="AK135" s="11" t="e">
        <f>LEFT('REPORTS PER EVALUATOR'!#REF!,1)</f>
        <v>#REF!</v>
      </c>
      <c r="AL135" s="92" t="e">
        <f>(RIGHT('REPORTS PER EVALUATOR'!#REF!,1))*1</f>
        <v>#REF!</v>
      </c>
      <c r="AM135" s="11" t="e">
        <f>LEFT('REPORTS PER EVALUATOR'!#REF!,1)</f>
        <v>#REF!</v>
      </c>
      <c r="AN135" s="92" t="e">
        <f>(RIGHT('REPORTS PER EVALUATOR'!#REF!,1))*1</f>
        <v>#REF!</v>
      </c>
      <c r="AO135" s="11" t="e">
        <f>LEFT('REPORTS PER EVALUATOR'!#REF!,1)</f>
        <v>#REF!</v>
      </c>
      <c r="AP135" s="92" t="e">
        <f>(RIGHT('REPORTS PER EVALUATOR'!#REF!,1))*1</f>
        <v>#REF!</v>
      </c>
      <c r="AQ135" s="11" t="e">
        <f>LEFT('REPORTS PER EVALUATOR'!#REF!,1)</f>
        <v>#REF!</v>
      </c>
      <c r="AR135" s="92" t="e">
        <f>(RIGHT('REPORTS PER EVALUATOR'!#REF!,1))*1</f>
        <v>#REF!</v>
      </c>
    </row>
    <row r="136" spans="2:44" x14ac:dyDescent="0.2">
      <c r="B136" s="19" t="str">
        <f t="shared" si="8"/>
        <v>C</v>
      </c>
      <c r="C136" s="18" t="str">
        <f t="shared" si="9"/>
        <v>I</v>
      </c>
      <c r="D136" s="18" t="s">
        <v>33</v>
      </c>
      <c r="E136" s="26" t="str">
        <f>LEFT('REPORTS PER EVALUATOR'!$AP$8,1)</f>
        <v>I</v>
      </c>
      <c r="F136" s="73">
        <f>(RIGHT('REPORTS PER EVALUATOR'!$AP$8,1))*1</f>
        <v>3</v>
      </c>
      <c r="G136" s="11" t="str">
        <f>LEFT('REPORTS PER EVALUATOR'!$AP$20,1)</f>
        <v>1</v>
      </c>
      <c r="H136" s="81">
        <f>(RIGHT('REPORTS PER EVALUATOR'!$AP$20,1))*1</f>
        <v>1</v>
      </c>
      <c r="I136" s="11" t="str">
        <f>LEFT('REPORTS PER EVALUATOR'!$AP$32,1)</f>
        <v>I</v>
      </c>
      <c r="J136" s="81">
        <f>(RIGHT('REPORTS PER EVALUATOR'!$AP$32,1))*1</f>
        <v>2</v>
      </c>
      <c r="K136" s="11" t="str">
        <f>LEFT('REPORTS PER EVALUATOR'!$AP$44,1)</f>
        <v>I</v>
      </c>
      <c r="L136" s="81">
        <f>(RIGHT('REPORTS PER EVALUATOR'!$AP$44,1))*1</f>
        <v>2</v>
      </c>
      <c r="M136" s="11" t="str">
        <f>LEFT('REPORTS PER EVALUATOR'!$AP$56,1)</f>
        <v>I</v>
      </c>
      <c r="N136" s="81">
        <f>(RIGHT('REPORTS PER EVALUATOR'!$AP$56,1))*1</f>
        <v>4</v>
      </c>
      <c r="O136" s="11" t="str">
        <f>LEFT('REPORTS PER EVALUATOR'!$AP$68,1)</f>
        <v>I</v>
      </c>
      <c r="P136" s="81">
        <f>(RIGHT('REPORTS PER EVALUATOR'!$AP$68,1))*1</f>
        <v>5</v>
      </c>
      <c r="Q136" s="11" t="str">
        <f>LEFT('REPORTS PER EVALUATOR'!$AP$80,1)</f>
        <v>I</v>
      </c>
      <c r="R136" s="81">
        <f>(RIGHT('REPORTS PER EVALUATOR'!$AP$80,1))*1</f>
        <v>5</v>
      </c>
      <c r="S136" s="11" t="str">
        <f>LEFT('REPORTS PER EVALUATOR'!$AP$92,1)</f>
        <v>1</v>
      </c>
      <c r="T136" s="81">
        <f>(RIGHT('REPORTS PER EVALUATOR'!$AP$92,1))*1</f>
        <v>1</v>
      </c>
      <c r="U136" s="11" t="str">
        <f>LEFT('REPORTS PER EVALUATOR'!$AP$104,1)</f>
        <v>C</v>
      </c>
      <c r="V136" s="81">
        <f>(RIGHT('REPORTS PER EVALUATOR'!$AP$104,1))*1</f>
        <v>3</v>
      </c>
      <c r="W136" s="11" t="str">
        <f>LEFT('REPORTS PER EVALUATOR'!$AP$116,1)</f>
        <v>I</v>
      </c>
      <c r="X136" s="81">
        <f>(RIGHT('REPORTS PER EVALUATOR'!$AP$116,1))*1</f>
        <v>3</v>
      </c>
      <c r="Y136" s="11" t="str">
        <f>LEFT('REPORTS PER EVALUATOR'!$AP$128,1)</f>
        <v>1</v>
      </c>
      <c r="Z136" s="92">
        <f>(RIGHT('REPORTS PER EVALUATOR'!$AP$128,1))*1</f>
        <v>1</v>
      </c>
      <c r="AA136" s="11" t="e">
        <f>LEFT('REPORTS PER EVALUATOR'!#REF!,1)</f>
        <v>#REF!</v>
      </c>
      <c r="AB136" s="92" t="e">
        <f>(RIGHT('REPORTS PER EVALUATOR'!#REF!,1))*1</f>
        <v>#REF!</v>
      </c>
      <c r="AC136" s="11" t="e">
        <f>LEFT('REPORTS PER EVALUATOR'!#REF!,1)</f>
        <v>#REF!</v>
      </c>
      <c r="AD136" s="92" t="e">
        <f>(RIGHT('REPORTS PER EVALUATOR'!#REF!,1))*1</f>
        <v>#REF!</v>
      </c>
      <c r="AE136" s="11" t="e">
        <f>LEFT('REPORTS PER EVALUATOR'!#REF!,1)</f>
        <v>#REF!</v>
      </c>
      <c r="AF136" s="92" t="e">
        <f>(RIGHT('REPORTS PER EVALUATOR'!#REF!,1))*1</f>
        <v>#REF!</v>
      </c>
      <c r="AG136" s="11" t="e">
        <f>LEFT('REPORTS PER EVALUATOR'!#REF!,1)</f>
        <v>#REF!</v>
      </c>
      <c r="AH136" s="92" t="e">
        <f>(RIGHT('REPORTS PER EVALUATOR'!#REF!,1))*1</f>
        <v>#REF!</v>
      </c>
      <c r="AI136" s="11" t="e">
        <f>LEFT('REPORTS PER EVALUATOR'!#REF!,1)</f>
        <v>#REF!</v>
      </c>
      <c r="AJ136" s="92" t="e">
        <f>(RIGHT('REPORTS PER EVALUATOR'!#REF!,1))*1</f>
        <v>#REF!</v>
      </c>
      <c r="AK136" s="11" t="e">
        <f>LEFT('REPORTS PER EVALUATOR'!#REF!,1)</f>
        <v>#REF!</v>
      </c>
      <c r="AL136" s="92" t="e">
        <f>(RIGHT('REPORTS PER EVALUATOR'!#REF!,1))*1</f>
        <v>#REF!</v>
      </c>
      <c r="AM136" s="11" t="e">
        <f>LEFT('REPORTS PER EVALUATOR'!#REF!,1)</f>
        <v>#REF!</v>
      </c>
      <c r="AN136" s="92" t="e">
        <f>(RIGHT('REPORTS PER EVALUATOR'!#REF!,1))*1</f>
        <v>#REF!</v>
      </c>
      <c r="AO136" s="11" t="e">
        <f>LEFT('REPORTS PER EVALUATOR'!#REF!,1)</f>
        <v>#REF!</v>
      </c>
      <c r="AP136" s="92" t="e">
        <f>(RIGHT('REPORTS PER EVALUATOR'!#REF!,1))*1</f>
        <v>#REF!</v>
      </c>
      <c r="AQ136" s="11" t="e">
        <f>LEFT('REPORTS PER EVALUATOR'!#REF!,1)</f>
        <v>#REF!</v>
      </c>
      <c r="AR136" s="92" t="e">
        <f>(RIGHT('REPORTS PER EVALUATOR'!#REF!,1))*1</f>
        <v>#REF!</v>
      </c>
    </row>
    <row r="137" spans="2:44" x14ac:dyDescent="0.2">
      <c r="B137" s="19" t="str">
        <f t="shared" si="8"/>
        <v>C</v>
      </c>
      <c r="C137" s="18" t="str">
        <f t="shared" si="9"/>
        <v>L</v>
      </c>
      <c r="D137" s="18" t="s">
        <v>34</v>
      </c>
      <c r="E137" s="26" t="str">
        <f>LEFT('REPORTS PER EVALUATOR'!$AQ$8,1)</f>
        <v>1</v>
      </c>
      <c r="F137" s="73">
        <f>(RIGHT('REPORTS PER EVALUATOR'!$AQ$8,1))*1</f>
        <v>1</v>
      </c>
      <c r="G137" s="11" t="str">
        <f>LEFT('REPORTS PER EVALUATOR'!$AQ$20,1)</f>
        <v>1</v>
      </c>
      <c r="H137" s="81">
        <f>(RIGHT('REPORTS PER EVALUATOR'!$AQ$20,1))*1</f>
        <v>1</v>
      </c>
      <c r="I137" s="11" t="str">
        <f>LEFT('REPORTS PER EVALUATOR'!$AQ$32,1)</f>
        <v>L</v>
      </c>
      <c r="J137" s="81">
        <f>(RIGHT('REPORTS PER EVALUATOR'!$AQ$32,1))*1</f>
        <v>3</v>
      </c>
      <c r="K137" s="11" t="str">
        <f>LEFT('REPORTS PER EVALUATOR'!$AQ$44,1)</f>
        <v>C</v>
      </c>
      <c r="L137" s="81">
        <f>(RIGHT('REPORTS PER EVALUATOR'!$AQ$44,1))*1</f>
        <v>4</v>
      </c>
      <c r="M137" s="11" t="str">
        <f>LEFT('REPORTS PER EVALUATOR'!$AQ$56,1)</f>
        <v>L</v>
      </c>
      <c r="N137" s="81">
        <f>(RIGHT('REPORTS PER EVALUATOR'!$AQ$56,1))*1</f>
        <v>4</v>
      </c>
      <c r="O137" s="11" t="str">
        <f>LEFT('REPORTS PER EVALUATOR'!$AQ$68,1)</f>
        <v>L</v>
      </c>
      <c r="P137" s="81">
        <f>(RIGHT('REPORTS PER EVALUATOR'!$AQ$68,1))*1</f>
        <v>5</v>
      </c>
      <c r="Q137" s="11" t="str">
        <f>LEFT('REPORTS PER EVALUATOR'!$AQ$80,1)</f>
        <v>L</v>
      </c>
      <c r="R137" s="81">
        <f>(RIGHT('REPORTS PER EVALUATOR'!$AQ$80,1))*1</f>
        <v>4</v>
      </c>
      <c r="S137" s="11" t="str">
        <f>LEFT('REPORTS PER EVALUATOR'!$AQ$92,1)</f>
        <v>L</v>
      </c>
      <c r="T137" s="81">
        <f>(RIGHT('REPORTS PER EVALUATOR'!$AQ$92,1))*1</f>
        <v>3</v>
      </c>
      <c r="U137" s="11" t="str">
        <f>LEFT('REPORTS PER EVALUATOR'!$AQ$104,1)</f>
        <v>1</v>
      </c>
      <c r="V137" s="81">
        <f>(RIGHT('REPORTS PER EVALUATOR'!$AQ$104,1))*1</f>
        <v>1</v>
      </c>
      <c r="W137" s="11" t="str">
        <f>LEFT('REPORTS PER EVALUATOR'!$AQ$116,1)</f>
        <v>L</v>
      </c>
      <c r="X137" s="81">
        <f>(RIGHT('REPORTS PER EVALUATOR'!$AQ$116,1))*1</f>
        <v>2</v>
      </c>
      <c r="Y137" s="11" t="str">
        <f>LEFT('REPORTS PER EVALUATOR'!$AQ$128,1)</f>
        <v>C</v>
      </c>
      <c r="Z137" s="92">
        <f>(RIGHT('REPORTS PER EVALUATOR'!$AQ$128,1))*1</f>
        <v>2</v>
      </c>
      <c r="AA137" s="11" t="e">
        <f>LEFT('REPORTS PER EVALUATOR'!#REF!,1)</f>
        <v>#REF!</v>
      </c>
      <c r="AB137" s="92" t="e">
        <f>(RIGHT('REPORTS PER EVALUATOR'!#REF!,1))*1</f>
        <v>#REF!</v>
      </c>
      <c r="AC137" s="11" t="e">
        <f>LEFT('REPORTS PER EVALUATOR'!#REF!,1)</f>
        <v>#REF!</v>
      </c>
      <c r="AD137" s="92" t="e">
        <f>(RIGHT('REPORTS PER EVALUATOR'!#REF!,1))*1</f>
        <v>#REF!</v>
      </c>
      <c r="AE137" s="11" t="e">
        <f>LEFT('REPORTS PER EVALUATOR'!#REF!,1)</f>
        <v>#REF!</v>
      </c>
      <c r="AF137" s="92" t="e">
        <f>(RIGHT('REPORTS PER EVALUATOR'!#REF!,1))*1</f>
        <v>#REF!</v>
      </c>
      <c r="AG137" s="11" t="e">
        <f>LEFT('REPORTS PER EVALUATOR'!#REF!,1)</f>
        <v>#REF!</v>
      </c>
      <c r="AH137" s="92" t="e">
        <f>(RIGHT('REPORTS PER EVALUATOR'!#REF!,1))*1</f>
        <v>#REF!</v>
      </c>
      <c r="AI137" s="11" t="e">
        <f>LEFT('REPORTS PER EVALUATOR'!#REF!,1)</f>
        <v>#REF!</v>
      </c>
      <c r="AJ137" s="92" t="e">
        <f>(RIGHT('REPORTS PER EVALUATOR'!#REF!,1))*1</f>
        <v>#REF!</v>
      </c>
      <c r="AK137" s="11" t="e">
        <f>LEFT('REPORTS PER EVALUATOR'!#REF!,1)</f>
        <v>#REF!</v>
      </c>
      <c r="AL137" s="92" t="e">
        <f>(RIGHT('REPORTS PER EVALUATOR'!#REF!,1))*1</f>
        <v>#REF!</v>
      </c>
      <c r="AM137" s="11" t="e">
        <f>LEFT('REPORTS PER EVALUATOR'!#REF!,1)</f>
        <v>#REF!</v>
      </c>
      <c r="AN137" s="92" t="e">
        <f>(RIGHT('REPORTS PER EVALUATOR'!#REF!,1))*1</f>
        <v>#REF!</v>
      </c>
      <c r="AO137" s="11" t="e">
        <f>LEFT('REPORTS PER EVALUATOR'!#REF!,1)</f>
        <v>#REF!</v>
      </c>
      <c r="AP137" s="92" t="e">
        <f>(RIGHT('REPORTS PER EVALUATOR'!#REF!,1))*1</f>
        <v>#REF!</v>
      </c>
      <c r="AQ137" s="11" t="e">
        <f>LEFT('REPORTS PER EVALUATOR'!#REF!,1)</f>
        <v>#REF!</v>
      </c>
      <c r="AR137" s="92" t="e">
        <f>(RIGHT('REPORTS PER EVALUATOR'!#REF!,1))*1</f>
        <v>#REF!</v>
      </c>
    </row>
    <row r="138" spans="2:44" x14ac:dyDescent="0.2">
      <c r="B138" s="19" t="str">
        <f t="shared" si="8"/>
        <v>C</v>
      </c>
      <c r="C138" s="18" t="str">
        <f t="shared" si="9"/>
        <v>M</v>
      </c>
      <c r="D138" s="18" t="s">
        <v>159</v>
      </c>
      <c r="E138" s="26" t="str">
        <f>LEFT('REPORTS PER EVALUATOR'!$AR$8,1)</f>
        <v/>
      </c>
      <c r="F138" s="73" t="e">
        <f>(RIGHT('REPORTS PER EVALUATOR'!$AR$8,1))*1</f>
        <v>#VALUE!</v>
      </c>
      <c r="G138" s="11" t="str">
        <f>LEFT('REPORTS PER EVALUATOR'!$AR$20,1)</f>
        <v/>
      </c>
      <c r="H138" s="81" t="e">
        <f>(RIGHT('REPORTS PER EVALUATOR'!$AR$20,1))*1</f>
        <v>#VALUE!</v>
      </c>
      <c r="I138" s="11" t="str">
        <f>LEFT('REPORTS PER EVALUATOR'!$AR$32,1)</f>
        <v/>
      </c>
      <c r="J138" s="81" t="e">
        <f>(RIGHT('REPORTS PER EVALUATOR'!$AR$32,1))*1</f>
        <v>#VALUE!</v>
      </c>
      <c r="K138" s="11" t="str">
        <f>LEFT('REPORTS PER EVALUATOR'!$AR$44,1)</f>
        <v/>
      </c>
      <c r="L138" s="81" t="e">
        <f>(RIGHT('REPORTS PER EVALUATOR'!$AR$44,1))*1</f>
        <v>#VALUE!</v>
      </c>
      <c r="M138" s="11" t="str">
        <f>LEFT('REPORTS PER EVALUATOR'!$AR$56,1)</f>
        <v/>
      </c>
      <c r="N138" s="81" t="e">
        <f>(RIGHT('REPORTS PER EVALUATOR'!$AR$56,1))*1</f>
        <v>#VALUE!</v>
      </c>
      <c r="O138" s="11" t="str">
        <f>LEFT('REPORTS PER EVALUATOR'!$AR$68,1)</f>
        <v/>
      </c>
      <c r="P138" s="81" t="e">
        <f>(RIGHT('REPORTS PER EVALUATOR'!$AR$68,1))*1</f>
        <v>#VALUE!</v>
      </c>
      <c r="Q138" s="11" t="str">
        <f>LEFT('REPORTS PER EVALUATOR'!$AR$80,1)</f>
        <v/>
      </c>
      <c r="R138" s="81" t="e">
        <f>(RIGHT('REPORTS PER EVALUATOR'!$AR$80,1))*1</f>
        <v>#VALUE!</v>
      </c>
      <c r="S138" s="11" t="str">
        <f>LEFT('REPORTS PER EVALUATOR'!$AR$92,1)</f>
        <v/>
      </c>
      <c r="T138" s="81" t="e">
        <f>(RIGHT('REPORTS PER EVALUATOR'!$AR$92,1))*1</f>
        <v>#VALUE!</v>
      </c>
      <c r="U138" s="11" t="str">
        <f>LEFT('REPORTS PER EVALUATOR'!$AR$104,1)</f>
        <v/>
      </c>
      <c r="V138" s="81" t="e">
        <f>(RIGHT('REPORTS PER EVALUATOR'!$AR$104,1))*1</f>
        <v>#VALUE!</v>
      </c>
      <c r="W138" s="11" t="str">
        <f>LEFT('REPORTS PER EVALUATOR'!$AR$116,1)</f>
        <v/>
      </c>
      <c r="X138" s="81" t="e">
        <f>(RIGHT('REPORTS PER EVALUATOR'!$AR$116,1))*1</f>
        <v>#VALUE!</v>
      </c>
      <c r="Y138" s="11" t="str">
        <f>LEFT('REPORTS PER EVALUATOR'!$AR$128,1)</f>
        <v/>
      </c>
      <c r="Z138" s="92" t="e">
        <f>(RIGHT('REPORTS PER EVALUATOR'!$AR$128,1))*1</f>
        <v>#VALUE!</v>
      </c>
      <c r="AA138" s="11" t="e">
        <f>LEFT('REPORTS PER EVALUATOR'!#REF!,1)</f>
        <v>#REF!</v>
      </c>
      <c r="AB138" s="92" t="e">
        <f>(RIGHT('REPORTS PER EVALUATOR'!#REF!,1))*1</f>
        <v>#REF!</v>
      </c>
      <c r="AC138" s="11" t="e">
        <f>LEFT('REPORTS PER EVALUATOR'!#REF!,1)</f>
        <v>#REF!</v>
      </c>
      <c r="AD138" s="92" t="e">
        <f>(RIGHT('REPORTS PER EVALUATOR'!#REF!,1))*1</f>
        <v>#REF!</v>
      </c>
      <c r="AE138" s="11" t="e">
        <f>LEFT('REPORTS PER EVALUATOR'!#REF!,1)</f>
        <v>#REF!</v>
      </c>
      <c r="AF138" s="92" t="e">
        <f>(RIGHT('REPORTS PER EVALUATOR'!#REF!,1))*1</f>
        <v>#REF!</v>
      </c>
      <c r="AG138" s="11" t="e">
        <f>LEFT('REPORTS PER EVALUATOR'!#REF!,1)</f>
        <v>#REF!</v>
      </c>
      <c r="AH138" s="92" t="e">
        <f>(RIGHT('REPORTS PER EVALUATOR'!#REF!,1))*1</f>
        <v>#REF!</v>
      </c>
      <c r="AI138" s="11" t="e">
        <f>LEFT('REPORTS PER EVALUATOR'!#REF!,1)</f>
        <v>#REF!</v>
      </c>
      <c r="AJ138" s="92" t="e">
        <f>(RIGHT('REPORTS PER EVALUATOR'!#REF!,1))*1</f>
        <v>#REF!</v>
      </c>
      <c r="AK138" s="11" t="e">
        <f>LEFT('REPORTS PER EVALUATOR'!#REF!,1)</f>
        <v>#REF!</v>
      </c>
      <c r="AL138" s="92" t="e">
        <f>(RIGHT('REPORTS PER EVALUATOR'!#REF!,1))*1</f>
        <v>#REF!</v>
      </c>
      <c r="AM138" s="11" t="e">
        <f>LEFT('REPORTS PER EVALUATOR'!#REF!,1)</f>
        <v>#REF!</v>
      </c>
      <c r="AN138" s="92" t="e">
        <f>(RIGHT('REPORTS PER EVALUATOR'!#REF!,1))*1</f>
        <v>#REF!</v>
      </c>
      <c r="AO138" s="11" t="e">
        <f>LEFT('REPORTS PER EVALUATOR'!#REF!,1)</f>
        <v>#REF!</v>
      </c>
      <c r="AP138" s="92" t="e">
        <f>(RIGHT('REPORTS PER EVALUATOR'!#REF!,1))*1</f>
        <v>#REF!</v>
      </c>
      <c r="AQ138" s="11" t="e">
        <f>LEFT('REPORTS PER EVALUATOR'!#REF!,1)</f>
        <v>#REF!</v>
      </c>
      <c r="AR138" s="92" t="e">
        <f>(RIGHT('REPORTS PER EVALUATOR'!#REF!,1))*1</f>
        <v>#REF!</v>
      </c>
    </row>
    <row r="139" spans="2:44" x14ac:dyDescent="0.2">
      <c r="B139" s="19" t="str">
        <f t="shared" si="8"/>
        <v>D</v>
      </c>
      <c r="C139" s="18" t="str">
        <f t="shared" si="9"/>
        <v>E</v>
      </c>
      <c r="D139" s="18" t="s">
        <v>35</v>
      </c>
      <c r="E139" s="56" t="str">
        <f>LEFT('REPORTS PER EVALUATOR'!$AL$9,1)</f>
        <v>D</v>
      </c>
      <c r="F139" s="72">
        <f>(RIGHT('REPORTS PER EVALUATOR'!$AL$9,1))*1</f>
        <v>2</v>
      </c>
      <c r="G139" s="57" t="str">
        <f>LEFT('REPORTS PER EVALUATOR'!$AL$21,1)</f>
        <v>1</v>
      </c>
      <c r="H139" s="80">
        <f>(RIGHT('REPORTS PER EVALUATOR'!$AL$21,1))*1</f>
        <v>1</v>
      </c>
      <c r="I139" s="57" t="str">
        <f>LEFT('REPORTS PER EVALUATOR'!$AL$33,1)</f>
        <v>D</v>
      </c>
      <c r="J139" s="80">
        <f>(RIGHT('REPORTS PER EVALUATOR'!$AL$33,1))*1</f>
        <v>5</v>
      </c>
      <c r="K139" s="57" t="str">
        <f>LEFT('REPORTS PER EVALUATOR'!$AL$45,1)</f>
        <v>D</v>
      </c>
      <c r="L139" s="80">
        <f>(RIGHT('REPORTS PER EVALUATOR'!$AL$45,1))*1</f>
        <v>2</v>
      </c>
      <c r="M139" s="57" t="str">
        <f>LEFT('REPORTS PER EVALUATOR'!$AL$57,1)</f>
        <v>D</v>
      </c>
      <c r="N139" s="80">
        <f>(RIGHT('REPORTS PER EVALUATOR'!$AL$57,1))*1</f>
        <v>2</v>
      </c>
      <c r="O139" s="57" t="str">
        <f>LEFT('REPORTS PER EVALUATOR'!$AL$69,1)</f>
        <v>E</v>
      </c>
      <c r="P139" s="80">
        <f>(RIGHT('REPORTS PER EVALUATOR'!$AL$69,1))*1</f>
        <v>2</v>
      </c>
      <c r="Q139" s="57" t="str">
        <f>LEFT('REPORTS PER EVALUATOR'!$AL$81,1)</f>
        <v>E</v>
      </c>
      <c r="R139" s="80">
        <f>(RIGHT('REPORTS PER EVALUATOR'!$AL$81,1))*1</f>
        <v>3</v>
      </c>
      <c r="S139" s="57" t="str">
        <f>LEFT('REPORTS PER EVALUATOR'!$AL$93,1)</f>
        <v>D</v>
      </c>
      <c r="T139" s="80">
        <f>(RIGHT('REPORTS PER EVALUATOR'!$AL$93,1))*1</f>
        <v>2</v>
      </c>
      <c r="U139" s="57" t="str">
        <f>LEFT('REPORTS PER EVALUATOR'!$AL$105,1)</f>
        <v>D</v>
      </c>
      <c r="V139" s="80">
        <f>(RIGHT('REPORTS PER EVALUATOR'!$AL$105,1))*1</f>
        <v>2</v>
      </c>
      <c r="W139" s="57" t="str">
        <f>LEFT('REPORTS PER EVALUATOR'!$AL$117,1)</f>
        <v>D</v>
      </c>
      <c r="X139" s="80">
        <f>(RIGHT('REPORTS PER EVALUATOR'!$AL$117,1))*1</f>
        <v>3</v>
      </c>
      <c r="Y139" s="57" t="str">
        <f>LEFT('REPORTS PER EVALUATOR'!$AL$129,1)</f>
        <v>1</v>
      </c>
      <c r="Z139" s="93">
        <f>(RIGHT('REPORTS PER EVALUATOR'!$AL$129,1))*1</f>
        <v>1</v>
      </c>
      <c r="AA139" s="57" t="e">
        <f>LEFT('REPORTS PER EVALUATOR'!#REF!,1)</f>
        <v>#REF!</v>
      </c>
      <c r="AB139" s="93" t="e">
        <f>(RIGHT('REPORTS PER EVALUATOR'!#REF!,1))*1</f>
        <v>#REF!</v>
      </c>
      <c r="AC139" s="57" t="e">
        <f>LEFT('REPORTS PER EVALUATOR'!#REF!,1)</f>
        <v>#REF!</v>
      </c>
      <c r="AD139" s="93" t="e">
        <f>(RIGHT('REPORTS PER EVALUATOR'!#REF!,1))*1</f>
        <v>#REF!</v>
      </c>
      <c r="AE139" s="57" t="e">
        <f>LEFT('REPORTS PER EVALUATOR'!#REF!,1)</f>
        <v>#REF!</v>
      </c>
      <c r="AF139" s="93" t="e">
        <f>(RIGHT('REPORTS PER EVALUATOR'!#REF!,1))*1</f>
        <v>#REF!</v>
      </c>
      <c r="AG139" s="57" t="e">
        <f>LEFT('REPORTS PER EVALUATOR'!#REF!,1)</f>
        <v>#REF!</v>
      </c>
      <c r="AH139" s="93" t="e">
        <f>(RIGHT('REPORTS PER EVALUATOR'!#REF!,1))*1</f>
        <v>#REF!</v>
      </c>
      <c r="AI139" s="57" t="e">
        <f>LEFT('REPORTS PER EVALUATOR'!#REF!,1)</f>
        <v>#REF!</v>
      </c>
      <c r="AJ139" s="93" t="e">
        <f>(RIGHT('REPORTS PER EVALUATOR'!#REF!,1))*1</f>
        <v>#REF!</v>
      </c>
      <c r="AK139" s="57" t="e">
        <f>LEFT('REPORTS PER EVALUATOR'!#REF!,1)</f>
        <v>#REF!</v>
      </c>
      <c r="AL139" s="93" t="e">
        <f>(RIGHT('REPORTS PER EVALUATOR'!#REF!,1))*1</f>
        <v>#REF!</v>
      </c>
      <c r="AM139" s="57" t="e">
        <f>LEFT('REPORTS PER EVALUATOR'!#REF!,1)</f>
        <v>#REF!</v>
      </c>
      <c r="AN139" s="93" t="e">
        <f>(RIGHT('REPORTS PER EVALUATOR'!#REF!,1))*1</f>
        <v>#REF!</v>
      </c>
      <c r="AO139" s="57" t="e">
        <f>LEFT('REPORTS PER EVALUATOR'!#REF!,1)</f>
        <v>#REF!</v>
      </c>
      <c r="AP139" s="93" t="e">
        <f>(RIGHT('REPORTS PER EVALUATOR'!#REF!,1))*1</f>
        <v>#REF!</v>
      </c>
      <c r="AQ139" s="57" t="e">
        <f>LEFT('REPORTS PER EVALUATOR'!#REF!,1)</f>
        <v>#REF!</v>
      </c>
      <c r="AR139" s="93" t="e">
        <f>(RIGHT('REPORTS PER EVALUATOR'!#REF!,1))*1</f>
        <v>#REF!</v>
      </c>
    </row>
    <row r="140" spans="2:44" x14ac:dyDescent="0.2">
      <c r="B140" s="19" t="str">
        <f t="shared" si="8"/>
        <v>D</v>
      </c>
      <c r="C140" s="18" t="str">
        <f t="shared" si="9"/>
        <v>F</v>
      </c>
      <c r="D140" s="18" t="s">
        <v>36</v>
      </c>
      <c r="E140" s="26" t="str">
        <f>LEFT('REPORTS PER EVALUATOR'!$AM$9,1)</f>
        <v>D</v>
      </c>
      <c r="F140" s="73">
        <f>(RIGHT('REPORTS PER EVALUATOR'!$AM$9,1))*1</f>
        <v>2</v>
      </c>
      <c r="G140" s="11" t="str">
        <f>LEFT('REPORTS PER EVALUATOR'!$AM$21,1)</f>
        <v>D</v>
      </c>
      <c r="H140" s="81">
        <f>(RIGHT('REPORTS PER EVALUATOR'!$AM$21,1))*1</f>
        <v>2</v>
      </c>
      <c r="I140" s="11" t="str">
        <f>LEFT('REPORTS PER EVALUATOR'!$AM$33,1)</f>
        <v>1</v>
      </c>
      <c r="J140" s="81">
        <f>(RIGHT('REPORTS PER EVALUATOR'!$AM$33,1))*1</f>
        <v>1</v>
      </c>
      <c r="K140" s="11" t="str">
        <f>LEFT('REPORTS PER EVALUATOR'!$AM$45,1)</f>
        <v>1</v>
      </c>
      <c r="L140" s="81">
        <f>(RIGHT('REPORTS PER EVALUATOR'!$AM$45,1))*1</f>
        <v>1</v>
      </c>
      <c r="M140" s="11" t="str">
        <f>LEFT('REPORTS PER EVALUATOR'!$AM$57,1)</f>
        <v>1</v>
      </c>
      <c r="N140" s="81">
        <f>(RIGHT('REPORTS PER EVALUATOR'!$AM$57,1))*1</f>
        <v>1</v>
      </c>
      <c r="O140" s="11" t="str">
        <f>LEFT('REPORTS PER EVALUATOR'!$AM$69,1)</f>
        <v>F</v>
      </c>
      <c r="P140" s="81">
        <f>(RIGHT('REPORTS PER EVALUATOR'!$AM$69,1))*1</f>
        <v>2</v>
      </c>
      <c r="Q140" s="11" t="str">
        <f>LEFT('REPORTS PER EVALUATOR'!$AM$81,1)</f>
        <v>F</v>
      </c>
      <c r="R140" s="81">
        <f>(RIGHT('REPORTS PER EVALUATOR'!$AM$81,1))*1</f>
        <v>3</v>
      </c>
      <c r="S140" s="11" t="str">
        <f>LEFT('REPORTS PER EVALUATOR'!$AM$93,1)</f>
        <v>D</v>
      </c>
      <c r="T140" s="81">
        <f>(RIGHT('REPORTS PER EVALUATOR'!$AM$93,1))*1</f>
        <v>3</v>
      </c>
      <c r="U140" s="11" t="str">
        <f>LEFT('REPORTS PER EVALUATOR'!$AM$105,1)</f>
        <v>D</v>
      </c>
      <c r="V140" s="81">
        <f>(RIGHT('REPORTS PER EVALUATOR'!$AM$105,1))*1</f>
        <v>3</v>
      </c>
      <c r="W140" s="11" t="str">
        <f>LEFT('REPORTS PER EVALUATOR'!$AM$117,1)</f>
        <v>D</v>
      </c>
      <c r="X140" s="81">
        <f>(RIGHT('REPORTS PER EVALUATOR'!$AM$117,1))*1</f>
        <v>2</v>
      </c>
      <c r="Y140" s="11" t="str">
        <f>LEFT('REPORTS PER EVALUATOR'!$AM$129,1)</f>
        <v>D</v>
      </c>
      <c r="Z140" s="92">
        <f>(RIGHT('REPORTS PER EVALUATOR'!$AM$129,1))*1</f>
        <v>2</v>
      </c>
      <c r="AA140" s="11" t="e">
        <f>LEFT('REPORTS PER EVALUATOR'!#REF!,1)</f>
        <v>#REF!</v>
      </c>
      <c r="AB140" s="92" t="e">
        <f>(RIGHT('REPORTS PER EVALUATOR'!#REF!,1))*1</f>
        <v>#REF!</v>
      </c>
      <c r="AC140" s="11" t="e">
        <f>LEFT('REPORTS PER EVALUATOR'!#REF!,1)</f>
        <v>#REF!</v>
      </c>
      <c r="AD140" s="92" t="e">
        <f>(RIGHT('REPORTS PER EVALUATOR'!#REF!,1))*1</f>
        <v>#REF!</v>
      </c>
      <c r="AE140" s="11" t="e">
        <f>LEFT('REPORTS PER EVALUATOR'!#REF!,1)</f>
        <v>#REF!</v>
      </c>
      <c r="AF140" s="92" t="e">
        <f>(RIGHT('REPORTS PER EVALUATOR'!#REF!,1))*1</f>
        <v>#REF!</v>
      </c>
      <c r="AG140" s="11" t="e">
        <f>LEFT('REPORTS PER EVALUATOR'!#REF!,1)</f>
        <v>#REF!</v>
      </c>
      <c r="AH140" s="92" t="e">
        <f>(RIGHT('REPORTS PER EVALUATOR'!#REF!,1))*1</f>
        <v>#REF!</v>
      </c>
      <c r="AI140" s="11" t="e">
        <f>LEFT('REPORTS PER EVALUATOR'!#REF!,1)</f>
        <v>#REF!</v>
      </c>
      <c r="AJ140" s="92" t="e">
        <f>(RIGHT('REPORTS PER EVALUATOR'!#REF!,1))*1</f>
        <v>#REF!</v>
      </c>
      <c r="AK140" s="11" t="e">
        <f>LEFT('REPORTS PER EVALUATOR'!#REF!,1)</f>
        <v>#REF!</v>
      </c>
      <c r="AL140" s="92" t="e">
        <f>(RIGHT('REPORTS PER EVALUATOR'!#REF!,1))*1</f>
        <v>#REF!</v>
      </c>
      <c r="AM140" s="11" t="e">
        <f>LEFT('REPORTS PER EVALUATOR'!#REF!,1)</f>
        <v>#REF!</v>
      </c>
      <c r="AN140" s="92" t="e">
        <f>(RIGHT('REPORTS PER EVALUATOR'!#REF!,1))*1</f>
        <v>#REF!</v>
      </c>
      <c r="AO140" s="11" t="e">
        <f>LEFT('REPORTS PER EVALUATOR'!#REF!,1)</f>
        <v>#REF!</v>
      </c>
      <c r="AP140" s="92" t="e">
        <f>(RIGHT('REPORTS PER EVALUATOR'!#REF!,1))*1</f>
        <v>#REF!</v>
      </c>
      <c r="AQ140" s="11" t="e">
        <f>LEFT('REPORTS PER EVALUATOR'!#REF!,1)</f>
        <v>#REF!</v>
      </c>
      <c r="AR140" s="92" t="e">
        <f>(RIGHT('REPORTS PER EVALUATOR'!#REF!,1))*1</f>
        <v>#REF!</v>
      </c>
    </row>
    <row r="141" spans="2:44" x14ac:dyDescent="0.2">
      <c r="B141" s="19" t="str">
        <f t="shared" si="8"/>
        <v>D</v>
      </c>
      <c r="C141" s="18" t="str">
        <f t="shared" si="9"/>
        <v>G</v>
      </c>
      <c r="D141" s="18" t="s">
        <v>37</v>
      </c>
      <c r="E141" s="26" t="str">
        <f>LEFT('REPORTS PER EVALUATOR'!$AN$9,1)</f>
        <v>D</v>
      </c>
      <c r="F141" s="73">
        <f>(RIGHT('REPORTS PER EVALUATOR'!$AN$9,1))*1</f>
        <v>3</v>
      </c>
      <c r="G141" s="11" t="str">
        <f>LEFT('REPORTS PER EVALUATOR'!$AN$21,1)</f>
        <v>D</v>
      </c>
      <c r="H141" s="81">
        <f>(RIGHT('REPORTS PER EVALUATOR'!$AN$21,1))*1</f>
        <v>4</v>
      </c>
      <c r="I141" s="11" t="str">
        <f>LEFT('REPORTS PER EVALUATOR'!$AN$33,1)</f>
        <v>D</v>
      </c>
      <c r="J141" s="81">
        <f>(RIGHT('REPORTS PER EVALUATOR'!$AN$33,1))*1</f>
        <v>5</v>
      </c>
      <c r="K141" s="11" t="str">
        <f>LEFT('REPORTS PER EVALUATOR'!$AN$45,1)</f>
        <v>1</v>
      </c>
      <c r="L141" s="81">
        <f>(RIGHT('REPORTS PER EVALUATOR'!$AN$45,1))*1</f>
        <v>1</v>
      </c>
      <c r="M141" s="11" t="str">
        <f>LEFT('REPORTS PER EVALUATOR'!$AN$57,1)</f>
        <v>D</v>
      </c>
      <c r="N141" s="81">
        <f>(RIGHT('REPORTS PER EVALUATOR'!$AN$57,1))*1</f>
        <v>3</v>
      </c>
      <c r="O141" s="11" t="str">
        <f>LEFT('REPORTS PER EVALUATOR'!$AN$69,1)</f>
        <v>D</v>
      </c>
      <c r="P141" s="81">
        <f>(RIGHT('REPORTS PER EVALUATOR'!$AN$69,1))*1</f>
        <v>4</v>
      </c>
      <c r="Q141" s="11" t="str">
        <f>LEFT('REPORTS PER EVALUATOR'!$AN$81,1)</f>
        <v>D</v>
      </c>
      <c r="R141" s="81">
        <f>(RIGHT('REPORTS PER EVALUATOR'!$AN$81,1))*1</f>
        <v>4</v>
      </c>
      <c r="S141" s="11" t="str">
        <f>LEFT('REPORTS PER EVALUATOR'!$AN$93,1)</f>
        <v>D</v>
      </c>
      <c r="T141" s="81">
        <f>(RIGHT('REPORTS PER EVALUATOR'!$AN$93,1))*1</f>
        <v>6</v>
      </c>
      <c r="U141" s="11" t="str">
        <f>LEFT('REPORTS PER EVALUATOR'!$AN$105,1)</f>
        <v>D</v>
      </c>
      <c r="V141" s="81">
        <f>(RIGHT('REPORTS PER EVALUATOR'!$AN$105,1))*1</f>
        <v>5</v>
      </c>
      <c r="W141" s="11" t="str">
        <f>LEFT('REPORTS PER EVALUATOR'!$AN$117,1)</f>
        <v>D</v>
      </c>
      <c r="X141" s="81">
        <f>(RIGHT('REPORTS PER EVALUATOR'!$AN$117,1))*1</f>
        <v>2</v>
      </c>
      <c r="Y141" s="11" t="str">
        <f>LEFT('REPORTS PER EVALUATOR'!$AN$129,1)</f>
        <v>D</v>
      </c>
      <c r="Z141" s="92">
        <f>(RIGHT('REPORTS PER EVALUATOR'!$AN$129,1))*1</f>
        <v>4</v>
      </c>
      <c r="AA141" s="11" t="e">
        <f>LEFT('REPORTS PER EVALUATOR'!#REF!,1)</f>
        <v>#REF!</v>
      </c>
      <c r="AB141" s="92" t="e">
        <f>(RIGHT('REPORTS PER EVALUATOR'!#REF!,1))*1</f>
        <v>#REF!</v>
      </c>
      <c r="AC141" s="11" t="e">
        <f>LEFT('REPORTS PER EVALUATOR'!#REF!,1)</f>
        <v>#REF!</v>
      </c>
      <c r="AD141" s="92" t="e">
        <f>(RIGHT('REPORTS PER EVALUATOR'!#REF!,1))*1</f>
        <v>#REF!</v>
      </c>
      <c r="AE141" s="11" t="e">
        <f>LEFT('REPORTS PER EVALUATOR'!#REF!,1)</f>
        <v>#REF!</v>
      </c>
      <c r="AF141" s="92" t="e">
        <f>(RIGHT('REPORTS PER EVALUATOR'!#REF!,1))*1</f>
        <v>#REF!</v>
      </c>
      <c r="AG141" s="11" t="e">
        <f>LEFT('REPORTS PER EVALUATOR'!#REF!,1)</f>
        <v>#REF!</v>
      </c>
      <c r="AH141" s="92" t="e">
        <f>(RIGHT('REPORTS PER EVALUATOR'!#REF!,1))*1</f>
        <v>#REF!</v>
      </c>
      <c r="AI141" s="11" t="e">
        <f>LEFT('REPORTS PER EVALUATOR'!#REF!,1)</f>
        <v>#REF!</v>
      </c>
      <c r="AJ141" s="92" t="e">
        <f>(RIGHT('REPORTS PER EVALUATOR'!#REF!,1))*1</f>
        <v>#REF!</v>
      </c>
      <c r="AK141" s="11" t="e">
        <f>LEFT('REPORTS PER EVALUATOR'!#REF!,1)</f>
        <v>#REF!</v>
      </c>
      <c r="AL141" s="92" t="e">
        <f>(RIGHT('REPORTS PER EVALUATOR'!#REF!,1))*1</f>
        <v>#REF!</v>
      </c>
      <c r="AM141" s="11" t="e">
        <f>LEFT('REPORTS PER EVALUATOR'!#REF!,1)</f>
        <v>#REF!</v>
      </c>
      <c r="AN141" s="92" t="e">
        <f>(RIGHT('REPORTS PER EVALUATOR'!#REF!,1))*1</f>
        <v>#REF!</v>
      </c>
      <c r="AO141" s="11" t="e">
        <f>LEFT('REPORTS PER EVALUATOR'!#REF!,1)</f>
        <v>#REF!</v>
      </c>
      <c r="AP141" s="92" t="e">
        <f>(RIGHT('REPORTS PER EVALUATOR'!#REF!,1))*1</f>
        <v>#REF!</v>
      </c>
      <c r="AQ141" s="11" t="e">
        <f>LEFT('REPORTS PER EVALUATOR'!#REF!,1)</f>
        <v>#REF!</v>
      </c>
      <c r="AR141" s="92" t="e">
        <f>(RIGHT('REPORTS PER EVALUATOR'!#REF!,1))*1</f>
        <v>#REF!</v>
      </c>
    </row>
    <row r="142" spans="2:44" x14ac:dyDescent="0.2">
      <c r="B142" s="19" t="str">
        <f t="shared" si="8"/>
        <v>D</v>
      </c>
      <c r="C142" s="18" t="str">
        <f t="shared" si="9"/>
        <v>H</v>
      </c>
      <c r="D142" s="18" t="s">
        <v>38</v>
      </c>
      <c r="E142" s="26" t="str">
        <f>LEFT('REPORTS PER EVALUATOR'!$AO$9,1)</f>
        <v>D</v>
      </c>
      <c r="F142" s="73">
        <f>(RIGHT('REPORTS PER EVALUATOR'!$AO$9,1))*1</f>
        <v>2</v>
      </c>
      <c r="G142" s="11" t="str">
        <f>LEFT('REPORTS PER EVALUATOR'!$AO$21,1)</f>
        <v>D</v>
      </c>
      <c r="H142" s="81">
        <f>(RIGHT('REPORTS PER EVALUATOR'!$AO$21,1))*1</f>
        <v>3</v>
      </c>
      <c r="I142" s="11" t="str">
        <f>LEFT('REPORTS PER EVALUATOR'!$AO$33,1)</f>
        <v>D</v>
      </c>
      <c r="J142" s="81">
        <f>(RIGHT('REPORTS PER EVALUATOR'!$AO$33,1))*1</f>
        <v>5</v>
      </c>
      <c r="K142" s="11" t="str">
        <f>LEFT('REPORTS PER EVALUATOR'!$AO$45,1)</f>
        <v>D</v>
      </c>
      <c r="L142" s="81">
        <f>(RIGHT('REPORTS PER EVALUATOR'!$AO$45,1))*1</f>
        <v>4</v>
      </c>
      <c r="M142" s="11" t="str">
        <f>LEFT('REPORTS PER EVALUATOR'!$AO$57,1)</f>
        <v>D</v>
      </c>
      <c r="N142" s="81">
        <f>(RIGHT('REPORTS PER EVALUATOR'!$AO$57,1))*1</f>
        <v>2</v>
      </c>
      <c r="O142" s="11" t="str">
        <f>LEFT('REPORTS PER EVALUATOR'!$AO$69,1)</f>
        <v>D</v>
      </c>
      <c r="P142" s="81">
        <f>(RIGHT('REPORTS PER EVALUATOR'!$AO$69,1))*1</f>
        <v>2</v>
      </c>
      <c r="Q142" s="11" t="str">
        <f>LEFT('REPORTS PER EVALUATOR'!$AO$81,1)</f>
        <v>D</v>
      </c>
      <c r="R142" s="81">
        <f>(RIGHT('REPORTS PER EVALUATOR'!$AO$81,1))*1</f>
        <v>2</v>
      </c>
      <c r="S142" s="11" t="str">
        <f>LEFT('REPORTS PER EVALUATOR'!$AO$93,1)</f>
        <v>1</v>
      </c>
      <c r="T142" s="81">
        <f>(RIGHT('REPORTS PER EVALUATOR'!$AO$93,1))*1</f>
        <v>1</v>
      </c>
      <c r="U142" s="11" t="str">
        <f>LEFT('REPORTS PER EVALUATOR'!$AO$105,1)</f>
        <v>D</v>
      </c>
      <c r="V142" s="81">
        <f>(RIGHT('REPORTS PER EVALUATOR'!$AO$105,1))*1</f>
        <v>2</v>
      </c>
      <c r="W142" s="11" t="str">
        <f>LEFT('REPORTS PER EVALUATOR'!$AO$117,1)</f>
        <v>1</v>
      </c>
      <c r="X142" s="81">
        <f>(RIGHT('REPORTS PER EVALUATOR'!$AO$117,1))*1</f>
        <v>1</v>
      </c>
      <c r="Y142" s="11" t="str">
        <f>LEFT('REPORTS PER EVALUATOR'!$AO$129,1)</f>
        <v>D</v>
      </c>
      <c r="Z142" s="92">
        <f>(RIGHT('REPORTS PER EVALUATOR'!$AO$129,1))*1</f>
        <v>2</v>
      </c>
      <c r="AA142" s="11" t="e">
        <f>LEFT('REPORTS PER EVALUATOR'!#REF!,1)</f>
        <v>#REF!</v>
      </c>
      <c r="AB142" s="92" t="e">
        <f>(RIGHT('REPORTS PER EVALUATOR'!#REF!,1))*1</f>
        <v>#REF!</v>
      </c>
      <c r="AC142" s="11" t="e">
        <f>LEFT('REPORTS PER EVALUATOR'!#REF!,1)</f>
        <v>#REF!</v>
      </c>
      <c r="AD142" s="92" t="e">
        <f>(RIGHT('REPORTS PER EVALUATOR'!#REF!,1))*1</f>
        <v>#REF!</v>
      </c>
      <c r="AE142" s="11" t="e">
        <f>LEFT('REPORTS PER EVALUATOR'!#REF!,1)</f>
        <v>#REF!</v>
      </c>
      <c r="AF142" s="92" t="e">
        <f>(RIGHT('REPORTS PER EVALUATOR'!#REF!,1))*1</f>
        <v>#REF!</v>
      </c>
      <c r="AG142" s="11" t="e">
        <f>LEFT('REPORTS PER EVALUATOR'!#REF!,1)</f>
        <v>#REF!</v>
      </c>
      <c r="AH142" s="92" t="e">
        <f>(RIGHT('REPORTS PER EVALUATOR'!#REF!,1))*1</f>
        <v>#REF!</v>
      </c>
      <c r="AI142" s="11" t="e">
        <f>LEFT('REPORTS PER EVALUATOR'!#REF!,1)</f>
        <v>#REF!</v>
      </c>
      <c r="AJ142" s="92" t="e">
        <f>(RIGHT('REPORTS PER EVALUATOR'!#REF!,1))*1</f>
        <v>#REF!</v>
      </c>
      <c r="AK142" s="11" t="e">
        <f>LEFT('REPORTS PER EVALUATOR'!#REF!,1)</f>
        <v>#REF!</v>
      </c>
      <c r="AL142" s="92" t="e">
        <f>(RIGHT('REPORTS PER EVALUATOR'!#REF!,1))*1</f>
        <v>#REF!</v>
      </c>
      <c r="AM142" s="11" t="e">
        <f>LEFT('REPORTS PER EVALUATOR'!#REF!,1)</f>
        <v>#REF!</v>
      </c>
      <c r="AN142" s="92" t="e">
        <f>(RIGHT('REPORTS PER EVALUATOR'!#REF!,1))*1</f>
        <v>#REF!</v>
      </c>
      <c r="AO142" s="11" t="e">
        <f>LEFT('REPORTS PER EVALUATOR'!#REF!,1)</f>
        <v>#REF!</v>
      </c>
      <c r="AP142" s="92" t="e">
        <f>(RIGHT('REPORTS PER EVALUATOR'!#REF!,1))*1</f>
        <v>#REF!</v>
      </c>
      <c r="AQ142" s="11" t="e">
        <f>LEFT('REPORTS PER EVALUATOR'!#REF!,1)</f>
        <v>#REF!</v>
      </c>
      <c r="AR142" s="92" t="e">
        <f>(RIGHT('REPORTS PER EVALUATOR'!#REF!,1))*1</f>
        <v>#REF!</v>
      </c>
    </row>
    <row r="143" spans="2:44" x14ac:dyDescent="0.2">
      <c r="B143" s="19" t="str">
        <f t="shared" si="8"/>
        <v>D</v>
      </c>
      <c r="C143" s="18" t="str">
        <f t="shared" si="9"/>
        <v>I</v>
      </c>
      <c r="D143" s="18" t="s">
        <v>39</v>
      </c>
      <c r="E143" s="26" t="str">
        <f>LEFT('REPORTS PER EVALUATOR'!$AP$9,1)</f>
        <v>D</v>
      </c>
      <c r="F143" s="73">
        <f>(RIGHT('REPORTS PER EVALUATOR'!$AP$9,1))*1</f>
        <v>2</v>
      </c>
      <c r="G143" s="11" t="str">
        <f>LEFT('REPORTS PER EVALUATOR'!$AP$21,1)</f>
        <v>D</v>
      </c>
      <c r="H143" s="81">
        <f>(RIGHT('REPORTS PER EVALUATOR'!$AP$21,1))*1</f>
        <v>5</v>
      </c>
      <c r="I143" s="11" t="str">
        <f>LEFT('REPORTS PER EVALUATOR'!$AP$33,1)</f>
        <v>1</v>
      </c>
      <c r="J143" s="81">
        <f>(RIGHT('REPORTS PER EVALUATOR'!$AP$33,1))*1</f>
        <v>1</v>
      </c>
      <c r="K143" s="11" t="str">
        <f>LEFT('REPORTS PER EVALUATOR'!$AP$45,1)</f>
        <v>1</v>
      </c>
      <c r="L143" s="81">
        <f>(RIGHT('REPORTS PER EVALUATOR'!$AP$45,1))*1</f>
        <v>1</v>
      </c>
      <c r="M143" s="11" t="str">
        <f>LEFT('REPORTS PER EVALUATOR'!$AP$57,1)</f>
        <v>D</v>
      </c>
      <c r="N143" s="81">
        <f>(RIGHT('REPORTS PER EVALUATOR'!$AP$57,1))*1</f>
        <v>4</v>
      </c>
      <c r="O143" s="11" t="str">
        <f>LEFT('REPORTS PER EVALUATOR'!$AP$69,1)</f>
        <v>D</v>
      </c>
      <c r="P143" s="81">
        <f>(RIGHT('REPORTS PER EVALUATOR'!$AP$69,1))*1</f>
        <v>2</v>
      </c>
      <c r="Q143" s="11" t="str">
        <f>LEFT('REPORTS PER EVALUATOR'!$AP$81,1)</f>
        <v>D</v>
      </c>
      <c r="R143" s="81">
        <f>(RIGHT('REPORTS PER EVALUATOR'!$AP$81,1))*1</f>
        <v>2</v>
      </c>
      <c r="S143" s="11" t="str">
        <f>LEFT('REPORTS PER EVALUATOR'!$AP$93,1)</f>
        <v>D</v>
      </c>
      <c r="T143" s="81">
        <f>(RIGHT('REPORTS PER EVALUATOR'!$AP$93,1))*1</f>
        <v>3</v>
      </c>
      <c r="U143" s="11" t="str">
        <f>LEFT('REPORTS PER EVALUATOR'!$AP$105,1)</f>
        <v>D</v>
      </c>
      <c r="V143" s="81">
        <f>(RIGHT('REPORTS PER EVALUATOR'!$AP$105,1))*1</f>
        <v>4</v>
      </c>
      <c r="W143" s="11" t="str">
        <f>LEFT('REPORTS PER EVALUATOR'!$AP$117,1)</f>
        <v>1</v>
      </c>
      <c r="X143" s="81">
        <f>(RIGHT('REPORTS PER EVALUATOR'!$AP$117,1))*1</f>
        <v>1</v>
      </c>
      <c r="Y143" s="11" t="str">
        <f>LEFT('REPORTS PER EVALUATOR'!$AP$129,1)</f>
        <v>D</v>
      </c>
      <c r="Z143" s="92">
        <f>(RIGHT('REPORTS PER EVALUATOR'!$AP$129,1))*1</f>
        <v>2</v>
      </c>
      <c r="AA143" s="11" t="e">
        <f>LEFT('REPORTS PER EVALUATOR'!#REF!,1)</f>
        <v>#REF!</v>
      </c>
      <c r="AB143" s="92" t="e">
        <f>(RIGHT('REPORTS PER EVALUATOR'!#REF!,1))*1</f>
        <v>#REF!</v>
      </c>
      <c r="AC143" s="11" t="e">
        <f>LEFT('REPORTS PER EVALUATOR'!#REF!,1)</f>
        <v>#REF!</v>
      </c>
      <c r="AD143" s="92" t="e">
        <f>(RIGHT('REPORTS PER EVALUATOR'!#REF!,1))*1</f>
        <v>#REF!</v>
      </c>
      <c r="AE143" s="11" t="e">
        <f>LEFT('REPORTS PER EVALUATOR'!#REF!,1)</f>
        <v>#REF!</v>
      </c>
      <c r="AF143" s="92" t="e">
        <f>(RIGHT('REPORTS PER EVALUATOR'!#REF!,1))*1</f>
        <v>#REF!</v>
      </c>
      <c r="AG143" s="11" t="e">
        <f>LEFT('REPORTS PER EVALUATOR'!#REF!,1)</f>
        <v>#REF!</v>
      </c>
      <c r="AH143" s="92" t="e">
        <f>(RIGHT('REPORTS PER EVALUATOR'!#REF!,1))*1</f>
        <v>#REF!</v>
      </c>
      <c r="AI143" s="11" t="e">
        <f>LEFT('REPORTS PER EVALUATOR'!#REF!,1)</f>
        <v>#REF!</v>
      </c>
      <c r="AJ143" s="92" t="e">
        <f>(RIGHT('REPORTS PER EVALUATOR'!#REF!,1))*1</f>
        <v>#REF!</v>
      </c>
      <c r="AK143" s="11" t="e">
        <f>LEFT('REPORTS PER EVALUATOR'!#REF!,1)</f>
        <v>#REF!</v>
      </c>
      <c r="AL143" s="92" t="e">
        <f>(RIGHT('REPORTS PER EVALUATOR'!#REF!,1))*1</f>
        <v>#REF!</v>
      </c>
      <c r="AM143" s="11" t="e">
        <f>LEFT('REPORTS PER EVALUATOR'!#REF!,1)</f>
        <v>#REF!</v>
      </c>
      <c r="AN143" s="92" t="e">
        <f>(RIGHT('REPORTS PER EVALUATOR'!#REF!,1))*1</f>
        <v>#REF!</v>
      </c>
      <c r="AO143" s="11" t="e">
        <f>LEFT('REPORTS PER EVALUATOR'!#REF!,1)</f>
        <v>#REF!</v>
      </c>
      <c r="AP143" s="92" t="e">
        <f>(RIGHT('REPORTS PER EVALUATOR'!#REF!,1))*1</f>
        <v>#REF!</v>
      </c>
      <c r="AQ143" s="11" t="e">
        <f>LEFT('REPORTS PER EVALUATOR'!#REF!,1)</f>
        <v>#REF!</v>
      </c>
      <c r="AR143" s="92" t="e">
        <f>(RIGHT('REPORTS PER EVALUATOR'!#REF!,1))*1</f>
        <v>#REF!</v>
      </c>
    </row>
    <row r="144" spans="2:44" x14ac:dyDescent="0.2">
      <c r="B144" s="19" t="str">
        <f t="shared" si="8"/>
        <v>D</v>
      </c>
      <c r="C144" s="18" t="str">
        <f t="shared" si="9"/>
        <v>L</v>
      </c>
      <c r="D144" s="18" t="s">
        <v>40</v>
      </c>
      <c r="E144" s="26" t="str">
        <f>LEFT('REPORTS PER EVALUATOR'!$AQ$9,1)</f>
        <v>D</v>
      </c>
      <c r="F144" s="73">
        <f>(RIGHT('REPORTS PER EVALUATOR'!$AQ$9,1))*1</f>
        <v>5</v>
      </c>
      <c r="G144" s="11" t="str">
        <f>LEFT('REPORTS PER EVALUATOR'!$AQ$21,1)</f>
        <v>D</v>
      </c>
      <c r="H144" s="81">
        <f>(RIGHT('REPORTS PER EVALUATOR'!$AQ$21,1))*1</f>
        <v>5</v>
      </c>
      <c r="I144" s="11" t="str">
        <f>LEFT('REPORTS PER EVALUATOR'!$AQ$33,1)</f>
        <v>D</v>
      </c>
      <c r="J144" s="81">
        <f>(RIGHT('REPORTS PER EVALUATOR'!$AQ$33,1))*1</f>
        <v>5</v>
      </c>
      <c r="K144" s="11" t="str">
        <f>LEFT('REPORTS PER EVALUATOR'!$AQ$45,1)</f>
        <v>D</v>
      </c>
      <c r="L144" s="81">
        <f>(RIGHT('REPORTS PER EVALUATOR'!$AQ$45,1))*1</f>
        <v>5</v>
      </c>
      <c r="M144" s="11" t="str">
        <f>LEFT('REPORTS PER EVALUATOR'!$AQ$57,1)</f>
        <v>D</v>
      </c>
      <c r="N144" s="81">
        <f>(RIGHT('REPORTS PER EVALUATOR'!$AQ$57,1))*1</f>
        <v>3</v>
      </c>
      <c r="O144" s="11" t="str">
        <f>LEFT('REPORTS PER EVALUATOR'!$AQ$69,1)</f>
        <v>D</v>
      </c>
      <c r="P144" s="81">
        <f>(RIGHT('REPORTS PER EVALUATOR'!$AQ$69,1))*1</f>
        <v>2</v>
      </c>
      <c r="Q144" s="11" t="str">
        <f>LEFT('REPORTS PER EVALUATOR'!$AQ$81,1)</f>
        <v>1</v>
      </c>
      <c r="R144" s="81">
        <f>(RIGHT('REPORTS PER EVALUATOR'!$AQ$81,1))*1</f>
        <v>1</v>
      </c>
      <c r="S144" s="11" t="str">
        <f>LEFT('REPORTS PER EVALUATOR'!$AQ$93,1)</f>
        <v>1</v>
      </c>
      <c r="T144" s="81">
        <f>(RIGHT('REPORTS PER EVALUATOR'!$AQ$93,1))*1</f>
        <v>1</v>
      </c>
      <c r="U144" s="11" t="str">
        <f>LEFT('REPORTS PER EVALUATOR'!$AQ$105,1)</f>
        <v>D</v>
      </c>
      <c r="V144" s="81">
        <f>(RIGHT('REPORTS PER EVALUATOR'!$AQ$105,1))*1</f>
        <v>2</v>
      </c>
      <c r="W144" s="11" t="str">
        <f>LEFT('REPORTS PER EVALUATOR'!$AQ$117,1)</f>
        <v>D</v>
      </c>
      <c r="X144" s="81">
        <f>(RIGHT('REPORTS PER EVALUATOR'!$AQ$117,1))*1</f>
        <v>2</v>
      </c>
      <c r="Y144" s="11" t="str">
        <f>LEFT('REPORTS PER EVALUATOR'!$AQ$129,1)</f>
        <v>D</v>
      </c>
      <c r="Z144" s="92">
        <f>(RIGHT('REPORTS PER EVALUATOR'!$AQ$129,1))*1</f>
        <v>3</v>
      </c>
      <c r="AA144" s="11" t="e">
        <f>LEFT('REPORTS PER EVALUATOR'!#REF!,1)</f>
        <v>#REF!</v>
      </c>
      <c r="AB144" s="92" t="e">
        <f>(RIGHT('REPORTS PER EVALUATOR'!#REF!,1))*1</f>
        <v>#REF!</v>
      </c>
      <c r="AC144" s="11" t="e">
        <f>LEFT('REPORTS PER EVALUATOR'!#REF!,1)</f>
        <v>#REF!</v>
      </c>
      <c r="AD144" s="92" t="e">
        <f>(RIGHT('REPORTS PER EVALUATOR'!#REF!,1))*1</f>
        <v>#REF!</v>
      </c>
      <c r="AE144" s="11" t="e">
        <f>LEFT('REPORTS PER EVALUATOR'!#REF!,1)</f>
        <v>#REF!</v>
      </c>
      <c r="AF144" s="92" t="e">
        <f>(RIGHT('REPORTS PER EVALUATOR'!#REF!,1))*1</f>
        <v>#REF!</v>
      </c>
      <c r="AG144" s="11" t="e">
        <f>LEFT('REPORTS PER EVALUATOR'!#REF!,1)</f>
        <v>#REF!</v>
      </c>
      <c r="AH144" s="92" t="e">
        <f>(RIGHT('REPORTS PER EVALUATOR'!#REF!,1))*1</f>
        <v>#REF!</v>
      </c>
      <c r="AI144" s="11" t="e">
        <f>LEFT('REPORTS PER EVALUATOR'!#REF!,1)</f>
        <v>#REF!</v>
      </c>
      <c r="AJ144" s="92" t="e">
        <f>(RIGHT('REPORTS PER EVALUATOR'!#REF!,1))*1</f>
        <v>#REF!</v>
      </c>
      <c r="AK144" s="11" t="e">
        <f>LEFT('REPORTS PER EVALUATOR'!#REF!,1)</f>
        <v>#REF!</v>
      </c>
      <c r="AL144" s="92" t="e">
        <f>(RIGHT('REPORTS PER EVALUATOR'!#REF!,1))*1</f>
        <v>#REF!</v>
      </c>
      <c r="AM144" s="11" t="e">
        <f>LEFT('REPORTS PER EVALUATOR'!#REF!,1)</f>
        <v>#REF!</v>
      </c>
      <c r="AN144" s="92" t="e">
        <f>(RIGHT('REPORTS PER EVALUATOR'!#REF!,1))*1</f>
        <v>#REF!</v>
      </c>
      <c r="AO144" s="11" t="e">
        <f>LEFT('REPORTS PER EVALUATOR'!#REF!,1)</f>
        <v>#REF!</v>
      </c>
      <c r="AP144" s="92" t="e">
        <f>(RIGHT('REPORTS PER EVALUATOR'!#REF!,1))*1</f>
        <v>#REF!</v>
      </c>
      <c r="AQ144" s="11" t="e">
        <f>LEFT('REPORTS PER EVALUATOR'!#REF!,1)</f>
        <v>#REF!</v>
      </c>
      <c r="AR144" s="92" t="e">
        <f>(RIGHT('REPORTS PER EVALUATOR'!#REF!,1))*1</f>
        <v>#REF!</v>
      </c>
    </row>
    <row r="145" spans="2:44" x14ac:dyDescent="0.2">
      <c r="B145" s="19" t="str">
        <f t="shared" si="8"/>
        <v>D</v>
      </c>
      <c r="C145" s="18" t="str">
        <f t="shared" si="9"/>
        <v>M</v>
      </c>
      <c r="D145" s="18" t="s">
        <v>160</v>
      </c>
      <c r="E145" s="26" t="str">
        <f>LEFT('REPORTS PER EVALUATOR'!$AR$9,1)</f>
        <v/>
      </c>
      <c r="F145" s="73" t="e">
        <f>(RIGHT('REPORTS PER EVALUATOR'!$AR$9,1))*1</f>
        <v>#VALUE!</v>
      </c>
      <c r="G145" s="11" t="str">
        <f>LEFT('REPORTS PER EVALUATOR'!$AR$21,1)</f>
        <v/>
      </c>
      <c r="H145" s="81" t="e">
        <f>(RIGHT('REPORTS PER EVALUATOR'!$AR$21,1))*1</f>
        <v>#VALUE!</v>
      </c>
      <c r="I145" s="11" t="str">
        <f>LEFT('REPORTS PER EVALUATOR'!$AR$33,1)</f>
        <v/>
      </c>
      <c r="J145" s="81" t="e">
        <f>(RIGHT('REPORTS PER EVALUATOR'!$AR$33,1))*1</f>
        <v>#VALUE!</v>
      </c>
      <c r="K145" s="11" t="str">
        <f>LEFT('REPORTS PER EVALUATOR'!$AR$45,1)</f>
        <v/>
      </c>
      <c r="L145" s="81" t="e">
        <f>(RIGHT('REPORTS PER EVALUATOR'!$AR$45,1))*1</f>
        <v>#VALUE!</v>
      </c>
      <c r="M145" s="11" t="str">
        <f>LEFT('REPORTS PER EVALUATOR'!$AR$57,1)</f>
        <v/>
      </c>
      <c r="N145" s="81" t="e">
        <f>(RIGHT('REPORTS PER EVALUATOR'!$AR$57,1))*1</f>
        <v>#VALUE!</v>
      </c>
      <c r="O145" s="11" t="str">
        <f>LEFT('REPORTS PER EVALUATOR'!$AR$69,1)</f>
        <v/>
      </c>
      <c r="P145" s="81" t="e">
        <f>(RIGHT('REPORTS PER EVALUATOR'!$AR$69,1))*1</f>
        <v>#VALUE!</v>
      </c>
      <c r="Q145" s="11" t="str">
        <f>LEFT('REPORTS PER EVALUATOR'!$AR$81,1)</f>
        <v/>
      </c>
      <c r="R145" s="81" t="e">
        <f>(RIGHT('REPORTS PER EVALUATOR'!$AR$81,1))*1</f>
        <v>#VALUE!</v>
      </c>
      <c r="S145" s="11" t="str">
        <f>LEFT('REPORTS PER EVALUATOR'!$AR$93,1)</f>
        <v/>
      </c>
      <c r="T145" s="81" t="e">
        <f>(RIGHT('REPORTS PER EVALUATOR'!$AR$93,1))*1</f>
        <v>#VALUE!</v>
      </c>
      <c r="U145" s="11" t="str">
        <f>LEFT('REPORTS PER EVALUATOR'!$AR$105,1)</f>
        <v/>
      </c>
      <c r="V145" s="81" t="e">
        <f>(RIGHT('REPORTS PER EVALUATOR'!$AR$105,1))*1</f>
        <v>#VALUE!</v>
      </c>
      <c r="W145" s="11" t="str">
        <f>LEFT('REPORTS PER EVALUATOR'!$AR$117,1)</f>
        <v/>
      </c>
      <c r="X145" s="81" t="e">
        <f>(RIGHT('REPORTS PER EVALUATOR'!$AR$117,1))*1</f>
        <v>#VALUE!</v>
      </c>
      <c r="Y145" s="11" t="str">
        <f>LEFT('REPORTS PER EVALUATOR'!$AR$129,1)</f>
        <v/>
      </c>
      <c r="Z145" s="92" t="e">
        <f>(RIGHT('REPORTS PER EVALUATOR'!$AR$129,1))*1</f>
        <v>#VALUE!</v>
      </c>
      <c r="AA145" s="11" t="e">
        <f>LEFT('REPORTS PER EVALUATOR'!#REF!,1)</f>
        <v>#REF!</v>
      </c>
      <c r="AB145" s="92" t="e">
        <f>(RIGHT('REPORTS PER EVALUATOR'!#REF!,1))*1</f>
        <v>#REF!</v>
      </c>
      <c r="AC145" s="11" t="e">
        <f>LEFT('REPORTS PER EVALUATOR'!#REF!,1)</f>
        <v>#REF!</v>
      </c>
      <c r="AD145" s="92" t="e">
        <f>(RIGHT('REPORTS PER EVALUATOR'!#REF!,1))*1</f>
        <v>#REF!</v>
      </c>
      <c r="AE145" s="11" t="e">
        <f>LEFT('REPORTS PER EVALUATOR'!#REF!,1)</f>
        <v>#REF!</v>
      </c>
      <c r="AF145" s="92" t="e">
        <f>(RIGHT('REPORTS PER EVALUATOR'!#REF!,1))*1</f>
        <v>#REF!</v>
      </c>
      <c r="AG145" s="11" t="e">
        <f>LEFT('REPORTS PER EVALUATOR'!#REF!,1)</f>
        <v>#REF!</v>
      </c>
      <c r="AH145" s="92" t="e">
        <f>(RIGHT('REPORTS PER EVALUATOR'!#REF!,1))*1</f>
        <v>#REF!</v>
      </c>
      <c r="AI145" s="11" t="e">
        <f>LEFT('REPORTS PER EVALUATOR'!#REF!,1)</f>
        <v>#REF!</v>
      </c>
      <c r="AJ145" s="92" t="e">
        <f>(RIGHT('REPORTS PER EVALUATOR'!#REF!,1))*1</f>
        <v>#REF!</v>
      </c>
      <c r="AK145" s="11" t="e">
        <f>LEFT('REPORTS PER EVALUATOR'!#REF!,1)</f>
        <v>#REF!</v>
      </c>
      <c r="AL145" s="92" t="e">
        <f>(RIGHT('REPORTS PER EVALUATOR'!#REF!,1))*1</f>
        <v>#REF!</v>
      </c>
      <c r="AM145" s="11" t="e">
        <f>LEFT('REPORTS PER EVALUATOR'!#REF!,1)</f>
        <v>#REF!</v>
      </c>
      <c r="AN145" s="92" t="e">
        <f>(RIGHT('REPORTS PER EVALUATOR'!#REF!,1))*1</f>
        <v>#REF!</v>
      </c>
      <c r="AO145" s="11" t="e">
        <f>LEFT('REPORTS PER EVALUATOR'!#REF!,1)</f>
        <v>#REF!</v>
      </c>
      <c r="AP145" s="92" t="e">
        <f>(RIGHT('REPORTS PER EVALUATOR'!#REF!,1))*1</f>
        <v>#REF!</v>
      </c>
      <c r="AQ145" s="11" t="e">
        <f>LEFT('REPORTS PER EVALUATOR'!#REF!,1)</f>
        <v>#REF!</v>
      </c>
      <c r="AR145" s="92" t="e">
        <f>(RIGHT('REPORTS PER EVALUATOR'!#REF!,1))*1</f>
        <v>#REF!</v>
      </c>
    </row>
    <row r="146" spans="2:44" x14ac:dyDescent="0.2">
      <c r="B146" s="19" t="str">
        <f t="shared" si="8"/>
        <v>E</v>
      </c>
      <c r="C146" s="18" t="str">
        <f t="shared" si="9"/>
        <v>F</v>
      </c>
      <c r="D146" s="18" t="s">
        <v>41</v>
      </c>
      <c r="E146" s="56" t="str">
        <f>LEFT('REPORTS PER EVALUATOR'!$AM$10,1)</f>
        <v>1</v>
      </c>
      <c r="F146" s="72">
        <f>(RIGHT('REPORTS PER EVALUATOR'!$AM$10,1))*1</f>
        <v>1</v>
      </c>
      <c r="G146" s="57" t="str">
        <f>LEFT('REPORTS PER EVALUATOR'!$AM$22,1)</f>
        <v>E</v>
      </c>
      <c r="H146" s="80">
        <f>(RIGHT('REPORTS PER EVALUATOR'!$AM$22,1))*1</f>
        <v>2</v>
      </c>
      <c r="I146" s="57" t="str">
        <f>LEFT('REPORTS PER EVALUATOR'!$AM$34,1)</f>
        <v>F</v>
      </c>
      <c r="J146" s="80">
        <f>(RIGHT('REPORTS PER EVALUATOR'!$AM$34,1))*1</f>
        <v>5</v>
      </c>
      <c r="K146" s="57" t="str">
        <f>LEFT('REPORTS PER EVALUATOR'!$AM$46,1)</f>
        <v>F</v>
      </c>
      <c r="L146" s="80">
        <f>(RIGHT('REPORTS PER EVALUATOR'!$AM$46,1))*1</f>
        <v>2</v>
      </c>
      <c r="M146" s="57" t="str">
        <f>LEFT('REPORTS PER EVALUATOR'!$AM$58,1)</f>
        <v>F</v>
      </c>
      <c r="N146" s="80">
        <f>(RIGHT('REPORTS PER EVALUATOR'!$AM$58,1))*1</f>
        <v>2</v>
      </c>
      <c r="O146" s="57" t="str">
        <f>LEFT('REPORTS PER EVALUATOR'!$AM$70,1)</f>
        <v>E</v>
      </c>
      <c r="P146" s="80">
        <f>(RIGHT('REPORTS PER EVALUATOR'!$AM$70,1))*1</f>
        <v>2</v>
      </c>
      <c r="Q146" s="57" t="str">
        <f>LEFT('REPORTS PER EVALUATOR'!$AM$82,1)</f>
        <v>1</v>
      </c>
      <c r="R146" s="80">
        <f>(RIGHT('REPORTS PER EVALUATOR'!$AM$82,1))*1</f>
        <v>1</v>
      </c>
      <c r="S146" s="57" t="str">
        <f>LEFT('REPORTS PER EVALUATOR'!$AM$94,1)</f>
        <v>E</v>
      </c>
      <c r="T146" s="80">
        <f>(RIGHT('REPORTS PER EVALUATOR'!$AM$94,1))*1</f>
        <v>2</v>
      </c>
      <c r="U146" s="57" t="str">
        <f>LEFT('REPORTS PER EVALUATOR'!$AM$106,1)</f>
        <v>E</v>
      </c>
      <c r="V146" s="80">
        <f>(RIGHT('REPORTS PER EVALUATOR'!$AM$106,1))*1</f>
        <v>2</v>
      </c>
      <c r="W146" s="57" t="str">
        <f>LEFT('REPORTS PER EVALUATOR'!$AM$118,1)</f>
        <v>F</v>
      </c>
      <c r="X146" s="80">
        <f>(RIGHT('REPORTS PER EVALUATOR'!$AM$118,1))*1</f>
        <v>2</v>
      </c>
      <c r="Y146" s="57" t="str">
        <f>LEFT('REPORTS PER EVALUATOR'!$AM$130,1)</f>
        <v>E</v>
      </c>
      <c r="Z146" s="93">
        <f>(RIGHT('REPORTS PER EVALUATOR'!$AM$130,1))*1</f>
        <v>2</v>
      </c>
      <c r="AA146" s="57" t="e">
        <f>LEFT('REPORTS PER EVALUATOR'!#REF!,1)</f>
        <v>#REF!</v>
      </c>
      <c r="AB146" s="93" t="e">
        <f>(RIGHT('REPORTS PER EVALUATOR'!#REF!,1))*1</f>
        <v>#REF!</v>
      </c>
      <c r="AC146" s="57" t="e">
        <f>LEFT('REPORTS PER EVALUATOR'!#REF!,1)</f>
        <v>#REF!</v>
      </c>
      <c r="AD146" s="93" t="e">
        <f>(RIGHT('REPORTS PER EVALUATOR'!#REF!,1))*1</f>
        <v>#REF!</v>
      </c>
      <c r="AE146" s="57" t="e">
        <f>LEFT('REPORTS PER EVALUATOR'!#REF!,1)</f>
        <v>#REF!</v>
      </c>
      <c r="AF146" s="93" t="e">
        <f>(RIGHT('REPORTS PER EVALUATOR'!#REF!,1))*1</f>
        <v>#REF!</v>
      </c>
      <c r="AG146" s="57" t="e">
        <f>LEFT('REPORTS PER EVALUATOR'!#REF!,1)</f>
        <v>#REF!</v>
      </c>
      <c r="AH146" s="93" t="e">
        <f>(RIGHT('REPORTS PER EVALUATOR'!#REF!,1))*1</f>
        <v>#REF!</v>
      </c>
      <c r="AI146" s="57" t="e">
        <f>LEFT('REPORTS PER EVALUATOR'!#REF!,1)</f>
        <v>#REF!</v>
      </c>
      <c r="AJ146" s="93" t="e">
        <f>(RIGHT('REPORTS PER EVALUATOR'!#REF!,1))*1</f>
        <v>#REF!</v>
      </c>
      <c r="AK146" s="57" t="e">
        <f>LEFT('REPORTS PER EVALUATOR'!#REF!,1)</f>
        <v>#REF!</v>
      </c>
      <c r="AL146" s="93" t="e">
        <f>(RIGHT('REPORTS PER EVALUATOR'!#REF!,1))*1</f>
        <v>#REF!</v>
      </c>
      <c r="AM146" s="57" t="e">
        <f>LEFT('REPORTS PER EVALUATOR'!#REF!,1)</f>
        <v>#REF!</v>
      </c>
      <c r="AN146" s="93" t="e">
        <f>(RIGHT('REPORTS PER EVALUATOR'!#REF!,1))*1</f>
        <v>#REF!</v>
      </c>
      <c r="AO146" s="57" t="e">
        <f>LEFT('REPORTS PER EVALUATOR'!#REF!,1)</f>
        <v>#REF!</v>
      </c>
      <c r="AP146" s="93" t="e">
        <f>(RIGHT('REPORTS PER EVALUATOR'!#REF!,1))*1</f>
        <v>#REF!</v>
      </c>
      <c r="AQ146" s="57" t="e">
        <f>LEFT('REPORTS PER EVALUATOR'!#REF!,1)</f>
        <v>#REF!</v>
      </c>
      <c r="AR146" s="93" t="e">
        <f>(RIGHT('REPORTS PER EVALUATOR'!#REF!,1))*1</f>
        <v>#REF!</v>
      </c>
    </row>
    <row r="147" spans="2:44" x14ac:dyDescent="0.2">
      <c r="B147" s="19" t="str">
        <f t="shared" si="8"/>
        <v>E</v>
      </c>
      <c r="C147" s="18" t="str">
        <f t="shared" si="9"/>
        <v>G</v>
      </c>
      <c r="D147" s="18" t="s">
        <v>42</v>
      </c>
      <c r="E147" s="26" t="str">
        <f>LEFT('REPORTS PER EVALUATOR'!$AN$10,1)</f>
        <v>E</v>
      </c>
      <c r="F147" s="73">
        <f>(RIGHT('REPORTS PER EVALUATOR'!$AN$10,1))*1</f>
        <v>5</v>
      </c>
      <c r="G147" s="11" t="str">
        <f>LEFT('REPORTS PER EVALUATOR'!$AN$22,1)</f>
        <v>E</v>
      </c>
      <c r="H147" s="81">
        <f>(RIGHT('REPORTS PER EVALUATOR'!$AN$22,1))*1</f>
        <v>4</v>
      </c>
      <c r="I147" s="11" t="str">
        <f>LEFT('REPORTS PER EVALUATOR'!$AN$34,1)</f>
        <v>1</v>
      </c>
      <c r="J147" s="81">
        <f>(RIGHT('REPORTS PER EVALUATOR'!$AN$34,1))*1</f>
        <v>1</v>
      </c>
      <c r="K147" s="11" t="str">
        <f>LEFT('REPORTS PER EVALUATOR'!$AN$46,1)</f>
        <v>G</v>
      </c>
      <c r="L147" s="81">
        <f>(RIGHT('REPORTS PER EVALUATOR'!$AN$46,1))*1</f>
        <v>2</v>
      </c>
      <c r="M147" s="11" t="str">
        <f>LEFT('REPORTS PER EVALUATOR'!$AN$58,1)</f>
        <v>E</v>
      </c>
      <c r="N147" s="81">
        <f>(RIGHT('REPORTS PER EVALUATOR'!$AN$58,1))*1</f>
        <v>3</v>
      </c>
      <c r="O147" s="11" t="str">
        <f>LEFT('REPORTS PER EVALUATOR'!$AN$70,1)</f>
        <v>E</v>
      </c>
      <c r="P147" s="81">
        <f>(RIGHT('REPORTS PER EVALUATOR'!$AN$70,1))*1</f>
        <v>3</v>
      </c>
      <c r="Q147" s="11" t="str">
        <f>LEFT('REPORTS PER EVALUATOR'!$AN$82,1)</f>
        <v>E</v>
      </c>
      <c r="R147" s="81">
        <f>(RIGHT('REPORTS PER EVALUATOR'!$AN$82,1))*1</f>
        <v>4</v>
      </c>
      <c r="S147" s="11" t="str">
        <f>LEFT('REPORTS PER EVALUATOR'!$AN$94,1)</f>
        <v>E</v>
      </c>
      <c r="T147" s="81">
        <f>(RIGHT('REPORTS PER EVALUATOR'!$AN$94,1))*1</f>
        <v>6</v>
      </c>
      <c r="U147" s="11" t="str">
        <f>LEFT('REPORTS PER EVALUATOR'!$AN$106,1)</f>
        <v>E</v>
      </c>
      <c r="V147" s="81">
        <f>(RIGHT('REPORTS PER EVALUATOR'!$AN$106,1))*1</f>
        <v>4</v>
      </c>
      <c r="W147" s="11" t="str">
        <f>LEFT('REPORTS PER EVALUATOR'!$AN$118,1)</f>
        <v>G</v>
      </c>
      <c r="X147" s="81">
        <f>(RIGHT('REPORTS PER EVALUATOR'!$AN$118,1))*1</f>
        <v>2</v>
      </c>
      <c r="Y147" s="11" t="str">
        <f>LEFT('REPORTS PER EVALUATOR'!$AN$130,1)</f>
        <v>E</v>
      </c>
      <c r="Z147" s="92">
        <f>(RIGHT('REPORTS PER EVALUATOR'!$AN$130,1))*1</f>
        <v>4</v>
      </c>
      <c r="AA147" s="11" t="e">
        <f>LEFT('REPORTS PER EVALUATOR'!#REF!,1)</f>
        <v>#REF!</v>
      </c>
      <c r="AB147" s="92" t="e">
        <f>(RIGHT('REPORTS PER EVALUATOR'!#REF!,1))*1</f>
        <v>#REF!</v>
      </c>
      <c r="AC147" s="11" t="e">
        <f>LEFT('REPORTS PER EVALUATOR'!#REF!,1)</f>
        <v>#REF!</v>
      </c>
      <c r="AD147" s="92" t="e">
        <f>(RIGHT('REPORTS PER EVALUATOR'!#REF!,1))*1</f>
        <v>#REF!</v>
      </c>
      <c r="AE147" s="11" t="e">
        <f>LEFT('REPORTS PER EVALUATOR'!#REF!,1)</f>
        <v>#REF!</v>
      </c>
      <c r="AF147" s="92" t="e">
        <f>(RIGHT('REPORTS PER EVALUATOR'!#REF!,1))*1</f>
        <v>#REF!</v>
      </c>
      <c r="AG147" s="11" t="e">
        <f>LEFT('REPORTS PER EVALUATOR'!#REF!,1)</f>
        <v>#REF!</v>
      </c>
      <c r="AH147" s="92" t="e">
        <f>(RIGHT('REPORTS PER EVALUATOR'!#REF!,1))*1</f>
        <v>#REF!</v>
      </c>
      <c r="AI147" s="11" t="e">
        <f>LEFT('REPORTS PER EVALUATOR'!#REF!,1)</f>
        <v>#REF!</v>
      </c>
      <c r="AJ147" s="92" t="e">
        <f>(RIGHT('REPORTS PER EVALUATOR'!#REF!,1))*1</f>
        <v>#REF!</v>
      </c>
      <c r="AK147" s="11" t="e">
        <f>LEFT('REPORTS PER EVALUATOR'!#REF!,1)</f>
        <v>#REF!</v>
      </c>
      <c r="AL147" s="92" t="e">
        <f>(RIGHT('REPORTS PER EVALUATOR'!#REF!,1))*1</f>
        <v>#REF!</v>
      </c>
      <c r="AM147" s="11" t="e">
        <f>LEFT('REPORTS PER EVALUATOR'!#REF!,1)</f>
        <v>#REF!</v>
      </c>
      <c r="AN147" s="92" t="e">
        <f>(RIGHT('REPORTS PER EVALUATOR'!#REF!,1))*1</f>
        <v>#REF!</v>
      </c>
      <c r="AO147" s="11" t="e">
        <f>LEFT('REPORTS PER EVALUATOR'!#REF!,1)</f>
        <v>#REF!</v>
      </c>
      <c r="AP147" s="92" t="e">
        <f>(RIGHT('REPORTS PER EVALUATOR'!#REF!,1))*1</f>
        <v>#REF!</v>
      </c>
      <c r="AQ147" s="11" t="e">
        <f>LEFT('REPORTS PER EVALUATOR'!#REF!,1)</f>
        <v>#REF!</v>
      </c>
      <c r="AR147" s="92" t="e">
        <f>(RIGHT('REPORTS PER EVALUATOR'!#REF!,1))*1</f>
        <v>#REF!</v>
      </c>
    </row>
    <row r="148" spans="2:44" x14ac:dyDescent="0.2">
      <c r="B148" s="19" t="str">
        <f t="shared" si="8"/>
        <v>E</v>
      </c>
      <c r="C148" s="18" t="str">
        <f t="shared" si="9"/>
        <v>H</v>
      </c>
      <c r="D148" s="18" t="s">
        <v>43</v>
      </c>
      <c r="E148" s="26" t="str">
        <f>LEFT('REPORTS PER EVALUATOR'!$AO$10,1)</f>
        <v>1</v>
      </c>
      <c r="F148" s="73">
        <f>(RIGHT('REPORTS PER EVALUATOR'!$AO$10,1))*1</f>
        <v>1</v>
      </c>
      <c r="G148" s="11" t="str">
        <f>LEFT('REPORTS PER EVALUATOR'!$AO$22,1)</f>
        <v>E</v>
      </c>
      <c r="H148" s="81">
        <f>(RIGHT('REPORTS PER EVALUATOR'!$AO$22,1))*1</f>
        <v>3</v>
      </c>
      <c r="I148" s="11" t="str">
        <f>LEFT('REPORTS PER EVALUATOR'!$AO$34,1)</f>
        <v>1</v>
      </c>
      <c r="J148" s="81">
        <f>(RIGHT('REPORTS PER EVALUATOR'!$AO$34,1))*1</f>
        <v>1</v>
      </c>
      <c r="K148" s="11" t="str">
        <f>LEFT('REPORTS PER EVALUATOR'!$AO$46,1)</f>
        <v>E</v>
      </c>
      <c r="L148" s="81">
        <f>(RIGHT('REPORTS PER EVALUATOR'!$AO$46,1))*1</f>
        <v>3</v>
      </c>
      <c r="M148" s="11" t="str">
        <f>LEFT('REPORTS PER EVALUATOR'!$AO$58,1)</f>
        <v>E</v>
      </c>
      <c r="N148" s="81">
        <f>(RIGHT('REPORTS PER EVALUATOR'!$AO$58,1))*1</f>
        <v>2</v>
      </c>
      <c r="O148" s="11" t="str">
        <f>LEFT('REPORTS PER EVALUATOR'!$AO$70,1)</f>
        <v>E</v>
      </c>
      <c r="P148" s="81">
        <f>(RIGHT('REPORTS PER EVALUATOR'!$AO$70,1))*1</f>
        <v>3</v>
      </c>
      <c r="Q148" s="11" t="str">
        <f>LEFT('REPORTS PER EVALUATOR'!$AO$82,1)</f>
        <v>E</v>
      </c>
      <c r="R148" s="81">
        <f>(RIGHT('REPORTS PER EVALUATOR'!$AO$82,1))*1</f>
        <v>3</v>
      </c>
      <c r="S148" s="11" t="str">
        <f>LEFT('REPORTS PER EVALUATOR'!$AO$94,1)</f>
        <v>H</v>
      </c>
      <c r="T148" s="81">
        <f>(RIGHT('REPORTS PER EVALUATOR'!$AO$94,1))*1</f>
        <v>2</v>
      </c>
      <c r="U148" s="11" t="str">
        <f>LEFT('REPORTS PER EVALUATOR'!$AO$106,1)</f>
        <v>1</v>
      </c>
      <c r="V148" s="81">
        <f>(RIGHT('REPORTS PER EVALUATOR'!$AO$106,1))*1</f>
        <v>1</v>
      </c>
      <c r="W148" s="11" t="str">
        <f>LEFT('REPORTS PER EVALUATOR'!$AO$118,1)</f>
        <v>H</v>
      </c>
      <c r="X148" s="81">
        <f>(RIGHT('REPORTS PER EVALUATOR'!$AO$118,1))*1</f>
        <v>3</v>
      </c>
      <c r="Y148" s="11" t="str">
        <f>LEFT('REPORTS PER EVALUATOR'!$AO$130,1)</f>
        <v>E</v>
      </c>
      <c r="Z148" s="92">
        <f>(RIGHT('REPORTS PER EVALUATOR'!$AO$130,1))*1</f>
        <v>2</v>
      </c>
      <c r="AA148" s="11" t="e">
        <f>LEFT('REPORTS PER EVALUATOR'!#REF!,1)</f>
        <v>#REF!</v>
      </c>
      <c r="AB148" s="92" t="e">
        <f>(RIGHT('REPORTS PER EVALUATOR'!#REF!,1))*1</f>
        <v>#REF!</v>
      </c>
      <c r="AC148" s="11" t="e">
        <f>LEFT('REPORTS PER EVALUATOR'!#REF!,1)</f>
        <v>#REF!</v>
      </c>
      <c r="AD148" s="92" t="e">
        <f>(RIGHT('REPORTS PER EVALUATOR'!#REF!,1))*1</f>
        <v>#REF!</v>
      </c>
      <c r="AE148" s="11" t="e">
        <f>LEFT('REPORTS PER EVALUATOR'!#REF!,1)</f>
        <v>#REF!</v>
      </c>
      <c r="AF148" s="92" t="e">
        <f>(RIGHT('REPORTS PER EVALUATOR'!#REF!,1))*1</f>
        <v>#REF!</v>
      </c>
      <c r="AG148" s="11" t="e">
        <f>LEFT('REPORTS PER EVALUATOR'!#REF!,1)</f>
        <v>#REF!</v>
      </c>
      <c r="AH148" s="92" t="e">
        <f>(RIGHT('REPORTS PER EVALUATOR'!#REF!,1))*1</f>
        <v>#REF!</v>
      </c>
      <c r="AI148" s="11" t="e">
        <f>LEFT('REPORTS PER EVALUATOR'!#REF!,1)</f>
        <v>#REF!</v>
      </c>
      <c r="AJ148" s="92" t="e">
        <f>(RIGHT('REPORTS PER EVALUATOR'!#REF!,1))*1</f>
        <v>#REF!</v>
      </c>
      <c r="AK148" s="11" t="e">
        <f>LEFT('REPORTS PER EVALUATOR'!#REF!,1)</f>
        <v>#REF!</v>
      </c>
      <c r="AL148" s="92" t="e">
        <f>(RIGHT('REPORTS PER EVALUATOR'!#REF!,1))*1</f>
        <v>#REF!</v>
      </c>
      <c r="AM148" s="11" t="e">
        <f>LEFT('REPORTS PER EVALUATOR'!#REF!,1)</f>
        <v>#REF!</v>
      </c>
      <c r="AN148" s="92" t="e">
        <f>(RIGHT('REPORTS PER EVALUATOR'!#REF!,1))*1</f>
        <v>#REF!</v>
      </c>
      <c r="AO148" s="11" t="e">
        <f>LEFT('REPORTS PER EVALUATOR'!#REF!,1)</f>
        <v>#REF!</v>
      </c>
      <c r="AP148" s="92" t="e">
        <f>(RIGHT('REPORTS PER EVALUATOR'!#REF!,1))*1</f>
        <v>#REF!</v>
      </c>
      <c r="AQ148" s="11" t="e">
        <f>LEFT('REPORTS PER EVALUATOR'!#REF!,1)</f>
        <v>#REF!</v>
      </c>
      <c r="AR148" s="92" t="e">
        <f>(RIGHT('REPORTS PER EVALUATOR'!#REF!,1))*1</f>
        <v>#REF!</v>
      </c>
    </row>
    <row r="149" spans="2:44" x14ac:dyDescent="0.2">
      <c r="B149" s="19" t="str">
        <f t="shared" si="8"/>
        <v>E</v>
      </c>
      <c r="C149" s="18" t="str">
        <f t="shared" si="9"/>
        <v>I</v>
      </c>
      <c r="D149" s="18" t="s">
        <v>44</v>
      </c>
      <c r="E149" s="26" t="str">
        <f>LEFT('REPORTS PER EVALUATOR'!$AP$10,1)</f>
        <v>1</v>
      </c>
      <c r="F149" s="73">
        <f>(RIGHT('REPORTS PER EVALUATOR'!$AP$10,1))*1</f>
        <v>1</v>
      </c>
      <c r="G149" s="11" t="str">
        <f>LEFT('REPORTS PER EVALUATOR'!$AP$22,1)</f>
        <v>E</v>
      </c>
      <c r="H149" s="81">
        <f>(RIGHT('REPORTS PER EVALUATOR'!$AP$22,1))*1</f>
        <v>5</v>
      </c>
      <c r="I149" s="11" t="str">
        <f>LEFT('REPORTS PER EVALUATOR'!$AP$34,1)</f>
        <v>I</v>
      </c>
      <c r="J149" s="81">
        <f>(RIGHT('REPORTS PER EVALUATOR'!$AP$34,1))*1</f>
        <v>4</v>
      </c>
      <c r="K149" s="11" t="str">
        <f>LEFT('REPORTS PER EVALUATOR'!$AP$46,1)</f>
        <v>I</v>
      </c>
      <c r="L149" s="81">
        <f>(RIGHT('REPORTS PER EVALUATOR'!$AP$46,1))*1</f>
        <v>2</v>
      </c>
      <c r="M149" s="11" t="str">
        <f>LEFT('REPORTS PER EVALUATOR'!$AP$58,1)</f>
        <v>E</v>
      </c>
      <c r="N149" s="81">
        <f>(RIGHT('REPORTS PER EVALUATOR'!$AP$58,1))*1</f>
        <v>2</v>
      </c>
      <c r="O149" s="11" t="str">
        <f>LEFT('REPORTS PER EVALUATOR'!$AP$70,1)</f>
        <v>E</v>
      </c>
      <c r="P149" s="81">
        <f>(RIGHT('REPORTS PER EVALUATOR'!$AP$70,1))*1</f>
        <v>4</v>
      </c>
      <c r="Q149" s="11" t="str">
        <f>LEFT('REPORTS PER EVALUATOR'!$AP$82,1)</f>
        <v>E</v>
      </c>
      <c r="R149" s="81">
        <f>(RIGHT('REPORTS PER EVALUATOR'!$AP$82,1))*1</f>
        <v>5</v>
      </c>
      <c r="S149" s="11" t="str">
        <f>LEFT('REPORTS PER EVALUATOR'!$AP$94,1)</f>
        <v>E</v>
      </c>
      <c r="T149" s="81">
        <f>(RIGHT('REPORTS PER EVALUATOR'!$AP$94,1))*1</f>
        <v>2</v>
      </c>
      <c r="U149" s="11" t="str">
        <f>LEFT('REPORTS PER EVALUATOR'!$AP$106,1)</f>
        <v>E</v>
      </c>
      <c r="V149" s="81">
        <f>(RIGHT('REPORTS PER EVALUATOR'!$AP$106,1))*1</f>
        <v>3</v>
      </c>
      <c r="W149" s="11" t="str">
        <f>LEFT('REPORTS PER EVALUATOR'!$AP$118,1)</f>
        <v>I</v>
      </c>
      <c r="X149" s="81">
        <f>(RIGHT('REPORTS PER EVALUATOR'!$AP$118,1))*1</f>
        <v>3</v>
      </c>
      <c r="Y149" s="11" t="str">
        <f>LEFT('REPORTS PER EVALUATOR'!$AP$130,1)</f>
        <v>E</v>
      </c>
      <c r="Z149" s="92">
        <f>(RIGHT('REPORTS PER EVALUATOR'!$AP$130,1))*1</f>
        <v>2</v>
      </c>
      <c r="AA149" s="11" t="e">
        <f>LEFT('REPORTS PER EVALUATOR'!#REF!,1)</f>
        <v>#REF!</v>
      </c>
      <c r="AB149" s="92" t="e">
        <f>(RIGHT('REPORTS PER EVALUATOR'!#REF!,1))*1</f>
        <v>#REF!</v>
      </c>
      <c r="AC149" s="11" t="e">
        <f>LEFT('REPORTS PER EVALUATOR'!#REF!,1)</f>
        <v>#REF!</v>
      </c>
      <c r="AD149" s="92" t="e">
        <f>(RIGHT('REPORTS PER EVALUATOR'!#REF!,1))*1</f>
        <v>#REF!</v>
      </c>
      <c r="AE149" s="11" t="e">
        <f>LEFT('REPORTS PER EVALUATOR'!#REF!,1)</f>
        <v>#REF!</v>
      </c>
      <c r="AF149" s="92" t="e">
        <f>(RIGHT('REPORTS PER EVALUATOR'!#REF!,1))*1</f>
        <v>#REF!</v>
      </c>
      <c r="AG149" s="11" t="e">
        <f>LEFT('REPORTS PER EVALUATOR'!#REF!,1)</f>
        <v>#REF!</v>
      </c>
      <c r="AH149" s="92" t="e">
        <f>(RIGHT('REPORTS PER EVALUATOR'!#REF!,1))*1</f>
        <v>#REF!</v>
      </c>
      <c r="AI149" s="11" t="e">
        <f>LEFT('REPORTS PER EVALUATOR'!#REF!,1)</f>
        <v>#REF!</v>
      </c>
      <c r="AJ149" s="92" t="e">
        <f>(RIGHT('REPORTS PER EVALUATOR'!#REF!,1))*1</f>
        <v>#REF!</v>
      </c>
      <c r="AK149" s="11" t="e">
        <f>LEFT('REPORTS PER EVALUATOR'!#REF!,1)</f>
        <v>#REF!</v>
      </c>
      <c r="AL149" s="92" t="e">
        <f>(RIGHT('REPORTS PER EVALUATOR'!#REF!,1))*1</f>
        <v>#REF!</v>
      </c>
      <c r="AM149" s="11" t="e">
        <f>LEFT('REPORTS PER EVALUATOR'!#REF!,1)</f>
        <v>#REF!</v>
      </c>
      <c r="AN149" s="92" t="e">
        <f>(RIGHT('REPORTS PER EVALUATOR'!#REF!,1))*1</f>
        <v>#REF!</v>
      </c>
      <c r="AO149" s="11" t="e">
        <f>LEFT('REPORTS PER EVALUATOR'!#REF!,1)</f>
        <v>#REF!</v>
      </c>
      <c r="AP149" s="92" t="e">
        <f>(RIGHT('REPORTS PER EVALUATOR'!#REF!,1))*1</f>
        <v>#REF!</v>
      </c>
      <c r="AQ149" s="11" t="e">
        <f>LEFT('REPORTS PER EVALUATOR'!#REF!,1)</f>
        <v>#REF!</v>
      </c>
      <c r="AR149" s="92" t="e">
        <f>(RIGHT('REPORTS PER EVALUATOR'!#REF!,1))*1</f>
        <v>#REF!</v>
      </c>
    </row>
    <row r="150" spans="2:44" x14ac:dyDescent="0.2">
      <c r="B150" s="19" t="str">
        <f t="shared" si="8"/>
        <v>E</v>
      </c>
      <c r="C150" s="18" t="str">
        <f t="shared" si="9"/>
        <v>L</v>
      </c>
      <c r="D150" s="18" t="s">
        <v>45</v>
      </c>
      <c r="E150" s="26" t="str">
        <f>LEFT('REPORTS PER EVALUATOR'!$AQ$10,1)</f>
        <v>E</v>
      </c>
      <c r="F150" s="73">
        <f>(RIGHT('REPORTS PER EVALUATOR'!$AQ$10,1))*1</f>
        <v>5</v>
      </c>
      <c r="G150" s="11" t="str">
        <f>LEFT('REPORTS PER EVALUATOR'!$AQ$22,1)</f>
        <v>E</v>
      </c>
      <c r="H150" s="81">
        <f>(RIGHT('REPORTS PER EVALUATOR'!$AQ$22,1))*1</f>
        <v>5</v>
      </c>
      <c r="I150" s="11" t="str">
        <f>LEFT('REPORTS PER EVALUATOR'!$AQ$34,1)</f>
        <v>1</v>
      </c>
      <c r="J150" s="81">
        <f>(RIGHT('REPORTS PER EVALUATOR'!$AQ$34,1))*1</f>
        <v>1</v>
      </c>
      <c r="K150" s="11" t="str">
        <f>LEFT('REPORTS PER EVALUATOR'!$AQ$46,1)</f>
        <v>E</v>
      </c>
      <c r="L150" s="81">
        <f>(RIGHT('REPORTS PER EVALUATOR'!$AQ$46,1))*1</f>
        <v>4</v>
      </c>
      <c r="M150" s="11" t="str">
        <f>LEFT('REPORTS PER EVALUATOR'!$AQ$58,1)</f>
        <v>E</v>
      </c>
      <c r="N150" s="81">
        <f>(RIGHT('REPORTS PER EVALUATOR'!$AQ$58,1))*1</f>
        <v>2</v>
      </c>
      <c r="O150" s="11" t="str">
        <f>LEFT('REPORTS PER EVALUATOR'!$AQ$70,1)</f>
        <v>L</v>
      </c>
      <c r="P150" s="81">
        <f>(RIGHT('REPORTS PER EVALUATOR'!$AQ$70,1))*1</f>
        <v>4</v>
      </c>
      <c r="Q150" s="11" t="str">
        <f>LEFT('REPORTS PER EVALUATOR'!$AQ$82,1)</f>
        <v>E</v>
      </c>
      <c r="R150" s="81">
        <f>(RIGHT('REPORTS PER EVALUATOR'!$AQ$82,1))*1</f>
        <v>4</v>
      </c>
      <c r="S150" s="11" t="str">
        <f>LEFT('REPORTS PER EVALUATOR'!$AQ$94,1)</f>
        <v>L</v>
      </c>
      <c r="T150" s="81">
        <f>(RIGHT('REPORTS PER EVALUATOR'!$AQ$94,1))*1</f>
        <v>2</v>
      </c>
      <c r="U150" s="11" t="str">
        <f>LEFT('REPORTS PER EVALUATOR'!$AQ$106,1)</f>
        <v>1</v>
      </c>
      <c r="V150" s="81">
        <f>(RIGHT('REPORTS PER EVALUATOR'!$AQ$106,1))*1</f>
        <v>1</v>
      </c>
      <c r="W150" s="11" t="str">
        <f>LEFT('REPORTS PER EVALUATOR'!$AQ$118,1)</f>
        <v>L</v>
      </c>
      <c r="X150" s="81">
        <f>(RIGHT('REPORTS PER EVALUATOR'!$AQ$118,1))*1</f>
        <v>2</v>
      </c>
      <c r="Y150" s="11" t="str">
        <f>LEFT('REPORTS PER EVALUATOR'!$AQ$130,1)</f>
        <v>E</v>
      </c>
      <c r="Z150" s="92">
        <f>(RIGHT('REPORTS PER EVALUATOR'!$AQ$130,1))*1</f>
        <v>3</v>
      </c>
      <c r="AA150" s="11" t="e">
        <f>LEFT('REPORTS PER EVALUATOR'!#REF!,1)</f>
        <v>#REF!</v>
      </c>
      <c r="AB150" s="92" t="e">
        <f>(RIGHT('REPORTS PER EVALUATOR'!#REF!,1))*1</f>
        <v>#REF!</v>
      </c>
      <c r="AC150" s="11" t="e">
        <f>LEFT('REPORTS PER EVALUATOR'!#REF!,1)</f>
        <v>#REF!</v>
      </c>
      <c r="AD150" s="92" t="e">
        <f>(RIGHT('REPORTS PER EVALUATOR'!#REF!,1))*1</f>
        <v>#REF!</v>
      </c>
      <c r="AE150" s="11" t="e">
        <f>LEFT('REPORTS PER EVALUATOR'!#REF!,1)</f>
        <v>#REF!</v>
      </c>
      <c r="AF150" s="92" t="e">
        <f>(RIGHT('REPORTS PER EVALUATOR'!#REF!,1))*1</f>
        <v>#REF!</v>
      </c>
      <c r="AG150" s="11" t="e">
        <f>LEFT('REPORTS PER EVALUATOR'!#REF!,1)</f>
        <v>#REF!</v>
      </c>
      <c r="AH150" s="92" t="e">
        <f>(RIGHT('REPORTS PER EVALUATOR'!#REF!,1))*1</f>
        <v>#REF!</v>
      </c>
      <c r="AI150" s="11" t="e">
        <f>LEFT('REPORTS PER EVALUATOR'!#REF!,1)</f>
        <v>#REF!</v>
      </c>
      <c r="AJ150" s="92" t="e">
        <f>(RIGHT('REPORTS PER EVALUATOR'!#REF!,1))*1</f>
        <v>#REF!</v>
      </c>
      <c r="AK150" s="11" t="e">
        <f>LEFT('REPORTS PER EVALUATOR'!#REF!,1)</f>
        <v>#REF!</v>
      </c>
      <c r="AL150" s="92" t="e">
        <f>(RIGHT('REPORTS PER EVALUATOR'!#REF!,1))*1</f>
        <v>#REF!</v>
      </c>
      <c r="AM150" s="11" t="e">
        <f>LEFT('REPORTS PER EVALUATOR'!#REF!,1)</f>
        <v>#REF!</v>
      </c>
      <c r="AN150" s="92" t="e">
        <f>(RIGHT('REPORTS PER EVALUATOR'!#REF!,1))*1</f>
        <v>#REF!</v>
      </c>
      <c r="AO150" s="11" t="e">
        <f>LEFT('REPORTS PER EVALUATOR'!#REF!,1)</f>
        <v>#REF!</v>
      </c>
      <c r="AP150" s="92" t="e">
        <f>(RIGHT('REPORTS PER EVALUATOR'!#REF!,1))*1</f>
        <v>#REF!</v>
      </c>
      <c r="AQ150" s="11" t="e">
        <f>LEFT('REPORTS PER EVALUATOR'!#REF!,1)</f>
        <v>#REF!</v>
      </c>
      <c r="AR150" s="92" t="e">
        <f>(RIGHT('REPORTS PER EVALUATOR'!#REF!,1))*1</f>
        <v>#REF!</v>
      </c>
    </row>
    <row r="151" spans="2:44" x14ac:dyDescent="0.2">
      <c r="B151" s="19" t="str">
        <f t="shared" si="8"/>
        <v>E</v>
      </c>
      <c r="C151" s="18" t="str">
        <f t="shared" si="9"/>
        <v>M</v>
      </c>
      <c r="D151" s="18" t="s">
        <v>161</v>
      </c>
      <c r="E151" s="26" t="str">
        <f>LEFT('REPORTS PER EVALUATOR'!$AR$10,1)</f>
        <v/>
      </c>
      <c r="F151" s="73" t="e">
        <f>(RIGHT('REPORTS PER EVALUATOR'!$AR$10,1))*1</f>
        <v>#VALUE!</v>
      </c>
      <c r="G151" s="11" t="str">
        <f>LEFT('REPORTS PER EVALUATOR'!$AR$22,1)</f>
        <v/>
      </c>
      <c r="H151" s="81" t="e">
        <f>(RIGHT('REPORTS PER EVALUATOR'!$AR$22,1))*1</f>
        <v>#VALUE!</v>
      </c>
      <c r="I151" s="11" t="str">
        <f>LEFT('REPORTS PER EVALUATOR'!$AR$34,1)</f>
        <v/>
      </c>
      <c r="J151" s="81" t="e">
        <f>(RIGHT('REPORTS PER EVALUATOR'!$AR$34,1))*1</f>
        <v>#VALUE!</v>
      </c>
      <c r="K151" s="11" t="str">
        <f>LEFT('REPORTS PER EVALUATOR'!$AR$46,1)</f>
        <v/>
      </c>
      <c r="L151" s="81" t="e">
        <f>(RIGHT('REPORTS PER EVALUATOR'!$AR$46,1))*1</f>
        <v>#VALUE!</v>
      </c>
      <c r="M151" s="11" t="str">
        <f>LEFT('REPORTS PER EVALUATOR'!$AR$58,1)</f>
        <v/>
      </c>
      <c r="N151" s="81" t="e">
        <f>(RIGHT('REPORTS PER EVALUATOR'!$AR$58,1))*1</f>
        <v>#VALUE!</v>
      </c>
      <c r="O151" s="11" t="str">
        <f>LEFT('REPORTS PER EVALUATOR'!$AR$70,1)</f>
        <v/>
      </c>
      <c r="P151" s="81" t="e">
        <f>(RIGHT('REPORTS PER EVALUATOR'!$AR$70,1))*1</f>
        <v>#VALUE!</v>
      </c>
      <c r="Q151" s="11" t="str">
        <f>LEFT('REPORTS PER EVALUATOR'!$AR$82,1)</f>
        <v/>
      </c>
      <c r="R151" s="81" t="e">
        <f>(RIGHT('REPORTS PER EVALUATOR'!$AR$82,1))*1</f>
        <v>#VALUE!</v>
      </c>
      <c r="S151" s="11" t="str">
        <f>LEFT('REPORTS PER EVALUATOR'!$AR$94,1)</f>
        <v/>
      </c>
      <c r="T151" s="81" t="e">
        <f>(RIGHT('REPORTS PER EVALUATOR'!$AR$94,1))*1</f>
        <v>#VALUE!</v>
      </c>
      <c r="U151" s="11" t="str">
        <f>LEFT('REPORTS PER EVALUATOR'!$AR$106,1)</f>
        <v/>
      </c>
      <c r="V151" s="81" t="e">
        <f>(RIGHT('REPORTS PER EVALUATOR'!$AR$106,1))*1</f>
        <v>#VALUE!</v>
      </c>
      <c r="W151" s="11" t="str">
        <f>LEFT('REPORTS PER EVALUATOR'!$AR$118,1)</f>
        <v/>
      </c>
      <c r="X151" s="81" t="e">
        <f>(RIGHT('REPORTS PER EVALUATOR'!$AR$118,1))*1</f>
        <v>#VALUE!</v>
      </c>
      <c r="Y151" s="11" t="str">
        <f>LEFT('REPORTS PER EVALUATOR'!$AR$130,1)</f>
        <v/>
      </c>
      <c r="Z151" s="92" t="e">
        <f>(RIGHT('REPORTS PER EVALUATOR'!$AR$130,1))*1</f>
        <v>#VALUE!</v>
      </c>
      <c r="AA151" s="11" t="e">
        <f>LEFT('REPORTS PER EVALUATOR'!#REF!,1)</f>
        <v>#REF!</v>
      </c>
      <c r="AB151" s="92" t="e">
        <f>(RIGHT('REPORTS PER EVALUATOR'!#REF!,1))*1</f>
        <v>#REF!</v>
      </c>
      <c r="AC151" s="11" t="e">
        <f>LEFT('REPORTS PER EVALUATOR'!#REF!,1)</f>
        <v>#REF!</v>
      </c>
      <c r="AD151" s="92" t="e">
        <f>(RIGHT('REPORTS PER EVALUATOR'!#REF!,1))*1</f>
        <v>#REF!</v>
      </c>
      <c r="AE151" s="11" t="e">
        <f>LEFT('REPORTS PER EVALUATOR'!#REF!,1)</f>
        <v>#REF!</v>
      </c>
      <c r="AF151" s="92" t="e">
        <f>(RIGHT('REPORTS PER EVALUATOR'!#REF!,1))*1</f>
        <v>#REF!</v>
      </c>
      <c r="AG151" s="11" t="e">
        <f>LEFT('REPORTS PER EVALUATOR'!#REF!,1)</f>
        <v>#REF!</v>
      </c>
      <c r="AH151" s="92" t="e">
        <f>(RIGHT('REPORTS PER EVALUATOR'!#REF!,1))*1</f>
        <v>#REF!</v>
      </c>
      <c r="AI151" s="11" t="e">
        <f>LEFT('REPORTS PER EVALUATOR'!#REF!,1)</f>
        <v>#REF!</v>
      </c>
      <c r="AJ151" s="92" t="e">
        <f>(RIGHT('REPORTS PER EVALUATOR'!#REF!,1))*1</f>
        <v>#REF!</v>
      </c>
      <c r="AK151" s="11" t="e">
        <f>LEFT('REPORTS PER EVALUATOR'!#REF!,1)</f>
        <v>#REF!</v>
      </c>
      <c r="AL151" s="92" t="e">
        <f>(RIGHT('REPORTS PER EVALUATOR'!#REF!,1))*1</f>
        <v>#REF!</v>
      </c>
      <c r="AM151" s="11" t="e">
        <f>LEFT('REPORTS PER EVALUATOR'!#REF!,1)</f>
        <v>#REF!</v>
      </c>
      <c r="AN151" s="92" t="e">
        <f>(RIGHT('REPORTS PER EVALUATOR'!#REF!,1))*1</f>
        <v>#REF!</v>
      </c>
      <c r="AO151" s="11" t="e">
        <f>LEFT('REPORTS PER EVALUATOR'!#REF!,1)</f>
        <v>#REF!</v>
      </c>
      <c r="AP151" s="92" t="e">
        <f>(RIGHT('REPORTS PER EVALUATOR'!#REF!,1))*1</f>
        <v>#REF!</v>
      </c>
      <c r="AQ151" s="11" t="e">
        <f>LEFT('REPORTS PER EVALUATOR'!#REF!,1)</f>
        <v>#REF!</v>
      </c>
      <c r="AR151" s="92" t="e">
        <f>(RIGHT('REPORTS PER EVALUATOR'!#REF!,1))*1</f>
        <v>#REF!</v>
      </c>
    </row>
    <row r="152" spans="2:44" x14ac:dyDescent="0.2">
      <c r="B152" s="19" t="str">
        <f t="shared" si="8"/>
        <v>F</v>
      </c>
      <c r="C152" s="18" t="str">
        <f t="shared" si="9"/>
        <v>G</v>
      </c>
      <c r="D152" s="18" t="s">
        <v>46</v>
      </c>
      <c r="E152" s="56" t="str">
        <f>LEFT('REPORTS PER EVALUATOR'!$AN$11,1)</f>
        <v>F</v>
      </c>
      <c r="F152" s="72">
        <f>(RIGHT('REPORTS PER EVALUATOR'!$AN$11,1))*1</f>
        <v>5</v>
      </c>
      <c r="G152" s="57" t="str">
        <f>LEFT('REPORTS PER EVALUATOR'!$AN$23,1)</f>
        <v>F</v>
      </c>
      <c r="H152" s="80">
        <f>(RIGHT('REPORTS PER EVALUATOR'!$AN$23,1))*1</f>
        <v>3</v>
      </c>
      <c r="I152" s="57" t="str">
        <f>LEFT('REPORTS PER EVALUATOR'!$AN$35,1)</f>
        <v>F</v>
      </c>
      <c r="J152" s="80">
        <f>(RIGHT('REPORTS PER EVALUATOR'!$AN$35,1))*1</f>
        <v>5</v>
      </c>
      <c r="K152" s="57" t="str">
        <f>LEFT('REPORTS PER EVALUATOR'!$AN$47,1)</f>
        <v>1</v>
      </c>
      <c r="L152" s="80">
        <f>(RIGHT('REPORTS PER EVALUATOR'!$AN$47,1))*1</f>
        <v>1</v>
      </c>
      <c r="M152" s="57" t="str">
        <f>LEFT('REPORTS PER EVALUATOR'!$AN$59,1)</f>
        <v>F</v>
      </c>
      <c r="N152" s="80">
        <f>(RIGHT('REPORTS PER EVALUATOR'!$AN$59,1))*1</f>
        <v>3</v>
      </c>
      <c r="O152" s="57" t="str">
        <f>LEFT('REPORTS PER EVALUATOR'!$AN$71,1)</f>
        <v>F</v>
      </c>
      <c r="P152" s="80">
        <f>(RIGHT('REPORTS PER EVALUATOR'!$AN$71,1))*1</f>
        <v>4</v>
      </c>
      <c r="Q152" s="57" t="str">
        <f>LEFT('REPORTS PER EVALUATOR'!$AN$83,1)</f>
        <v>F</v>
      </c>
      <c r="R152" s="80">
        <f>(RIGHT('REPORTS PER EVALUATOR'!$AN$83,1))*1</f>
        <v>5</v>
      </c>
      <c r="S152" s="57" t="str">
        <f>LEFT('REPORTS PER EVALUATOR'!$AN$95,1)</f>
        <v>F</v>
      </c>
      <c r="T152" s="80">
        <f>(RIGHT('REPORTS PER EVALUATOR'!$AN$95,1))*1</f>
        <v>6</v>
      </c>
      <c r="U152" s="57" t="str">
        <f>LEFT('REPORTS PER EVALUATOR'!$AN$107,1)</f>
        <v>F</v>
      </c>
      <c r="V152" s="80">
        <f>(RIGHT('REPORTS PER EVALUATOR'!$AN$107,1))*1</f>
        <v>3</v>
      </c>
      <c r="W152" s="57" t="str">
        <f>LEFT('REPORTS PER EVALUATOR'!$AN$119,1)</f>
        <v>1</v>
      </c>
      <c r="X152" s="80">
        <f>(RIGHT('REPORTS PER EVALUATOR'!$AN$119,1))*1</f>
        <v>1</v>
      </c>
      <c r="Y152" s="57" t="str">
        <f>LEFT('REPORTS PER EVALUATOR'!$AN$131,1)</f>
        <v>F</v>
      </c>
      <c r="Z152" s="93">
        <f>(RIGHT('REPORTS PER EVALUATOR'!$AN$131,1))*1</f>
        <v>3</v>
      </c>
      <c r="AA152" s="57" t="e">
        <f>LEFT('REPORTS PER EVALUATOR'!#REF!,1)</f>
        <v>#REF!</v>
      </c>
      <c r="AB152" s="93" t="e">
        <f>(RIGHT('REPORTS PER EVALUATOR'!#REF!,1))*1</f>
        <v>#REF!</v>
      </c>
      <c r="AC152" s="57" t="e">
        <f>LEFT('REPORTS PER EVALUATOR'!#REF!,1)</f>
        <v>#REF!</v>
      </c>
      <c r="AD152" s="93" t="e">
        <f>(RIGHT('REPORTS PER EVALUATOR'!#REF!,1))*1</f>
        <v>#REF!</v>
      </c>
      <c r="AE152" s="57" t="e">
        <f>LEFT('REPORTS PER EVALUATOR'!#REF!,1)</f>
        <v>#REF!</v>
      </c>
      <c r="AF152" s="93" t="e">
        <f>(RIGHT('REPORTS PER EVALUATOR'!#REF!,1))*1</f>
        <v>#REF!</v>
      </c>
      <c r="AG152" s="57" t="e">
        <f>LEFT('REPORTS PER EVALUATOR'!#REF!,1)</f>
        <v>#REF!</v>
      </c>
      <c r="AH152" s="93" t="e">
        <f>(RIGHT('REPORTS PER EVALUATOR'!#REF!,1))*1</f>
        <v>#REF!</v>
      </c>
      <c r="AI152" s="57" t="e">
        <f>LEFT('REPORTS PER EVALUATOR'!#REF!,1)</f>
        <v>#REF!</v>
      </c>
      <c r="AJ152" s="93" t="e">
        <f>(RIGHT('REPORTS PER EVALUATOR'!#REF!,1))*1</f>
        <v>#REF!</v>
      </c>
      <c r="AK152" s="57" t="e">
        <f>LEFT('REPORTS PER EVALUATOR'!#REF!,1)</f>
        <v>#REF!</v>
      </c>
      <c r="AL152" s="93" t="e">
        <f>(RIGHT('REPORTS PER EVALUATOR'!#REF!,1))*1</f>
        <v>#REF!</v>
      </c>
      <c r="AM152" s="57" t="e">
        <f>LEFT('REPORTS PER EVALUATOR'!#REF!,1)</f>
        <v>#REF!</v>
      </c>
      <c r="AN152" s="93" t="e">
        <f>(RIGHT('REPORTS PER EVALUATOR'!#REF!,1))*1</f>
        <v>#REF!</v>
      </c>
      <c r="AO152" s="57" t="e">
        <f>LEFT('REPORTS PER EVALUATOR'!#REF!,1)</f>
        <v>#REF!</v>
      </c>
      <c r="AP152" s="93" t="e">
        <f>(RIGHT('REPORTS PER EVALUATOR'!#REF!,1))*1</f>
        <v>#REF!</v>
      </c>
      <c r="AQ152" s="57" t="e">
        <f>LEFT('REPORTS PER EVALUATOR'!#REF!,1)</f>
        <v>#REF!</v>
      </c>
      <c r="AR152" s="93" t="e">
        <f>(RIGHT('REPORTS PER EVALUATOR'!#REF!,1))*1</f>
        <v>#REF!</v>
      </c>
    </row>
    <row r="153" spans="2:44" x14ac:dyDescent="0.2">
      <c r="B153" s="19" t="str">
        <f t="shared" si="8"/>
        <v>F</v>
      </c>
      <c r="C153" s="18" t="str">
        <f t="shared" si="9"/>
        <v>H</v>
      </c>
      <c r="D153" s="18" t="s">
        <v>47</v>
      </c>
      <c r="E153" s="26" t="str">
        <f>LEFT('REPORTS PER EVALUATOR'!$AO$11,1)</f>
        <v>1</v>
      </c>
      <c r="F153" s="73">
        <f>(RIGHT('REPORTS PER EVALUATOR'!$AO$11,1))*1</f>
        <v>1</v>
      </c>
      <c r="G153" s="11" t="str">
        <f>LEFT('REPORTS PER EVALUATOR'!$AO$23,1)</f>
        <v>F</v>
      </c>
      <c r="H153" s="81">
        <f>(RIGHT('REPORTS PER EVALUATOR'!$AO$23,1))*1</f>
        <v>2</v>
      </c>
      <c r="I153" s="11" t="str">
        <f>LEFT('REPORTS PER EVALUATOR'!$AO$35,1)</f>
        <v>F</v>
      </c>
      <c r="J153" s="81">
        <f>(RIGHT('REPORTS PER EVALUATOR'!$AO$35,1))*1</f>
        <v>5</v>
      </c>
      <c r="K153" s="11" t="str">
        <f>LEFT('REPORTS PER EVALUATOR'!$AO$47,1)</f>
        <v>F</v>
      </c>
      <c r="L153" s="81">
        <f>(RIGHT('REPORTS PER EVALUATOR'!$AO$47,1))*1</f>
        <v>4</v>
      </c>
      <c r="M153" s="11" t="str">
        <f>LEFT('REPORTS PER EVALUATOR'!$AO$59,1)</f>
        <v>F</v>
      </c>
      <c r="N153" s="81">
        <f>(RIGHT('REPORTS PER EVALUATOR'!$AO$59,1))*1</f>
        <v>2</v>
      </c>
      <c r="O153" s="11" t="str">
        <f>LEFT('REPORTS PER EVALUATOR'!$AO$71,1)</f>
        <v>F</v>
      </c>
      <c r="P153" s="81">
        <f>(RIGHT('REPORTS PER EVALUATOR'!$AO$71,1))*1</f>
        <v>3</v>
      </c>
      <c r="Q153" s="11" t="str">
        <f>LEFT('REPORTS PER EVALUATOR'!$AO$83,1)</f>
        <v>F</v>
      </c>
      <c r="R153" s="81">
        <f>(RIGHT('REPORTS PER EVALUATOR'!$AO$83,1))*1</f>
        <v>3</v>
      </c>
      <c r="S153" s="11" t="str">
        <f>LEFT('REPORTS PER EVALUATOR'!$AO$95,1)</f>
        <v>H</v>
      </c>
      <c r="T153" s="81">
        <f>(RIGHT('REPORTS PER EVALUATOR'!$AO$95,1))*1</f>
        <v>3</v>
      </c>
      <c r="U153" s="11" t="str">
        <f>LEFT('REPORTS PER EVALUATOR'!$AO$107,1)</f>
        <v>H</v>
      </c>
      <c r="V153" s="81">
        <f>(RIGHT('REPORTS PER EVALUATOR'!$AO$107,1))*1</f>
        <v>2</v>
      </c>
      <c r="W153" s="11" t="str">
        <f>LEFT('REPORTS PER EVALUATOR'!$AO$119,1)</f>
        <v>H</v>
      </c>
      <c r="X153" s="81">
        <f>(RIGHT('REPORTS PER EVALUATOR'!$AO$119,1))*1</f>
        <v>2</v>
      </c>
      <c r="Y153" s="11" t="str">
        <f>LEFT('REPORTS PER EVALUATOR'!$AO$131,1)</f>
        <v>1</v>
      </c>
      <c r="Z153" s="92">
        <f>(RIGHT('REPORTS PER EVALUATOR'!$AO$131,1))*1</f>
        <v>1</v>
      </c>
      <c r="AA153" s="11" t="e">
        <f>LEFT('REPORTS PER EVALUATOR'!#REF!,1)</f>
        <v>#REF!</v>
      </c>
      <c r="AB153" s="92" t="e">
        <f>(RIGHT('REPORTS PER EVALUATOR'!#REF!,1))*1</f>
        <v>#REF!</v>
      </c>
      <c r="AC153" s="11" t="e">
        <f>LEFT('REPORTS PER EVALUATOR'!#REF!,1)</f>
        <v>#REF!</v>
      </c>
      <c r="AD153" s="92" t="e">
        <f>(RIGHT('REPORTS PER EVALUATOR'!#REF!,1))*1</f>
        <v>#REF!</v>
      </c>
      <c r="AE153" s="11" t="e">
        <f>LEFT('REPORTS PER EVALUATOR'!#REF!,1)</f>
        <v>#REF!</v>
      </c>
      <c r="AF153" s="92" t="e">
        <f>(RIGHT('REPORTS PER EVALUATOR'!#REF!,1))*1</f>
        <v>#REF!</v>
      </c>
      <c r="AG153" s="11" t="e">
        <f>LEFT('REPORTS PER EVALUATOR'!#REF!,1)</f>
        <v>#REF!</v>
      </c>
      <c r="AH153" s="92" t="e">
        <f>(RIGHT('REPORTS PER EVALUATOR'!#REF!,1))*1</f>
        <v>#REF!</v>
      </c>
      <c r="AI153" s="11" t="e">
        <f>LEFT('REPORTS PER EVALUATOR'!#REF!,1)</f>
        <v>#REF!</v>
      </c>
      <c r="AJ153" s="92" t="e">
        <f>(RIGHT('REPORTS PER EVALUATOR'!#REF!,1))*1</f>
        <v>#REF!</v>
      </c>
      <c r="AK153" s="11" t="e">
        <f>LEFT('REPORTS PER EVALUATOR'!#REF!,1)</f>
        <v>#REF!</v>
      </c>
      <c r="AL153" s="92" t="e">
        <f>(RIGHT('REPORTS PER EVALUATOR'!#REF!,1))*1</f>
        <v>#REF!</v>
      </c>
      <c r="AM153" s="11" t="e">
        <f>LEFT('REPORTS PER EVALUATOR'!#REF!,1)</f>
        <v>#REF!</v>
      </c>
      <c r="AN153" s="92" t="e">
        <f>(RIGHT('REPORTS PER EVALUATOR'!#REF!,1))*1</f>
        <v>#REF!</v>
      </c>
      <c r="AO153" s="11" t="e">
        <f>LEFT('REPORTS PER EVALUATOR'!#REF!,1)</f>
        <v>#REF!</v>
      </c>
      <c r="AP153" s="92" t="e">
        <f>(RIGHT('REPORTS PER EVALUATOR'!#REF!,1))*1</f>
        <v>#REF!</v>
      </c>
      <c r="AQ153" s="11" t="e">
        <f>LEFT('REPORTS PER EVALUATOR'!#REF!,1)</f>
        <v>#REF!</v>
      </c>
      <c r="AR153" s="92" t="e">
        <f>(RIGHT('REPORTS PER EVALUATOR'!#REF!,1))*1</f>
        <v>#REF!</v>
      </c>
    </row>
    <row r="154" spans="2:44" x14ac:dyDescent="0.2">
      <c r="B154" s="19" t="str">
        <f t="shared" si="8"/>
        <v>F</v>
      </c>
      <c r="C154" s="18" t="str">
        <f t="shared" si="9"/>
        <v>I</v>
      </c>
      <c r="D154" s="18" t="s">
        <v>48</v>
      </c>
      <c r="E154" s="26" t="str">
        <f>LEFT('REPORTS PER EVALUATOR'!$AP$11,1)</f>
        <v>F</v>
      </c>
      <c r="F154" s="73">
        <f>(RIGHT('REPORTS PER EVALUATOR'!$AP$11,1))*1</f>
        <v>2</v>
      </c>
      <c r="G154" s="11" t="str">
        <f>LEFT('REPORTS PER EVALUATOR'!$AP$23,1)</f>
        <v>F</v>
      </c>
      <c r="H154" s="81">
        <f>(RIGHT('REPORTS PER EVALUATOR'!$AP$23,1))*1</f>
        <v>4</v>
      </c>
      <c r="I154" s="11" t="str">
        <f>LEFT('REPORTS PER EVALUATOR'!$AP$35,1)</f>
        <v>F</v>
      </c>
      <c r="J154" s="81">
        <f>(RIGHT('REPORTS PER EVALUATOR'!$AP$35,1))*1</f>
        <v>2</v>
      </c>
      <c r="K154" s="11" t="str">
        <f>LEFT('REPORTS PER EVALUATOR'!$AP$47,1)</f>
        <v>1</v>
      </c>
      <c r="L154" s="81">
        <f>(RIGHT('REPORTS PER EVALUATOR'!$AP$47,1))*1</f>
        <v>1</v>
      </c>
      <c r="M154" s="11" t="str">
        <f>LEFT('REPORTS PER EVALUATOR'!$AP$59,1)</f>
        <v>F</v>
      </c>
      <c r="N154" s="81">
        <f>(RIGHT('REPORTS PER EVALUATOR'!$AP$59,1))*1</f>
        <v>3</v>
      </c>
      <c r="O154" s="11" t="str">
        <f>LEFT('REPORTS PER EVALUATOR'!$AP$71,1)</f>
        <v>F</v>
      </c>
      <c r="P154" s="81">
        <f>(RIGHT('REPORTS PER EVALUATOR'!$AP$71,1))*1</f>
        <v>3</v>
      </c>
      <c r="Q154" s="11" t="str">
        <f>LEFT('REPORTS PER EVALUATOR'!$AP$83,1)</f>
        <v>F</v>
      </c>
      <c r="R154" s="81">
        <f>(RIGHT('REPORTS PER EVALUATOR'!$AP$83,1))*1</f>
        <v>4</v>
      </c>
      <c r="S154" s="11" t="str">
        <f>LEFT('REPORTS PER EVALUATOR'!$AP$95,1)</f>
        <v>F</v>
      </c>
      <c r="T154" s="81">
        <f>(RIGHT('REPORTS PER EVALUATOR'!$AP$95,1))*1</f>
        <v>2</v>
      </c>
      <c r="U154" s="11" t="str">
        <f>LEFT('REPORTS PER EVALUATOR'!$AP$107,1)</f>
        <v>F</v>
      </c>
      <c r="V154" s="81">
        <f>(RIGHT('REPORTS PER EVALUATOR'!$AP$107,1))*1</f>
        <v>2</v>
      </c>
      <c r="W154" s="11" t="str">
        <f>LEFT('REPORTS PER EVALUATOR'!$AP$119,1)</f>
        <v>I</v>
      </c>
      <c r="X154" s="81">
        <f>(RIGHT('REPORTS PER EVALUATOR'!$AP$119,1))*1</f>
        <v>2</v>
      </c>
      <c r="Y154" s="11" t="str">
        <f>LEFT('REPORTS PER EVALUATOR'!$AP$131,1)</f>
        <v>1</v>
      </c>
      <c r="Z154" s="92">
        <f>(RIGHT('REPORTS PER EVALUATOR'!$AP$131,1))*1</f>
        <v>1</v>
      </c>
      <c r="AA154" s="11" t="e">
        <f>LEFT('REPORTS PER EVALUATOR'!#REF!,1)</f>
        <v>#REF!</v>
      </c>
      <c r="AB154" s="92" t="e">
        <f>(RIGHT('REPORTS PER EVALUATOR'!#REF!,1))*1</f>
        <v>#REF!</v>
      </c>
      <c r="AC154" s="11" t="e">
        <f>LEFT('REPORTS PER EVALUATOR'!#REF!,1)</f>
        <v>#REF!</v>
      </c>
      <c r="AD154" s="92" t="e">
        <f>(RIGHT('REPORTS PER EVALUATOR'!#REF!,1))*1</f>
        <v>#REF!</v>
      </c>
      <c r="AE154" s="11" t="e">
        <f>LEFT('REPORTS PER EVALUATOR'!#REF!,1)</f>
        <v>#REF!</v>
      </c>
      <c r="AF154" s="92" t="e">
        <f>(RIGHT('REPORTS PER EVALUATOR'!#REF!,1))*1</f>
        <v>#REF!</v>
      </c>
      <c r="AG154" s="11" t="e">
        <f>LEFT('REPORTS PER EVALUATOR'!#REF!,1)</f>
        <v>#REF!</v>
      </c>
      <c r="AH154" s="92" t="e">
        <f>(RIGHT('REPORTS PER EVALUATOR'!#REF!,1))*1</f>
        <v>#REF!</v>
      </c>
      <c r="AI154" s="11" t="e">
        <f>LEFT('REPORTS PER EVALUATOR'!#REF!,1)</f>
        <v>#REF!</v>
      </c>
      <c r="AJ154" s="92" t="e">
        <f>(RIGHT('REPORTS PER EVALUATOR'!#REF!,1))*1</f>
        <v>#REF!</v>
      </c>
      <c r="AK154" s="11" t="e">
        <f>LEFT('REPORTS PER EVALUATOR'!#REF!,1)</f>
        <v>#REF!</v>
      </c>
      <c r="AL154" s="92" t="e">
        <f>(RIGHT('REPORTS PER EVALUATOR'!#REF!,1))*1</f>
        <v>#REF!</v>
      </c>
      <c r="AM154" s="11" t="e">
        <f>LEFT('REPORTS PER EVALUATOR'!#REF!,1)</f>
        <v>#REF!</v>
      </c>
      <c r="AN154" s="92" t="e">
        <f>(RIGHT('REPORTS PER EVALUATOR'!#REF!,1))*1</f>
        <v>#REF!</v>
      </c>
      <c r="AO154" s="11" t="e">
        <f>LEFT('REPORTS PER EVALUATOR'!#REF!,1)</f>
        <v>#REF!</v>
      </c>
      <c r="AP154" s="92" t="e">
        <f>(RIGHT('REPORTS PER EVALUATOR'!#REF!,1))*1</f>
        <v>#REF!</v>
      </c>
      <c r="AQ154" s="11" t="e">
        <f>LEFT('REPORTS PER EVALUATOR'!#REF!,1)</f>
        <v>#REF!</v>
      </c>
      <c r="AR154" s="92" t="e">
        <f>(RIGHT('REPORTS PER EVALUATOR'!#REF!,1))*1</f>
        <v>#REF!</v>
      </c>
    </row>
    <row r="155" spans="2:44" x14ac:dyDescent="0.2">
      <c r="B155" s="19" t="str">
        <f t="shared" si="8"/>
        <v>F</v>
      </c>
      <c r="C155" s="18" t="str">
        <f t="shared" si="9"/>
        <v>L</v>
      </c>
      <c r="D155" s="18" t="s">
        <v>49</v>
      </c>
      <c r="E155" s="26" t="str">
        <f>LEFT('REPORTS PER EVALUATOR'!$AQ$11,1)</f>
        <v>F</v>
      </c>
      <c r="F155" s="73">
        <f>(RIGHT('REPORTS PER EVALUATOR'!$AQ$11,1))*1</f>
        <v>5</v>
      </c>
      <c r="G155" s="11" t="str">
        <f>LEFT('REPORTS PER EVALUATOR'!$AQ$23,1)</f>
        <v>F</v>
      </c>
      <c r="H155" s="81">
        <f>(RIGHT('REPORTS PER EVALUATOR'!$AQ$23,1))*1</f>
        <v>4</v>
      </c>
      <c r="I155" s="11" t="str">
        <f>LEFT('REPORTS PER EVALUATOR'!$AQ$35,1)</f>
        <v>F</v>
      </c>
      <c r="J155" s="81">
        <f>(RIGHT('REPORTS PER EVALUATOR'!$AQ$35,1))*1</f>
        <v>5</v>
      </c>
      <c r="K155" s="11" t="str">
        <f>LEFT('REPORTS PER EVALUATOR'!$AQ$47,1)</f>
        <v>F</v>
      </c>
      <c r="L155" s="81">
        <f>(RIGHT('REPORTS PER EVALUATOR'!$AQ$47,1))*1</f>
        <v>5</v>
      </c>
      <c r="M155" s="11" t="str">
        <f>LEFT('REPORTS PER EVALUATOR'!$AQ$59,1)</f>
        <v>F</v>
      </c>
      <c r="N155" s="81">
        <f>(RIGHT('REPORTS PER EVALUATOR'!$AQ$59,1))*1</f>
        <v>2</v>
      </c>
      <c r="O155" s="11" t="str">
        <f>LEFT('REPORTS PER EVALUATOR'!$AQ$71,1)</f>
        <v>F</v>
      </c>
      <c r="P155" s="81">
        <f>(RIGHT('REPORTS PER EVALUATOR'!$AQ$71,1))*1</f>
        <v>3</v>
      </c>
      <c r="Q155" s="11" t="str">
        <f>LEFT('REPORTS PER EVALUATOR'!$AQ$83,1)</f>
        <v>F</v>
      </c>
      <c r="R155" s="81">
        <f>(RIGHT('REPORTS PER EVALUATOR'!$AQ$83,1))*1</f>
        <v>4</v>
      </c>
      <c r="S155" s="11" t="str">
        <f>LEFT('REPORTS PER EVALUATOR'!$AQ$95,1)</f>
        <v>L</v>
      </c>
      <c r="T155" s="81">
        <f>(RIGHT('REPORTS PER EVALUATOR'!$AQ$95,1))*1</f>
        <v>3</v>
      </c>
      <c r="U155" s="11" t="str">
        <f>LEFT('REPORTS PER EVALUATOR'!$AQ$107,1)</f>
        <v>L</v>
      </c>
      <c r="V155" s="81">
        <f>(RIGHT('REPORTS PER EVALUATOR'!$AQ$107,1))*1</f>
        <v>2</v>
      </c>
      <c r="W155" s="11" t="str">
        <f>LEFT('REPORTS PER EVALUATOR'!$AQ$119,1)</f>
        <v>1</v>
      </c>
      <c r="X155" s="81">
        <f>(RIGHT('REPORTS PER EVALUATOR'!$AQ$119,1))*1</f>
        <v>1</v>
      </c>
      <c r="Y155" s="11" t="str">
        <f>LEFT('REPORTS PER EVALUATOR'!$AQ$131,1)</f>
        <v>F</v>
      </c>
      <c r="Z155" s="92">
        <f>(RIGHT('REPORTS PER EVALUATOR'!$AQ$131,1))*1</f>
        <v>2</v>
      </c>
      <c r="AA155" s="11" t="e">
        <f>LEFT('REPORTS PER EVALUATOR'!#REF!,1)</f>
        <v>#REF!</v>
      </c>
      <c r="AB155" s="92" t="e">
        <f>(RIGHT('REPORTS PER EVALUATOR'!#REF!,1))*1</f>
        <v>#REF!</v>
      </c>
      <c r="AC155" s="11" t="e">
        <f>LEFT('REPORTS PER EVALUATOR'!#REF!,1)</f>
        <v>#REF!</v>
      </c>
      <c r="AD155" s="92" t="e">
        <f>(RIGHT('REPORTS PER EVALUATOR'!#REF!,1))*1</f>
        <v>#REF!</v>
      </c>
      <c r="AE155" s="11" t="e">
        <f>LEFT('REPORTS PER EVALUATOR'!#REF!,1)</f>
        <v>#REF!</v>
      </c>
      <c r="AF155" s="92" t="e">
        <f>(RIGHT('REPORTS PER EVALUATOR'!#REF!,1))*1</f>
        <v>#REF!</v>
      </c>
      <c r="AG155" s="11" t="e">
        <f>LEFT('REPORTS PER EVALUATOR'!#REF!,1)</f>
        <v>#REF!</v>
      </c>
      <c r="AH155" s="92" t="e">
        <f>(RIGHT('REPORTS PER EVALUATOR'!#REF!,1))*1</f>
        <v>#REF!</v>
      </c>
      <c r="AI155" s="11" t="e">
        <f>LEFT('REPORTS PER EVALUATOR'!#REF!,1)</f>
        <v>#REF!</v>
      </c>
      <c r="AJ155" s="92" t="e">
        <f>(RIGHT('REPORTS PER EVALUATOR'!#REF!,1))*1</f>
        <v>#REF!</v>
      </c>
      <c r="AK155" s="11" t="e">
        <f>LEFT('REPORTS PER EVALUATOR'!#REF!,1)</f>
        <v>#REF!</v>
      </c>
      <c r="AL155" s="92" t="e">
        <f>(RIGHT('REPORTS PER EVALUATOR'!#REF!,1))*1</f>
        <v>#REF!</v>
      </c>
      <c r="AM155" s="11" t="e">
        <f>LEFT('REPORTS PER EVALUATOR'!#REF!,1)</f>
        <v>#REF!</v>
      </c>
      <c r="AN155" s="92" t="e">
        <f>(RIGHT('REPORTS PER EVALUATOR'!#REF!,1))*1</f>
        <v>#REF!</v>
      </c>
      <c r="AO155" s="11" t="e">
        <f>LEFT('REPORTS PER EVALUATOR'!#REF!,1)</f>
        <v>#REF!</v>
      </c>
      <c r="AP155" s="92" t="e">
        <f>(RIGHT('REPORTS PER EVALUATOR'!#REF!,1))*1</f>
        <v>#REF!</v>
      </c>
      <c r="AQ155" s="11" t="e">
        <f>LEFT('REPORTS PER EVALUATOR'!#REF!,1)</f>
        <v>#REF!</v>
      </c>
      <c r="AR155" s="92" t="e">
        <f>(RIGHT('REPORTS PER EVALUATOR'!#REF!,1))*1</f>
        <v>#REF!</v>
      </c>
    </row>
    <row r="156" spans="2:44" x14ac:dyDescent="0.2">
      <c r="B156" s="19" t="str">
        <f t="shared" si="8"/>
        <v>F</v>
      </c>
      <c r="C156" s="18" t="str">
        <f t="shared" si="9"/>
        <v>M</v>
      </c>
      <c r="D156" s="18" t="s">
        <v>162</v>
      </c>
      <c r="E156" s="26" t="str">
        <f>LEFT('REPORTS PER EVALUATOR'!$AR$11,1)</f>
        <v/>
      </c>
      <c r="F156" s="73" t="e">
        <f>(RIGHT('REPORTS PER EVALUATOR'!$AR$11,1))*1</f>
        <v>#VALUE!</v>
      </c>
      <c r="G156" s="11" t="str">
        <f>LEFT('REPORTS PER EVALUATOR'!$AR$23,1)</f>
        <v/>
      </c>
      <c r="H156" s="81" t="e">
        <f>(RIGHT('REPORTS PER EVALUATOR'!$AR$23,1))*1</f>
        <v>#VALUE!</v>
      </c>
      <c r="I156" s="11" t="str">
        <f>LEFT('REPORTS PER EVALUATOR'!$AR$35,1)</f>
        <v/>
      </c>
      <c r="J156" s="81" t="e">
        <f>(RIGHT('REPORTS PER EVALUATOR'!$AR$35,1))*1</f>
        <v>#VALUE!</v>
      </c>
      <c r="K156" s="11" t="str">
        <f>LEFT('REPORTS PER EVALUATOR'!$AR$47,1)</f>
        <v/>
      </c>
      <c r="L156" s="81" t="e">
        <f>(RIGHT('REPORTS PER EVALUATOR'!$AR$47,1))*1</f>
        <v>#VALUE!</v>
      </c>
      <c r="M156" s="11" t="str">
        <f>LEFT('REPORTS PER EVALUATOR'!$AR$59,1)</f>
        <v/>
      </c>
      <c r="N156" s="81" t="e">
        <f>(RIGHT('REPORTS PER EVALUATOR'!$AR$59,1))*1</f>
        <v>#VALUE!</v>
      </c>
      <c r="O156" s="11" t="str">
        <f>LEFT('REPORTS PER EVALUATOR'!$AR$71,1)</f>
        <v/>
      </c>
      <c r="P156" s="81" t="e">
        <f>(RIGHT('REPORTS PER EVALUATOR'!$AR$71,1))*1</f>
        <v>#VALUE!</v>
      </c>
      <c r="Q156" s="11" t="str">
        <f>LEFT('REPORTS PER EVALUATOR'!$AR$83,1)</f>
        <v/>
      </c>
      <c r="R156" s="81" t="e">
        <f>(RIGHT('REPORTS PER EVALUATOR'!$AR$83,1))*1</f>
        <v>#VALUE!</v>
      </c>
      <c r="S156" s="11" t="str">
        <f>LEFT('REPORTS PER EVALUATOR'!$AR$95,1)</f>
        <v/>
      </c>
      <c r="T156" s="81" t="e">
        <f>(RIGHT('REPORTS PER EVALUATOR'!$AR$95,1))*1</f>
        <v>#VALUE!</v>
      </c>
      <c r="U156" s="11" t="str">
        <f>LEFT('REPORTS PER EVALUATOR'!$AR$107,1)</f>
        <v/>
      </c>
      <c r="V156" s="81" t="e">
        <f>(RIGHT('REPORTS PER EVALUATOR'!$AR$107,1))*1</f>
        <v>#VALUE!</v>
      </c>
      <c r="W156" s="11" t="str">
        <f>LEFT('REPORTS PER EVALUATOR'!$AR$119,1)</f>
        <v/>
      </c>
      <c r="X156" s="81" t="e">
        <f>(RIGHT('REPORTS PER EVALUATOR'!$AR$119,1))*1</f>
        <v>#VALUE!</v>
      </c>
      <c r="Y156" s="11" t="str">
        <f>LEFT('REPORTS PER EVALUATOR'!$AR$131,1)</f>
        <v/>
      </c>
      <c r="Z156" s="92" t="e">
        <f>(RIGHT('REPORTS PER EVALUATOR'!$AR$131,1))*1</f>
        <v>#VALUE!</v>
      </c>
      <c r="AA156" s="11" t="e">
        <f>LEFT('REPORTS PER EVALUATOR'!#REF!,1)</f>
        <v>#REF!</v>
      </c>
      <c r="AB156" s="92" t="e">
        <f>(RIGHT('REPORTS PER EVALUATOR'!#REF!,1))*1</f>
        <v>#REF!</v>
      </c>
      <c r="AC156" s="11" t="e">
        <f>LEFT('REPORTS PER EVALUATOR'!#REF!,1)</f>
        <v>#REF!</v>
      </c>
      <c r="AD156" s="92" t="e">
        <f>(RIGHT('REPORTS PER EVALUATOR'!#REF!,1))*1</f>
        <v>#REF!</v>
      </c>
      <c r="AE156" s="11" t="e">
        <f>LEFT('REPORTS PER EVALUATOR'!#REF!,1)</f>
        <v>#REF!</v>
      </c>
      <c r="AF156" s="92" t="e">
        <f>(RIGHT('REPORTS PER EVALUATOR'!#REF!,1))*1</f>
        <v>#REF!</v>
      </c>
      <c r="AG156" s="11" t="e">
        <f>LEFT('REPORTS PER EVALUATOR'!#REF!,1)</f>
        <v>#REF!</v>
      </c>
      <c r="AH156" s="92" t="e">
        <f>(RIGHT('REPORTS PER EVALUATOR'!#REF!,1))*1</f>
        <v>#REF!</v>
      </c>
      <c r="AI156" s="11" t="e">
        <f>LEFT('REPORTS PER EVALUATOR'!#REF!,1)</f>
        <v>#REF!</v>
      </c>
      <c r="AJ156" s="92" t="e">
        <f>(RIGHT('REPORTS PER EVALUATOR'!#REF!,1))*1</f>
        <v>#REF!</v>
      </c>
      <c r="AK156" s="11" t="e">
        <f>LEFT('REPORTS PER EVALUATOR'!#REF!,1)</f>
        <v>#REF!</v>
      </c>
      <c r="AL156" s="92" t="e">
        <f>(RIGHT('REPORTS PER EVALUATOR'!#REF!,1))*1</f>
        <v>#REF!</v>
      </c>
      <c r="AM156" s="11" t="e">
        <f>LEFT('REPORTS PER EVALUATOR'!#REF!,1)</f>
        <v>#REF!</v>
      </c>
      <c r="AN156" s="92" t="e">
        <f>(RIGHT('REPORTS PER EVALUATOR'!#REF!,1))*1</f>
        <v>#REF!</v>
      </c>
      <c r="AO156" s="11" t="e">
        <f>LEFT('REPORTS PER EVALUATOR'!#REF!,1)</f>
        <v>#REF!</v>
      </c>
      <c r="AP156" s="92" t="e">
        <f>(RIGHT('REPORTS PER EVALUATOR'!#REF!,1))*1</f>
        <v>#REF!</v>
      </c>
      <c r="AQ156" s="11" t="e">
        <f>LEFT('REPORTS PER EVALUATOR'!#REF!,1)</f>
        <v>#REF!</v>
      </c>
      <c r="AR156" s="92" t="e">
        <f>(RIGHT('REPORTS PER EVALUATOR'!#REF!,1))*1</f>
        <v>#REF!</v>
      </c>
    </row>
    <row r="157" spans="2:44" x14ac:dyDescent="0.2">
      <c r="B157" s="19" t="str">
        <f t="shared" si="8"/>
        <v>G</v>
      </c>
      <c r="C157" s="18" t="str">
        <f t="shared" si="9"/>
        <v>H</v>
      </c>
      <c r="D157" s="18" t="s">
        <v>50</v>
      </c>
      <c r="E157" s="56" t="str">
        <f>LEFT('REPORTS PER EVALUATOR'!$AO$12,1)</f>
        <v>H</v>
      </c>
      <c r="F157" s="72">
        <f>(RIGHT('REPORTS PER EVALUATOR'!$AO$12,1))*1</f>
        <v>5</v>
      </c>
      <c r="G157" s="57" t="str">
        <f>LEFT('REPORTS PER EVALUATOR'!$AO$24,1)</f>
        <v>H</v>
      </c>
      <c r="H157" s="80">
        <f>(RIGHT('REPORTS PER EVALUATOR'!$AO$24,1))*1</f>
        <v>2</v>
      </c>
      <c r="I157" s="57" t="str">
        <f>LEFT('REPORTS PER EVALUATOR'!$AO$36,1)</f>
        <v>1</v>
      </c>
      <c r="J157" s="80">
        <f>(RIGHT('REPORTS PER EVALUATOR'!$AO$36,1))*1</f>
        <v>1</v>
      </c>
      <c r="K157" s="57" t="str">
        <f>LEFT('REPORTS PER EVALUATOR'!$AO$48,1)</f>
        <v>G</v>
      </c>
      <c r="L157" s="80">
        <f>(RIGHT('REPORTS PER EVALUATOR'!$AO$48,1))*1</f>
        <v>4</v>
      </c>
      <c r="M157" s="57" t="str">
        <f>LEFT('REPORTS PER EVALUATOR'!$AO$60,1)</f>
        <v>H</v>
      </c>
      <c r="N157" s="80">
        <f>(RIGHT('REPORTS PER EVALUATOR'!$AO$60,1))*1</f>
        <v>2</v>
      </c>
      <c r="O157" s="57" t="str">
        <f>LEFT('REPORTS PER EVALUATOR'!$AO$72,1)</f>
        <v>H</v>
      </c>
      <c r="P157" s="80">
        <f>(RIGHT('REPORTS PER EVALUATOR'!$AO$72,1))*1</f>
        <v>3</v>
      </c>
      <c r="Q157" s="57" t="str">
        <f>LEFT('REPORTS PER EVALUATOR'!$AO$84,1)</f>
        <v>H</v>
      </c>
      <c r="R157" s="80">
        <f>(RIGHT('REPORTS PER EVALUATOR'!$AO$84,1))*1</f>
        <v>3</v>
      </c>
      <c r="S157" s="57" t="str">
        <f>LEFT('REPORTS PER EVALUATOR'!$AO$96,1)</f>
        <v>H</v>
      </c>
      <c r="T157" s="80">
        <f>(RIGHT('REPORTS PER EVALUATOR'!$AO$96,1))*1</f>
        <v>6</v>
      </c>
      <c r="U157" s="57" t="str">
        <f>LEFT('REPORTS PER EVALUATOR'!$AO$108,1)</f>
        <v>H</v>
      </c>
      <c r="V157" s="80">
        <f>(RIGHT('REPORTS PER EVALUATOR'!$AO$108,1))*1</f>
        <v>4</v>
      </c>
      <c r="W157" s="57" t="str">
        <f>LEFT('REPORTS PER EVALUATOR'!$AO$120,1)</f>
        <v>H</v>
      </c>
      <c r="X157" s="80">
        <f>(RIGHT('REPORTS PER EVALUATOR'!$AO$120,1))*1</f>
        <v>2</v>
      </c>
      <c r="Y157" s="57" t="str">
        <f>LEFT('REPORTS PER EVALUATOR'!$AO$132,1)</f>
        <v>H</v>
      </c>
      <c r="Z157" s="93">
        <f>(RIGHT('REPORTS PER EVALUATOR'!$AO$132,1))*1</f>
        <v>3</v>
      </c>
      <c r="AA157" s="57" t="e">
        <f>LEFT('REPORTS PER EVALUATOR'!#REF!,1)</f>
        <v>#REF!</v>
      </c>
      <c r="AB157" s="93" t="e">
        <f>(RIGHT('REPORTS PER EVALUATOR'!#REF!,1))*1</f>
        <v>#REF!</v>
      </c>
      <c r="AC157" s="57" t="e">
        <f>LEFT('REPORTS PER EVALUATOR'!#REF!,1)</f>
        <v>#REF!</v>
      </c>
      <c r="AD157" s="93" t="e">
        <f>(RIGHT('REPORTS PER EVALUATOR'!#REF!,1))*1</f>
        <v>#REF!</v>
      </c>
      <c r="AE157" s="57" t="e">
        <f>LEFT('REPORTS PER EVALUATOR'!#REF!,1)</f>
        <v>#REF!</v>
      </c>
      <c r="AF157" s="93" t="e">
        <f>(RIGHT('REPORTS PER EVALUATOR'!#REF!,1))*1</f>
        <v>#REF!</v>
      </c>
      <c r="AG157" s="57" t="e">
        <f>LEFT('REPORTS PER EVALUATOR'!#REF!,1)</f>
        <v>#REF!</v>
      </c>
      <c r="AH157" s="93" t="e">
        <f>(RIGHT('REPORTS PER EVALUATOR'!#REF!,1))*1</f>
        <v>#REF!</v>
      </c>
      <c r="AI157" s="57" t="e">
        <f>LEFT('REPORTS PER EVALUATOR'!#REF!,1)</f>
        <v>#REF!</v>
      </c>
      <c r="AJ157" s="93" t="e">
        <f>(RIGHT('REPORTS PER EVALUATOR'!#REF!,1))*1</f>
        <v>#REF!</v>
      </c>
      <c r="AK157" s="57" t="e">
        <f>LEFT('REPORTS PER EVALUATOR'!#REF!,1)</f>
        <v>#REF!</v>
      </c>
      <c r="AL157" s="93" t="e">
        <f>(RIGHT('REPORTS PER EVALUATOR'!#REF!,1))*1</f>
        <v>#REF!</v>
      </c>
      <c r="AM157" s="57" t="e">
        <f>LEFT('REPORTS PER EVALUATOR'!#REF!,1)</f>
        <v>#REF!</v>
      </c>
      <c r="AN157" s="93" t="e">
        <f>(RIGHT('REPORTS PER EVALUATOR'!#REF!,1))*1</f>
        <v>#REF!</v>
      </c>
      <c r="AO157" s="57" t="e">
        <f>LEFT('REPORTS PER EVALUATOR'!#REF!,1)</f>
        <v>#REF!</v>
      </c>
      <c r="AP157" s="93" t="e">
        <f>(RIGHT('REPORTS PER EVALUATOR'!#REF!,1))*1</f>
        <v>#REF!</v>
      </c>
      <c r="AQ157" s="57" t="e">
        <f>LEFT('REPORTS PER EVALUATOR'!#REF!,1)</f>
        <v>#REF!</v>
      </c>
      <c r="AR157" s="93" t="e">
        <f>(RIGHT('REPORTS PER EVALUATOR'!#REF!,1))*1</f>
        <v>#REF!</v>
      </c>
    </row>
    <row r="158" spans="2:44" x14ac:dyDescent="0.2">
      <c r="B158" s="19" t="str">
        <f t="shared" si="8"/>
        <v>G</v>
      </c>
      <c r="C158" s="18" t="str">
        <f t="shared" si="9"/>
        <v>I</v>
      </c>
      <c r="D158" s="18" t="s">
        <v>51</v>
      </c>
      <c r="E158" s="26" t="str">
        <f>LEFT('REPORTS PER EVALUATOR'!$AP$12,1)</f>
        <v>I</v>
      </c>
      <c r="F158" s="73">
        <f>(RIGHT('REPORTS PER EVALUATOR'!$AP$12,1))*1</f>
        <v>4</v>
      </c>
      <c r="G158" s="11" t="str">
        <f>LEFT('REPORTS PER EVALUATOR'!$AP$24,1)</f>
        <v>G</v>
      </c>
      <c r="H158" s="81">
        <f>(RIGHT('REPORTS PER EVALUATOR'!$AP$24,1))*1</f>
        <v>2</v>
      </c>
      <c r="I158" s="11" t="str">
        <f>LEFT('REPORTS PER EVALUATOR'!$AP$36,1)</f>
        <v>I</v>
      </c>
      <c r="J158" s="81">
        <f>(RIGHT('REPORTS PER EVALUATOR'!$AP$36,1))*1</f>
        <v>4</v>
      </c>
      <c r="K158" s="11" t="str">
        <f>LEFT('REPORTS PER EVALUATOR'!$AP$48,1)</f>
        <v>1</v>
      </c>
      <c r="L158" s="81">
        <f>(RIGHT('REPORTS PER EVALUATOR'!$AP$48,1))*1</f>
        <v>1</v>
      </c>
      <c r="M158" s="11" t="str">
        <f>LEFT('REPORTS PER EVALUATOR'!$AP$60,1)</f>
        <v>1</v>
      </c>
      <c r="N158" s="81">
        <f>(RIGHT('REPORTS PER EVALUATOR'!$AP$60,1))*1</f>
        <v>1</v>
      </c>
      <c r="O158" s="11" t="str">
        <f>LEFT('REPORTS PER EVALUATOR'!$AP$72,1)</f>
        <v>I</v>
      </c>
      <c r="P158" s="81">
        <f>(RIGHT('REPORTS PER EVALUATOR'!$AP$72,1))*1</f>
        <v>2</v>
      </c>
      <c r="Q158" s="11" t="str">
        <f>LEFT('REPORTS PER EVALUATOR'!$AP$84,1)</f>
        <v>1</v>
      </c>
      <c r="R158" s="81">
        <f>(RIGHT('REPORTS PER EVALUATOR'!$AP$84,1))*1</f>
        <v>1</v>
      </c>
      <c r="S158" s="11" t="str">
        <f>LEFT('REPORTS PER EVALUATOR'!$AP$96,1)</f>
        <v>I</v>
      </c>
      <c r="T158" s="81">
        <f>(RIGHT('REPORTS PER EVALUATOR'!$AP$96,1))*1</f>
        <v>6</v>
      </c>
      <c r="U158" s="11" t="str">
        <f>LEFT('REPORTS PER EVALUATOR'!$AP$108,1)</f>
        <v>I</v>
      </c>
      <c r="V158" s="81">
        <f>(RIGHT('REPORTS PER EVALUATOR'!$AP$108,1))*1</f>
        <v>2</v>
      </c>
      <c r="W158" s="11" t="str">
        <f>LEFT('REPORTS PER EVALUATOR'!$AP$120,1)</f>
        <v>I</v>
      </c>
      <c r="X158" s="81">
        <f>(RIGHT('REPORTS PER EVALUATOR'!$AP$120,1))*1</f>
        <v>2</v>
      </c>
      <c r="Y158" s="11" t="str">
        <f>LEFT('REPORTS PER EVALUATOR'!$AP$132,1)</f>
        <v>I</v>
      </c>
      <c r="Z158" s="92">
        <f>(RIGHT('REPORTS PER EVALUATOR'!$AP$132,1))*1</f>
        <v>3</v>
      </c>
      <c r="AA158" s="11" t="e">
        <f>LEFT('REPORTS PER EVALUATOR'!#REF!,1)</f>
        <v>#REF!</v>
      </c>
      <c r="AB158" s="92" t="e">
        <f>(RIGHT('REPORTS PER EVALUATOR'!#REF!,1))*1</f>
        <v>#REF!</v>
      </c>
      <c r="AC158" s="11" t="e">
        <f>LEFT('REPORTS PER EVALUATOR'!#REF!,1)</f>
        <v>#REF!</v>
      </c>
      <c r="AD158" s="92" t="e">
        <f>(RIGHT('REPORTS PER EVALUATOR'!#REF!,1))*1</f>
        <v>#REF!</v>
      </c>
      <c r="AE158" s="11" t="e">
        <f>LEFT('REPORTS PER EVALUATOR'!#REF!,1)</f>
        <v>#REF!</v>
      </c>
      <c r="AF158" s="92" t="e">
        <f>(RIGHT('REPORTS PER EVALUATOR'!#REF!,1))*1</f>
        <v>#REF!</v>
      </c>
      <c r="AG158" s="11" t="e">
        <f>LEFT('REPORTS PER EVALUATOR'!#REF!,1)</f>
        <v>#REF!</v>
      </c>
      <c r="AH158" s="92" t="e">
        <f>(RIGHT('REPORTS PER EVALUATOR'!#REF!,1))*1</f>
        <v>#REF!</v>
      </c>
      <c r="AI158" s="11" t="e">
        <f>LEFT('REPORTS PER EVALUATOR'!#REF!,1)</f>
        <v>#REF!</v>
      </c>
      <c r="AJ158" s="92" t="e">
        <f>(RIGHT('REPORTS PER EVALUATOR'!#REF!,1))*1</f>
        <v>#REF!</v>
      </c>
      <c r="AK158" s="11" t="e">
        <f>LEFT('REPORTS PER EVALUATOR'!#REF!,1)</f>
        <v>#REF!</v>
      </c>
      <c r="AL158" s="92" t="e">
        <f>(RIGHT('REPORTS PER EVALUATOR'!#REF!,1))*1</f>
        <v>#REF!</v>
      </c>
      <c r="AM158" s="11" t="e">
        <f>LEFT('REPORTS PER EVALUATOR'!#REF!,1)</f>
        <v>#REF!</v>
      </c>
      <c r="AN158" s="92" t="e">
        <f>(RIGHT('REPORTS PER EVALUATOR'!#REF!,1))*1</f>
        <v>#REF!</v>
      </c>
      <c r="AO158" s="11" t="e">
        <f>LEFT('REPORTS PER EVALUATOR'!#REF!,1)</f>
        <v>#REF!</v>
      </c>
      <c r="AP158" s="92" t="e">
        <f>(RIGHT('REPORTS PER EVALUATOR'!#REF!,1))*1</f>
        <v>#REF!</v>
      </c>
      <c r="AQ158" s="11" t="e">
        <f>LEFT('REPORTS PER EVALUATOR'!#REF!,1)</f>
        <v>#REF!</v>
      </c>
      <c r="AR158" s="92" t="e">
        <f>(RIGHT('REPORTS PER EVALUATOR'!#REF!,1))*1</f>
        <v>#REF!</v>
      </c>
    </row>
    <row r="159" spans="2:44" x14ac:dyDescent="0.2">
      <c r="B159" s="19" t="str">
        <f t="shared" si="8"/>
        <v>G</v>
      </c>
      <c r="C159" s="18" t="str">
        <f t="shared" si="9"/>
        <v>L</v>
      </c>
      <c r="D159" s="18" t="s">
        <v>52</v>
      </c>
      <c r="E159" s="26" t="str">
        <f>LEFT('REPORTS PER EVALUATOR'!$AQ$12,1)</f>
        <v>1</v>
      </c>
      <c r="F159" s="73">
        <f>(RIGHT('REPORTS PER EVALUATOR'!$AQ$12,1))*1</f>
        <v>1</v>
      </c>
      <c r="G159" s="11" t="str">
        <f>LEFT('REPORTS PER EVALUATOR'!$AQ$24,1)</f>
        <v>G</v>
      </c>
      <c r="H159" s="81">
        <f>(RIGHT('REPORTS PER EVALUATOR'!$AQ$24,1))*1</f>
        <v>2</v>
      </c>
      <c r="I159" s="11" t="str">
        <f>LEFT('REPORTS PER EVALUATOR'!$AQ$36,1)</f>
        <v>1</v>
      </c>
      <c r="J159" s="81">
        <f>(RIGHT('REPORTS PER EVALUATOR'!$AQ$36,1))*1</f>
        <v>1</v>
      </c>
      <c r="K159" s="11" t="str">
        <f>LEFT('REPORTS PER EVALUATOR'!$AQ$48,1)</f>
        <v>G</v>
      </c>
      <c r="L159" s="81">
        <f>(RIGHT('REPORTS PER EVALUATOR'!$AQ$48,1))*1</f>
        <v>5</v>
      </c>
      <c r="M159" s="11" t="str">
        <f>LEFT('REPORTS PER EVALUATOR'!$AQ$60,1)</f>
        <v>L</v>
      </c>
      <c r="N159" s="81">
        <f>(RIGHT('REPORTS PER EVALUATOR'!$AQ$60,1))*1</f>
        <v>2</v>
      </c>
      <c r="O159" s="11" t="str">
        <f>LEFT('REPORTS PER EVALUATOR'!$AQ$72,1)</f>
        <v>L</v>
      </c>
      <c r="P159" s="81">
        <f>(RIGHT('REPORTS PER EVALUATOR'!$AQ$72,1))*1</f>
        <v>2</v>
      </c>
      <c r="Q159" s="11" t="str">
        <f>LEFT('REPORTS PER EVALUATOR'!$AQ$84,1)</f>
        <v>1</v>
      </c>
      <c r="R159" s="81">
        <f>(RIGHT('REPORTS PER EVALUATOR'!$AQ$84,1))*1</f>
        <v>1</v>
      </c>
      <c r="S159" s="11" t="str">
        <f>LEFT('REPORTS PER EVALUATOR'!$AQ$96,1)</f>
        <v>L</v>
      </c>
      <c r="T159" s="81">
        <f>(RIGHT('REPORTS PER EVALUATOR'!$AQ$96,1))*1</f>
        <v>6</v>
      </c>
      <c r="U159" s="11" t="str">
        <f>LEFT('REPORTS PER EVALUATOR'!$AQ$108,1)</f>
        <v>L</v>
      </c>
      <c r="V159" s="81">
        <f>(RIGHT('REPORTS PER EVALUATOR'!$AQ$108,1))*1</f>
        <v>4</v>
      </c>
      <c r="W159" s="11" t="str">
        <f>LEFT('REPORTS PER EVALUATOR'!$AQ$120,1)</f>
        <v>1</v>
      </c>
      <c r="X159" s="81">
        <f>(RIGHT('REPORTS PER EVALUATOR'!$AQ$120,1))*1</f>
        <v>1</v>
      </c>
      <c r="Y159" s="11" t="str">
        <f>LEFT('REPORTS PER EVALUATOR'!$AQ$132,1)</f>
        <v>L</v>
      </c>
      <c r="Z159" s="92">
        <f>(RIGHT('REPORTS PER EVALUATOR'!$AQ$132,1))*1</f>
        <v>2</v>
      </c>
      <c r="AA159" s="11" t="e">
        <f>LEFT('REPORTS PER EVALUATOR'!#REF!,1)</f>
        <v>#REF!</v>
      </c>
      <c r="AB159" s="92" t="e">
        <f>(RIGHT('REPORTS PER EVALUATOR'!#REF!,1))*1</f>
        <v>#REF!</v>
      </c>
      <c r="AC159" s="11" t="e">
        <f>LEFT('REPORTS PER EVALUATOR'!#REF!,1)</f>
        <v>#REF!</v>
      </c>
      <c r="AD159" s="92" t="e">
        <f>(RIGHT('REPORTS PER EVALUATOR'!#REF!,1))*1</f>
        <v>#REF!</v>
      </c>
      <c r="AE159" s="11" t="e">
        <f>LEFT('REPORTS PER EVALUATOR'!#REF!,1)</f>
        <v>#REF!</v>
      </c>
      <c r="AF159" s="92" t="e">
        <f>(RIGHT('REPORTS PER EVALUATOR'!#REF!,1))*1</f>
        <v>#REF!</v>
      </c>
      <c r="AG159" s="11" t="e">
        <f>LEFT('REPORTS PER EVALUATOR'!#REF!,1)</f>
        <v>#REF!</v>
      </c>
      <c r="AH159" s="92" t="e">
        <f>(RIGHT('REPORTS PER EVALUATOR'!#REF!,1))*1</f>
        <v>#REF!</v>
      </c>
      <c r="AI159" s="11" t="e">
        <f>LEFT('REPORTS PER EVALUATOR'!#REF!,1)</f>
        <v>#REF!</v>
      </c>
      <c r="AJ159" s="92" t="e">
        <f>(RIGHT('REPORTS PER EVALUATOR'!#REF!,1))*1</f>
        <v>#REF!</v>
      </c>
      <c r="AK159" s="11" t="e">
        <f>LEFT('REPORTS PER EVALUATOR'!#REF!,1)</f>
        <v>#REF!</v>
      </c>
      <c r="AL159" s="92" t="e">
        <f>(RIGHT('REPORTS PER EVALUATOR'!#REF!,1))*1</f>
        <v>#REF!</v>
      </c>
      <c r="AM159" s="11" t="e">
        <f>LEFT('REPORTS PER EVALUATOR'!#REF!,1)</f>
        <v>#REF!</v>
      </c>
      <c r="AN159" s="92" t="e">
        <f>(RIGHT('REPORTS PER EVALUATOR'!#REF!,1))*1</f>
        <v>#REF!</v>
      </c>
      <c r="AO159" s="11" t="e">
        <f>LEFT('REPORTS PER EVALUATOR'!#REF!,1)</f>
        <v>#REF!</v>
      </c>
      <c r="AP159" s="92" t="e">
        <f>(RIGHT('REPORTS PER EVALUATOR'!#REF!,1))*1</f>
        <v>#REF!</v>
      </c>
      <c r="AQ159" s="11" t="e">
        <f>LEFT('REPORTS PER EVALUATOR'!#REF!,1)</f>
        <v>#REF!</v>
      </c>
      <c r="AR159" s="92" t="e">
        <f>(RIGHT('REPORTS PER EVALUATOR'!#REF!,1))*1</f>
        <v>#REF!</v>
      </c>
    </row>
    <row r="160" spans="2:44" x14ac:dyDescent="0.2">
      <c r="B160" s="19" t="str">
        <f t="shared" si="8"/>
        <v>G</v>
      </c>
      <c r="C160" s="18" t="str">
        <f t="shared" si="9"/>
        <v>M</v>
      </c>
      <c r="D160" s="18" t="s">
        <v>163</v>
      </c>
      <c r="E160" s="26" t="str">
        <f>LEFT('REPORTS PER EVALUATOR'!$AR$12,1)</f>
        <v/>
      </c>
      <c r="F160" s="73" t="e">
        <f>(RIGHT('REPORTS PER EVALUATOR'!$AR$12,1))*1</f>
        <v>#VALUE!</v>
      </c>
      <c r="G160" s="11" t="str">
        <f>LEFT('REPORTS PER EVALUATOR'!$AR$24,1)</f>
        <v/>
      </c>
      <c r="H160" s="81" t="e">
        <f>(RIGHT('REPORTS PER EVALUATOR'!$AR$24,1))*1</f>
        <v>#VALUE!</v>
      </c>
      <c r="I160" s="11" t="str">
        <f>LEFT('REPORTS PER EVALUATOR'!$AR$36,1)</f>
        <v/>
      </c>
      <c r="J160" s="81" t="e">
        <f>(RIGHT('REPORTS PER EVALUATOR'!$AR$36,1))*1</f>
        <v>#VALUE!</v>
      </c>
      <c r="K160" s="11" t="str">
        <f>LEFT('REPORTS PER EVALUATOR'!$AR$48,1)</f>
        <v/>
      </c>
      <c r="L160" s="81" t="e">
        <f>(RIGHT('REPORTS PER EVALUATOR'!$AR$48,1))*1</f>
        <v>#VALUE!</v>
      </c>
      <c r="M160" s="11" t="str">
        <f>LEFT('REPORTS PER EVALUATOR'!$AR$60,1)</f>
        <v/>
      </c>
      <c r="N160" s="81" t="e">
        <f>(RIGHT('REPORTS PER EVALUATOR'!$AR$60,1))*1</f>
        <v>#VALUE!</v>
      </c>
      <c r="O160" s="11" t="str">
        <f>LEFT('REPORTS PER EVALUATOR'!$AR$72,1)</f>
        <v/>
      </c>
      <c r="P160" s="81" t="e">
        <f>(RIGHT('REPORTS PER EVALUATOR'!$AR$72,1))*1</f>
        <v>#VALUE!</v>
      </c>
      <c r="Q160" s="11" t="str">
        <f>LEFT('REPORTS PER EVALUATOR'!$AR$84,1)</f>
        <v/>
      </c>
      <c r="R160" s="81" t="e">
        <f>(RIGHT('REPORTS PER EVALUATOR'!$AR$84,1))*1</f>
        <v>#VALUE!</v>
      </c>
      <c r="S160" s="11" t="str">
        <f>LEFT('REPORTS PER EVALUATOR'!$AR$96,1)</f>
        <v/>
      </c>
      <c r="T160" s="81" t="e">
        <f>(RIGHT('REPORTS PER EVALUATOR'!$AR$96,1))*1</f>
        <v>#VALUE!</v>
      </c>
      <c r="U160" s="11" t="str">
        <f>LEFT('REPORTS PER EVALUATOR'!$AR$108,1)</f>
        <v/>
      </c>
      <c r="V160" s="81" t="e">
        <f>(RIGHT('REPORTS PER EVALUATOR'!$AR$108,1))*1</f>
        <v>#VALUE!</v>
      </c>
      <c r="W160" s="11" t="str">
        <f>LEFT('REPORTS PER EVALUATOR'!$AR$120,1)</f>
        <v/>
      </c>
      <c r="X160" s="81" t="e">
        <f>(RIGHT('REPORTS PER EVALUATOR'!$AR$120,1))*1</f>
        <v>#VALUE!</v>
      </c>
      <c r="Y160" s="11" t="str">
        <f>LEFT('REPORTS PER EVALUATOR'!$AR$132,1)</f>
        <v/>
      </c>
      <c r="Z160" s="92" t="e">
        <f>(RIGHT('REPORTS PER EVALUATOR'!$AR$132,1))*1</f>
        <v>#VALUE!</v>
      </c>
      <c r="AA160" s="11" t="e">
        <f>LEFT('REPORTS PER EVALUATOR'!#REF!,1)</f>
        <v>#REF!</v>
      </c>
      <c r="AB160" s="92" t="e">
        <f>(RIGHT('REPORTS PER EVALUATOR'!#REF!,1))*1</f>
        <v>#REF!</v>
      </c>
      <c r="AC160" s="11" t="e">
        <f>LEFT('REPORTS PER EVALUATOR'!#REF!,1)</f>
        <v>#REF!</v>
      </c>
      <c r="AD160" s="92" t="e">
        <f>(RIGHT('REPORTS PER EVALUATOR'!#REF!,1))*1</f>
        <v>#REF!</v>
      </c>
      <c r="AE160" s="11" t="e">
        <f>LEFT('REPORTS PER EVALUATOR'!#REF!,1)</f>
        <v>#REF!</v>
      </c>
      <c r="AF160" s="92" t="e">
        <f>(RIGHT('REPORTS PER EVALUATOR'!#REF!,1))*1</f>
        <v>#REF!</v>
      </c>
      <c r="AG160" s="11" t="e">
        <f>LEFT('REPORTS PER EVALUATOR'!#REF!,1)</f>
        <v>#REF!</v>
      </c>
      <c r="AH160" s="92" t="e">
        <f>(RIGHT('REPORTS PER EVALUATOR'!#REF!,1))*1</f>
        <v>#REF!</v>
      </c>
      <c r="AI160" s="11" t="e">
        <f>LEFT('REPORTS PER EVALUATOR'!#REF!,1)</f>
        <v>#REF!</v>
      </c>
      <c r="AJ160" s="92" t="e">
        <f>(RIGHT('REPORTS PER EVALUATOR'!#REF!,1))*1</f>
        <v>#REF!</v>
      </c>
      <c r="AK160" s="11" t="e">
        <f>LEFT('REPORTS PER EVALUATOR'!#REF!,1)</f>
        <v>#REF!</v>
      </c>
      <c r="AL160" s="92" t="e">
        <f>(RIGHT('REPORTS PER EVALUATOR'!#REF!,1))*1</f>
        <v>#REF!</v>
      </c>
      <c r="AM160" s="11" t="e">
        <f>LEFT('REPORTS PER EVALUATOR'!#REF!,1)</f>
        <v>#REF!</v>
      </c>
      <c r="AN160" s="92" t="e">
        <f>(RIGHT('REPORTS PER EVALUATOR'!#REF!,1))*1</f>
        <v>#REF!</v>
      </c>
      <c r="AO160" s="11" t="e">
        <f>LEFT('REPORTS PER EVALUATOR'!#REF!,1)</f>
        <v>#REF!</v>
      </c>
      <c r="AP160" s="92" t="e">
        <f>(RIGHT('REPORTS PER EVALUATOR'!#REF!,1))*1</f>
        <v>#REF!</v>
      </c>
      <c r="AQ160" s="11" t="e">
        <f>LEFT('REPORTS PER EVALUATOR'!#REF!,1)</f>
        <v>#REF!</v>
      </c>
      <c r="AR160" s="92" t="e">
        <f>(RIGHT('REPORTS PER EVALUATOR'!#REF!,1))*1</f>
        <v>#REF!</v>
      </c>
    </row>
    <row r="161" spans="2:44" x14ac:dyDescent="0.2">
      <c r="B161" s="19" t="str">
        <f t="shared" si="8"/>
        <v>H</v>
      </c>
      <c r="C161" s="18" t="str">
        <f t="shared" si="9"/>
        <v>I</v>
      </c>
      <c r="D161" s="18" t="s">
        <v>53</v>
      </c>
      <c r="E161" s="56" t="str">
        <f>LEFT('REPORTS PER EVALUATOR'!$AP$13,1)</f>
        <v>1</v>
      </c>
      <c r="F161" s="72">
        <f>(RIGHT('REPORTS PER EVALUATOR'!$AP$13,1))*1</f>
        <v>1</v>
      </c>
      <c r="G161" s="57" t="str">
        <f>LEFT('REPORTS PER EVALUATOR'!$AP$25,1)</f>
        <v>H</v>
      </c>
      <c r="H161" s="80">
        <f>(RIGHT('REPORTS PER EVALUATOR'!$AP$25,1))*1</f>
        <v>3</v>
      </c>
      <c r="I161" s="57" t="str">
        <f>LEFT('REPORTS PER EVALUATOR'!$AP$37,1)</f>
        <v>I</v>
      </c>
      <c r="J161" s="80">
        <f>(RIGHT('REPORTS PER EVALUATOR'!$AP$37,1))*1</f>
        <v>4</v>
      </c>
      <c r="K161" s="57" t="str">
        <f>LEFT('REPORTS PER EVALUATOR'!$AP$49,1)</f>
        <v>I</v>
      </c>
      <c r="L161" s="80">
        <f>(RIGHT('REPORTS PER EVALUATOR'!$AP$49,1))*1</f>
        <v>4</v>
      </c>
      <c r="M161" s="57" t="str">
        <f>LEFT('REPORTS PER EVALUATOR'!$AP$61,1)</f>
        <v>H</v>
      </c>
      <c r="N161" s="80">
        <f>(RIGHT('REPORTS PER EVALUATOR'!$AP$61,1))*1</f>
        <v>2</v>
      </c>
      <c r="O161" s="57" t="str">
        <f>LEFT('REPORTS PER EVALUATOR'!$AP$73,1)</f>
        <v>1</v>
      </c>
      <c r="P161" s="80">
        <f>(RIGHT('REPORTS PER EVALUATOR'!$AP$73,1))*1</f>
        <v>1</v>
      </c>
      <c r="Q161" s="57" t="str">
        <f>LEFT('REPORTS PER EVALUATOR'!$AP$85,1)</f>
        <v>H</v>
      </c>
      <c r="R161" s="80">
        <f>(RIGHT('REPORTS PER EVALUATOR'!$AP$85,1))*1</f>
        <v>2</v>
      </c>
      <c r="S161" s="57" t="str">
        <f>LEFT('REPORTS PER EVALUATOR'!$AP$97,1)</f>
        <v>H</v>
      </c>
      <c r="T161" s="80">
        <f>(RIGHT('REPORTS PER EVALUATOR'!$AP$97,1))*1</f>
        <v>4</v>
      </c>
      <c r="U161" s="57" t="str">
        <f>LEFT('REPORTS PER EVALUATOR'!$AP$109,1)</f>
        <v>H</v>
      </c>
      <c r="V161" s="80">
        <f>(RIGHT('REPORTS PER EVALUATOR'!$AP$109,1))*1</f>
        <v>3</v>
      </c>
      <c r="W161" s="57" t="str">
        <f>LEFT('REPORTS PER EVALUATOR'!$AP$121,1)</f>
        <v>1</v>
      </c>
      <c r="X161" s="80">
        <f>(RIGHT('REPORTS PER EVALUATOR'!$AP$121,1))*1</f>
        <v>1</v>
      </c>
      <c r="Y161" s="57" t="str">
        <f>LEFT('REPORTS PER EVALUATOR'!$AP$133,1)</f>
        <v>1</v>
      </c>
      <c r="Z161" s="93">
        <f>(RIGHT('REPORTS PER EVALUATOR'!$AP$133,1))*1</f>
        <v>1</v>
      </c>
      <c r="AA161" s="57" t="e">
        <f>LEFT('REPORTS PER EVALUATOR'!#REF!,1)</f>
        <v>#REF!</v>
      </c>
      <c r="AB161" s="93" t="e">
        <f>(RIGHT('REPORTS PER EVALUATOR'!#REF!,1))*1</f>
        <v>#REF!</v>
      </c>
      <c r="AC161" s="57" t="e">
        <f>LEFT('REPORTS PER EVALUATOR'!#REF!,1)</f>
        <v>#REF!</v>
      </c>
      <c r="AD161" s="93" t="e">
        <f>(RIGHT('REPORTS PER EVALUATOR'!#REF!,1))*1</f>
        <v>#REF!</v>
      </c>
      <c r="AE161" s="57" t="e">
        <f>LEFT('REPORTS PER EVALUATOR'!#REF!,1)</f>
        <v>#REF!</v>
      </c>
      <c r="AF161" s="93" t="e">
        <f>(RIGHT('REPORTS PER EVALUATOR'!#REF!,1))*1</f>
        <v>#REF!</v>
      </c>
      <c r="AG161" s="57" t="e">
        <f>LEFT('REPORTS PER EVALUATOR'!#REF!,1)</f>
        <v>#REF!</v>
      </c>
      <c r="AH161" s="93" t="e">
        <f>(RIGHT('REPORTS PER EVALUATOR'!#REF!,1))*1</f>
        <v>#REF!</v>
      </c>
      <c r="AI161" s="57" t="e">
        <f>LEFT('REPORTS PER EVALUATOR'!#REF!,1)</f>
        <v>#REF!</v>
      </c>
      <c r="AJ161" s="93" t="e">
        <f>(RIGHT('REPORTS PER EVALUATOR'!#REF!,1))*1</f>
        <v>#REF!</v>
      </c>
      <c r="AK161" s="57" t="e">
        <f>LEFT('REPORTS PER EVALUATOR'!#REF!,1)</f>
        <v>#REF!</v>
      </c>
      <c r="AL161" s="93" t="e">
        <f>(RIGHT('REPORTS PER EVALUATOR'!#REF!,1))*1</f>
        <v>#REF!</v>
      </c>
      <c r="AM161" s="57" t="e">
        <f>LEFT('REPORTS PER EVALUATOR'!#REF!,1)</f>
        <v>#REF!</v>
      </c>
      <c r="AN161" s="93" t="e">
        <f>(RIGHT('REPORTS PER EVALUATOR'!#REF!,1))*1</f>
        <v>#REF!</v>
      </c>
      <c r="AO161" s="57" t="e">
        <f>LEFT('REPORTS PER EVALUATOR'!#REF!,1)</f>
        <v>#REF!</v>
      </c>
      <c r="AP161" s="93" t="e">
        <f>(RIGHT('REPORTS PER EVALUATOR'!#REF!,1))*1</f>
        <v>#REF!</v>
      </c>
      <c r="AQ161" s="57" t="e">
        <f>LEFT('REPORTS PER EVALUATOR'!#REF!,1)</f>
        <v>#REF!</v>
      </c>
      <c r="AR161" s="93" t="e">
        <f>(RIGHT('REPORTS PER EVALUATOR'!#REF!,1))*1</f>
        <v>#REF!</v>
      </c>
    </row>
    <row r="162" spans="2:44" x14ac:dyDescent="0.2">
      <c r="B162" s="19" t="str">
        <f t="shared" si="8"/>
        <v>H</v>
      </c>
      <c r="C162" s="18" t="str">
        <f t="shared" si="9"/>
        <v>L</v>
      </c>
      <c r="D162" s="18" t="s">
        <v>19</v>
      </c>
      <c r="E162" s="26" t="str">
        <f>LEFT('REPORTS PER EVALUATOR'!$AQ$13,1)</f>
        <v>H</v>
      </c>
      <c r="F162" s="73">
        <f>(RIGHT('REPORTS PER EVALUATOR'!$AQ$13,1))*1</f>
        <v>5</v>
      </c>
      <c r="G162" s="11" t="str">
        <f>LEFT('REPORTS PER EVALUATOR'!$AQ$25,1)</f>
        <v>H</v>
      </c>
      <c r="H162" s="81">
        <f>(RIGHT('REPORTS PER EVALUATOR'!$AQ$25,1))*1</f>
        <v>3</v>
      </c>
      <c r="I162" s="11" t="str">
        <f>LEFT('REPORTS PER EVALUATOR'!$AQ$37,1)</f>
        <v>1</v>
      </c>
      <c r="J162" s="81">
        <f>(RIGHT('REPORTS PER EVALUATOR'!$AQ$37,1))*1</f>
        <v>1</v>
      </c>
      <c r="K162" s="11" t="str">
        <f>LEFT('REPORTS PER EVALUATOR'!$AQ$49,1)</f>
        <v>H</v>
      </c>
      <c r="L162" s="81">
        <f>(RIGHT('REPORTS PER EVALUATOR'!$AQ$49,1))*1</f>
        <v>2</v>
      </c>
      <c r="M162" s="11" t="str">
        <f>LEFT('REPORTS PER EVALUATOR'!$AQ$61,1)</f>
        <v>H</v>
      </c>
      <c r="N162" s="81">
        <f>(RIGHT('REPORTS PER EVALUATOR'!$AQ$61,1))*1</f>
        <v>2</v>
      </c>
      <c r="O162" s="11" t="str">
        <f>LEFT('REPORTS PER EVALUATOR'!$AQ$73,1)</f>
        <v>1</v>
      </c>
      <c r="P162" s="81">
        <f>(RIGHT('REPORTS PER EVALUATOR'!$AQ$73,1))*1</f>
        <v>1</v>
      </c>
      <c r="Q162" s="11" t="str">
        <f>LEFT('REPORTS PER EVALUATOR'!$AQ$85,1)</f>
        <v>H</v>
      </c>
      <c r="R162" s="81">
        <f>(RIGHT('REPORTS PER EVALUATOR'!$AQ$85,1))*1</f>
        <v>3</v>
      </c>
      <c r="S162" s="11" t="str">
        <f>LEFT('REPORTS PER EVALUATOR'!$AQ$97,1)</f>
        <v>1</v>
      </c>
      <c r="T162" s="81">
        <f>(RIGHT('REPORTS PER EVALUATOR'!$AQ$97,1))*1</f>
        <v>1</v>
      </c>
      <c r="U162" s="11" t="str">
        <f>LEFT('REPORTS PER EVALUATOR'!$AQ$109,1)</f>
        <v>1</v>
      </c>
      <c r="V162" s="81">
        <f>(RIGHT('REPORTS PER EVALUATOR'!$AQ$109,1))*1</f>
        <v>1</v>
      </c>
      <c r="W162" s="11" t="str">
        <f>LEFT('REPORTS PER EVALUATOR'!$AQ$121,1)</f>
        <v>H</v>
      </c>
      <c r="X162" s="81">
        <f>(RIGHT('REPORTS PER EVALUATOR'!$AQ$121,1))*1</f>
        <v>2</v>
      </c>
      <c r="Y162" s="11" t="str">
        <f>LEFT('REPORTS PER EVALUATOR'!$AQ$133,1)</f>
        <v>H</v>
      </c>
      <c r="Z162" s="92">
        <f>(RIGHT('REPORTS PER EVALUATOR'!$AQ$133,1))*1</f>
        <v>2</v>
      </c>
      <c r="AA162" s="11" t="e">
        <f>LEFT('REPORTS PER EVALUATOR'!#REF!,1)</f>
        <v>#REF!</v>
      </c>
      <c r="AB162" s="92" t="e">
        <f>(RIGHT('REPORTS PER EVALUATOR'!#REF!,1))*1</f>
        <v>#REF!</v>
      </c>
      <c r="AC162" s="11" t="e">
        <f>LEFT('REPORTS PER EVALUATOR'!#REF!,1)</f>
        <v>#REF!</v>
      </c>
      <c r="AD162" s="92" t="e">
        <f>(RIGHT('REPORTS PER EVALUATOR'!#REF!,1))*1</f>
        <v>#REF!</v>
      </c>
      <c r="AE162" s="11" t="e">
        <f>LEFT('REPORTS PER EVALUATOR'!#REF!,1)</f>
        <v>#REF!</v>
      </c>
      <c r="AF162" s="92" t="e">
        <f>(RIGHT('REPORTS PER EVALUATOR'!#REF!,1))*1</f>
        <v>#REF!</v>
      </c>
      <c r="AG162" s="11" t="e">
        <f>LEFT('REPORTS PER EVALUATOR'!#REF!,1)</f>
        <v>#REF!</v>
      </c>
      <c r="AH162" s="92" t="e">
        <f>(RIGHT('REPORTS PER EVALUATOR'!#REF!,1))*1</f>
        <v>#REF!</v>
      </c>
      <c r="AI162" s="11" t="e">
        <f>LEFT('REPORTS PER EVALUATOR'!#REF!,1)</f>
        <v>#REF!</v>
      </c>
      <c r="AJ162" s="92" t="e">
        <f>(RIGHT('REPORTS PER EVALUATOR'!#REF!,1))*1</f>
        <v>#REF!</v>
      </c>
      <c r="AK162" s="11" t="e">
        <f>LEFT('REPORTS PER EVALUATOR'!#REF!,1)</f>
        <v>#REF!</v>
      </c>
      <c r="AL162" s="92" t="e">
        <f>(RIGHT('REPORTS PER EVALUATOR'!#REF!,1))*1</f>
        <v>#REF!</v>
      </c>
      <c r="AM162" s="11" t="e">
        <f>LEFT('REPORTS PER EVALUATOR'!#REF!,1)</f>
        <v>#REF!</v>
      </c>
      <c r="AN162" s="92" t="e">
        <f>(RIGHT('REPORTS PER EVALUATOR'!#REF!,1))*1</f>
        <v>#REF!</v>
      </c>
      <c r="AO162" s="11" t="e">
        <f>LEFT('REPORTS PER EVALUATOR'!#REF!,1)</f>
        <v>#REF!</v>
      </c>
      <c r="AP162" s="92" t="e">
        <f>(RIGHT('REPORTS PER EVALUATOR'!#REF!,1))*1</f>
        <v>#REF!</v>
      </c>
      <c r="AQ162" s="11" t="e">
        <f>LEFT('REPORTS PER EVALUATOR'!#REF!,1)</f>
        <v>#REF!</v>
      </c>
      <c r="AR162" s="92" t="e">
        <f>(RIGHT('REPORTS PER EVALUATOR'!#REF!,1))*1</f>
        <v>#REF!</v>
      </c>
    </row>
    <row r="163" spans="2:44" x14ac:dyDescent="0.2">
      <c r="B163" s="19" t="str">
        <f t="shared" si="8"/>
        <v>H</v>
      </c>
      <c r="C163" s="18" t="str">
        <f t="shared" si="9"/>
        <v>M</v>
      </c>
      <c r="D163" s="18" t="s">
        <v>164</v>
      </c>
      <c r="E163" s="26" t="str">
        <f>LEFT('REPORTS PER EVALUATOR'!$AR$13,1)</f>
        <v/>
      </c>
      <c r="F163" s="73" t="e">
        <f>(RIGHT('REPORTS PER EVALUATOR'!$AR$13,1))*1</f>
        <v>#VALUE!</v>
      </c>
      <c r="G163" s="11" t="str">
        <f>LEFT('REPORTS PER EVALUATOR'!$AR$25,1)</f>
        <v/>
      </c>
      <c r="H163" s="81" t="e">
        <f>(RIGHT('REPORTS PER EVALUATOR'!$AR$25,1))*1</f>
        <v>#VALUE!</v>
      </c>
      <c r="I163" s="11" t="str">
        <f>LEFT('REPORTS PER EVALUATOR'!$AR$37,1)</f>
        <v/>
      </c>
      <c r="J163" s="81" t="e">
        <f>(RIGHT('REPORTS PER EVALUATOR'!$AR$37,1))*1</f>
        <v>#VALUE!</v>
      </c>
      <c r="K163" s="11" t="str">
        <f>LEFT('REPORTS PER EVALUATOR'!$AR$49,1)</f>
        <v/>
      </c>
      <c r="L163" s="81" t="e">
        <f>(RIGHT('REPORTS PER EVALUATOR'!$AR$49,1))*1</f>
        <v>#VALUE!</v>
      </c>
      <c r="M163" s="11" t="str">
        <f>LEFT('REPORTS PER EVALUATOR'!$AR$61,1)</f>
        <v/>
      </c>
      <c r="N163" s="81" t="e">
        <f>(RIGHT('REPORTS PER EVALUATOR'!$AR$61,1))*1</f>
        <v>#VALUE!</v>
      </c>
      <c r="O163" s="11" t="str">
        <f>LEFT('REPORTS PER EVALUATOR'!$AR$73,1)</f>
        <v/>
      </c>
      <c r="P163" s="81" t="e">
        <f>(RIGHT('REPORTS PER EVALUATOR'!$AR$73,1))*1</f>
        <v>#VALUE!</v>
      </c>
      <c r="Q163" s="11" t="str">
        <f>LEFT('REPORTS PER EVALUATOR'!$AR$85,1)</f>
        <v/>
      </c>
      <c r="R163" s="81" t="e">
        <f>(RIGHT('REPORTS PER EVALUATOR'!$AR$85,1))*1</f>
        <v>#VALUE!</v>
      </c>
      <c r="S163" s="11" t="str">
        <f>LEFT('REPORTS PER EVALUATOR'!$AR$97,1)</f>
        <v/>
      </c>
      <c r="T163" s="81" t="e">
        <f>(RIGHT('REPORTS PER EVALUATOR'!$AR$97,1))*1</f>
        <v>#VALUE!</v>
      </c>
      <c r="U163" s="11" t="str">
        <f>LEFT('REPORTS PER EVALUATOR'!$AR$109,1)</f>
        <v/>
      </c>
      <c r="V163" s="81" t="e">
        <f>(RIGHT('REPORTS PER EVALUATOR'!$AR$109,1))*1</f>
        <v>#VALUE!</v>
      </c>
      <c r="W163" s="11" t="str">
        <f>LEFT('REPORTS PER EVALUATOR'!$AR$121,1)</f>
        <v/>
      </c>
      <c r="X163" s="81" t="e">
        <f>(RIGHT('REPORTS PER EVALUATOR'!$AR$121,1))*1</f>
        <v>#VALUE!</v>
      </c>
      <c r="Y163" s="11" t="str">
        <f>LEFT('REPORTS PER EVALUATOR'!$AR$133,1)</f>
        <v/>
      </c>
      <c r="Z163" s="92" t="e">
        <f>(RIGHT('REPORTS PER EVALUATOR'!$AR$133,1))*1</f>
        <v>#VALUE!</v>
      </c>
      <c r="AA163" s="11" t="e">
        <f>LEFT('REPORTS PER EVALUATOR'!#REF!,1)</f>
        <v>#REF!</v>
      </c>
      <c r="AB163" s="92" t="e">
        <f>(RIGHT('REPORTS PER EVALUATOR'!#REF!,1))*1</f>
        <v>#REF!</v>
      </c>
      <c r="AC163" s="11" t="e">
        <f>LEFT('REPORTS PER EVALUATOR'!#REF!,1)</f>
        <v>#REF!</v>
      </c>
      <c r="AD163" s="92" t="e">
        <f>(RIGHT('REPORTS PER EVALUATOR'!#REF!,1))*1</f>
        <v>#REF!</v>
      </c>
      <c r="AE163" s="11" t="e">
        <f>LEFT('REPORTS PER EVALUATOR'!#REF!,1)</f>
        <v>#REF!</v>
      </c>
      <c r="AF163" s="92" t="e">
        <f>(RIGHT('REPORTS PER EVALUATOR'!#REF!,1))*1</f>
        <v>#REF!</v>
      </c>
      <c r="AG163" s="11" t="e">
        <f>LEFT('REPORTS PER EVALUATOR'!#REF!,1)</f>
        <v>#REF!</v>
      </c>
      <c r="AH163" s="92" t="e">
        <f>(RIGHT('REPORTS PER EVALUATOR'!#REF!,1))*1</f>
        <v>#REF!</v>
      </c>
      <c r="AI163" s="11" t="e">
        <f>LEFT('REPORTS PER EVALUATOR'!#REF!,1)</f>
        <v>#REF!</v>
      </c>
      <c r="AJ163" s="92" t="e">
        <f>(RIGHT('REPORTS PER EVALUATOR'!#REF!,1))*1</f>
        <v>#REF!</v>
      </c>
      <c r="AK163" s="11" t="e">
        <f>LEFT('REPORTS PER EVALUATOR'!#REF!,1)</f>
        <v>#REF!</v>
      </c>
      <c r="AL163" s="92" t="e">
        <f>(RIGHT('REPORTS PER EVALUATOR'!#REF!,1))*1</f>
        <v>#REF!</v>
      </c>
      <c r="AM163" s="11" t="e">
        <f>LEFT('REPORTS PER EVALUATOR'!#REF!,1)</f>
        <v>#REF!</v>
      </c>
      <c r="AN163" s="92" t="e">
        <f>(RIGHT('REPORTS PER EVALUATOR'!#REF!,1))*1</f>
        <v>#REF!</v>
      </c>
      <c r="AO163" s="11" t="e">
        <f>LEFT('REPORTS PER EVALUATOR'!#REF!,1)</f>
        <v>#REF!</v>
      </c>
      <c r="AP163" s="92" t="e">
        <f>(RIGHT('REPORTS PER EVALUATOR'!#REF!,1))*1</f>
        <v>#REF!</v>
      </c>
      <c r="AQ163" s="11" t="e">
        <f>LEFT('REPORTS PER EVALUATOR'!#REF!,1)</f>
        <v>#REF!</v>
      </c>
      <c r="AR163" s="92" t="e">
        <f>(RIGHT('REPORTS PER EVALUATOR'!#REF!,1))*1</f>
        <v>#REF!</v>
      </c>
    </row>
    <row r="164" spans="2:44" x14ac:dyDescent="0.2">
      <c r="B164" s="19" t="str">
        <f t="shared" si="8"/>
        <v>I</v>
      </c>
      <c r="C164" s="18" t="str">
        <f t="shared" si="9"/>
        <v>L</v>
      </c>
      <c r="D164" s="18" t="s">
        <v>54</v>
      </c>
      <c r="E164" s="56" t="str">
        <f>LEFT('REPORTS PER EVALUATOR'!$AQ$14,1)</f>
        <v>I</v>
      </c>
      <c r="F164" s="72">
        <f>(RIGHT('REPORTS PER EVALUATOR'!$AQ$14,1))*1</f>
        <v>5</v>
      </c>
      <c r="G164" s="57" t="str">
        <f>LEFT('REPORTS PER EVALUATOR'!$AQ$26,1)</f>
        <v>1</v>
      </c>
      <c r="H164" s="80">
        <f>(RIGHT('REPORTS PER EVALUATOR'!$AQ$26,1))*1</f>
        <v>1</v>
      </c>
      <c r="I164" s="57" t="str">
        <f>LEFT('REPORTS PER EVALUATOR'!$AQ$38,1)</f>
        <v>I</v>
      </c>
      <c r="J164" s="80">
        <f>(RIGHT('REPORTS PER EVALUATOR'!$AQ$38,1))*1</f>
        <v>4</v>
      </c>
      <c r="K164" s="57" t="str">
        <f>LEFT('REPORTS PER EVALUATOR'!$AQ$50,1)</f>
        <v>I</v>
      </c>
      <c r="L164" s="80">
        <f>(RIGHT('REPORTS PER EVALUATOR'!$AQ$50,1))*1</f>
        <v>5</v>
      </c>
      <c r="M164" s="57" t="str">
        <f>LEFT('REPORTS PER EVALUATOR'!$AQ$62,1)</f>
        <v>L</v>
      </c>
      <c r="N164" s="80">
        <f>(RIGHT('REPORTS PER EVALUATOR'!$AQ$62,1))*1</f>
        <v>2</v>
      </c>
      <c r="O164" s="57" t="str">
        <f>LEFT('REPORTS PER EVALUATOR'!$AQ$74,1)</f>
        <v>1</v>
      </c>
      <c r="P164" s="80">
        <f>(RIGHT('REPORTS PER EVALUATOR'!$AQ$74,1))*1</f>
        <v>1</v>
      </c>
      <c r="Q164" s="57" t="str">
        <f>LEFT('REPORTS PER EVALUATOR'!$AQ$86,1)</f>
        <v>1</v>
      </c>
      <c r="R164" s="80">
        <f>(RIGHT('REPORTS PER EVALUATOR'!$AQ$86,1))*1</f>
        <v>1</v>
      </c>
      <c r="S164" s="57" t="str">
        <f>LEFT('REPORTS PER EVALUATOR'!$AQ$98,1)</f>
        <v>L</v>
      </c>
      <c r="T164" s="80">
        <f>(RIGHT('REPORTS PER EVALUATOR'!$AQ$98,1))*1</f>
        <v>4</v>
      </c>
      <c r="U164" s="57" t="str">
        <f>LEFT('REPORTS PER EVALUATOR'!$AQ$110,1)</f>
        <v>L</v>
      </c>
      <c r="V164" s="80">
        <f>(RIGHT('REPORTS PER EVALUATOR'!$AQ$110,1))*1</f>
        <v>3</v>
      </c>
      <c r="W164" s="57" t="str">
        <f>LEFT('REPORTS PER EVALUATOR'!$AQ$122,1)</f>
        <v>I</v>
      </c>
      <c r="X164" s="80">
        <f>(RIGHT('REPORTS PER EVALUATOR'!$AQ$122,1))*1</f>
        <v>2</v>
      </c>
      <c r="Y164" s="57" t="str">
        <f>LEFT('REPORTS PER EVALUATOR'!$AQ$134,1)</f>
        <v>I</v>
      </c>
      <c r="Z164" s="93">
        <f>(RIGHT('REPORTS PER EVALUATOR'!$AQ$134,1))*1</f>
        <v>2</v>
      </c>
      <c r="AA164" s="57" t="e">
        <f>LEFT('REPORTS PER EVALUATOR'!#REF!,1)</f>
        <v>#REF!</v>
      </c>
      <c r="AB164" s="93" t="e">
        <f>(RIGHT('REPORTS PER EVALUATOR'!#REF!,1))*1</f>
        <v>#REF!</v>
      </c>
      <c r="AC164" s="57" t="e">
        <f>LEFT('REPORTS PER EVALUATOR'!#REF!,1)</f>
        <v>#REF!</v>
      </c>
      <c r="AD164" s="93" t="e">
        <f>(RIGHT('REPORTS PER EVALUATOR'!#REF!,1))*1</f>
        <v>#REF!</v>
      </c>
      <c r="AE164" s="57" t="e">
        <f>LEFT('REPORTS PER EVALUATOR'!#REF!,1)</f>
        <v>#REF!</v>
      </c>
      <c r="AF164" s="93" t="e">
        <f>(RIGHT('REPORTS PER EVALUATOR'!#REF!,1))*1</f>
        <v>#REF!</v>
      </c>
      <c r="AG164" s="57" t="e">
        <f>LEFT('REPORTS PER EVALUATOR'!#REF!,1)</f>
        <v>#REF!</v>
      </c>
      <c r="AH164" s="93" t="e">
        <f>(RIGHT('REPORTS PER EVALUATOR'!#REF!,1))*1</f>
        <v>#REF!</v>
      </c>
      <c r="AI164" s="57" t="e">
        <f>LEFT('REPORTS PER EVALUATOR'!#REF!,1)</f>
        <v>#REF!</v>
      </c>
      <c r="AJ164" s="93" t="e">
        <f>(RIGHT('REPORTS PER EVALUATOR'!#REF!,1))*1</f>
        <v>#REF!</v>
      </c>
      <c r="AK164" s="57" t="e">
        <f>LEFT('REPORTS PER EVALUATOR'!#REF!,1)</f>
        <v>#REF!</v>
      </c>
      <c r="AL164" s="93" t="e">
        <f>(RIGHT('REPORTS PER EVALUATOR'!#REF!,1))*1</f>
        <v>#REF!</v>
      </c>
      <c r="AM164" s="57" t="e">
        <f>LEFT('REPORTS PER EVALUATOR'!#REF!,1)</f>
        <v>#REF!</v>
      </c>
      <c r="AN164" s="93" t="e">
        <f>(RIGHT('REPORTS PER EVALUATOR'!#REF!,1))*1</f>
        <v>#REF!</v>
      </c>
      <c r="AO164" s="57" t="e">
        <f>LEFT('REPORTS PER EVALUATOR'!#REF!,1)</f>
        <v>#REF!</v>
      </c>
      <c r="AP164" s="93" t="e">
        <f>(RIGHT('REPORTS PER EVALUATOR'!#REF!,1))*1</f>
        <v>#REF!</v>
      </c>
      <c r="AQ164" s="57" t="e">
        <f>LEFT('REPORTS PER EVALUATOR'!#REF!,1)</f>
        <v>#REF!</v>
      </c>
      <c r="AR164" s="93" t="e">
        <f>(RIGHT('REPORTS PER EVALUATOR'!#REF!,1))*1</f>
        <v>#REF!</v>
      </c>
    </row>
    <row r="165" spans="2:44" x14ac:dyDescent="0.2">
      <c r="B165" s="19" t="str">
        <f t="shared" si="8"/>
        <v>I</v>
      </c>
      <c r="C165" s="18" t="str">
        <f t="shared" si="9"/>
        <v>M</v>
      </c>
      <c r="D165" s="125" t="s">
        <v>165</v>
      </c>
      <c r="E165" s="26" t="str">
        <f>LEFT('REPORTS PER EVALUATOR'!$AR$14,1)</f>
        <v/>
      </c>
      <c r="F165" s="73" t="e">
        <f>(RIGHT('REPORTS PER EVALUATOR'!$AR$14,1))*1</f>
        <v>#VALUE!</v>
      </c>
      <c r="G165" s="11" t="str">
        <f>LEFT('REPORTS PER EVALUATOR'!$AR$26,1)</f>
        <v/>
      </c>
      <c r="H165" s="81" t="e">
        <f>(RIGHT('REPORTS PER EVALUATOR'!$AR$26,1))*1</f>
        <v>#VALUE!</v>
      </c>
      <c r="I165" s="11" t="str">
        <f>LEFT('REPORTS PER EVALUATOR'!$AR$38,1)</f>
        <v/>
      </c>
      <c r="J165" s="81" t="e">
        <f>(RIGHT('REPORTS PER EVALUATOR'!$AR$38,1))*1</f>
        <v>#VALUE!</v>
      </c>
      <c r="K165" s="11" t="str">
        <f>LEFT('REPORTS PER EVALUATOR'!$AR$50,1)</f>
        <v/>
      </c>
      <c r="L165" s="81" t="e">
        <f>(RIGHT('REPORTS PER EVALUATOR'!$AR$50,1))*1</f>
        <v>#VALUE!</v>
      </c>
      <c r="M165" s="11" t="str">
        <f>LEFT('REPORTS PER EVALUATOR'!$AR$62,1)</f>
        <v/>
      </c>
      <c r="N165" s="81" t="e">
        <f>(RIGHT('REPORTS PER EVALUATOR'!$AR$62,1))*1</f>
        <v>#VALUE!</v>
      </c>
      <c r="O165" s="11" t="str">
        <f>LEFT('REPORTS PER EVALUATOR'!$AR$74,1)</f>
        <v/>
      </c>
      <c r="P165" s="81" t="e">
        <f>(RIGHT('REPORTS PER EVALUATOR'!$AR$74,1))*1</f>
        <v>#VALUE!</v>
      </c>
      <c r="Q165" s="11" t="str">
        <f>LEFT('REPORTS PER EVALUATOR'!$AR$86,1)</f>
        <v/>
      </c>
      <c r="R165" s="81" t="e">
        <f>(RIGHT('REPORTS PER EVALUATOR'!$AR$86,1))*1</f>
        <v>#VALUE!</v>
      </c>
      <c r="S165" s="11" t="str">
        <f>LEFT('REPORTS PER EVALUATOR'!$AR$98,1)</f>
        <v/>
      </c>
      <c r="T165" s="81" t="e">
        <f>(RIGHT('REPORTS PER EVALUATOR'!$AR$98,1))*1</f>
        <v>#VALUE!</v>
      </c>
      <c r="U165" s="11" t="str">
        <f>LEFT('REPORTS PER EVALUATOR'!$AR$110,1)</f>
        <v/>
      </c>
      <c r="V165" s="81" t="e">
        <f>(RIGHT('REPORTS PER EVALUATOR'!$AR$110,1))*1</f>
        <v>#VALUE!</v>
      </c>
      <c r="W165" s="11" t="str">
        <f>LEFT('REPORTS PER EVALUATOR'!$AR$122,1)</f>
        <v/>
      </c>
      <c r="X165" s="81" t="e">
        <f>(RIGHT('REPORTS PER EVALUATOR'!$AR$122,1))*1</f>
        <v>#VALUE!</v>
      </c>
      <c r="Y165" s="11" t="str">
        <f>LEFT('REPORTS PER EVALUATOR'!$AR$134,1)</f>
        <v/>
      </c>
      <c r="Z165" s="92" t="e">
        <f>(RIGHT('REPORTS PER EVALUATOR'!$AR$134,1))*1</f>
        <v>#VALUE!</v>
      </c>
      <c r="AA165" s="11" t="e">
        <f>LEFT('REPORTS PER EVALUATOR'!#REF!,1)</f>
        <v>#REF!</v>
      </c>
      <c r="AB165" s="92" t="e">
        <f>(RIGHT('REPORTS PER EVALUATOR'!#REF!,1))*1</f>
        <v>#REF!</v>
      </c>
      <c r="AC165" s="11" t="e">
        <f>LEFT('REPORTS PER EVALUATOR'!#REF!,1)</f>
        <v>#REF!</v>
      </c>
      <c r="AD165" s="92" t="e">
        <f>(RIGHT('REPORTS PER EVALUATOR'!#REF!,1))*1</f>
        <v>#REF!</v>
      </c>
      <c r="AE165" s="11" t="e">
        <f>LEFT('REPORTS PER EVALUATOR'!#REF!,1)</f>
        <v>#REF!</v>
      </c>
      <c r="AF165" s="92" t="e">
        <f>(RIGHT('REPORTS PER EVALUATOR'!#REF!,1))*1</f>
        <v>#REF!</v>
      </c>
      <c r="AG165" s="11" t="e">
        <f>LEFT('REPORTS PER EVALUATOR'!#REF!,1)</f>
        <v>#REF!</v>
      </c>
      <c r="AH165" s="92" t="e">
        <f>(RIGHT('REPORTS PER EVALUATOR'!#REF!,1))*1</f>
        <v>#REF!</v>
      </c>
      <c r="AI165" s="11" t="e">
        <f>LEFT('REPORTS PER EVALUATOR'!#REF!,1)</f>
        <v>#REF!</v>
      </c>
      <c r="AJ165" s="92" t="e">
        <f>(RIGHT('REPORTS PER EVALUATOR'!#REF!,1))*1</f>
        <v>#REF!</v>
      </c>
      <c r="AK165" s="11" t="e">
        <f>LEFT('REPORTS PER EVALUATOR'!#REF!,1)</f>
        <v>#REF!</v>
      </c>
      <c r="AL165" s="92" t="e">
        <f>(RIGHT('REPORTS PER EVALUATOR'!#REF!,1))*1</f>
        <v>#REF!</v>
      </c>
      <c r="AM165" s="11" t="e">
        <f>LEFT('REPORTS PER EVALUATOR'!#REF!,1)</f>
        <v>#REF!</v>
      </c>
      <c r="AN165" s="92" t="e">
        <f>(RIGHT('REPORTS PER EVALUATOR'!#REF!,1))*1</f>
        <v>#REF!</v>
      </c>
      <c r="AO165" s="11" t="e">
        <f>LEFT('REPORTS PER EVALUATOR'!#REF!,1)</f>
        <v>#REF!</v>
      </c>
      <c r="AP165" s="92" t="e">
        <f>(RIGHT('REPORTS PER EVALUATOR'!#REF!,1))*1</f>
        <v>#REF!</v>
      </c>
      <c r="AQ165" s="11" t="e">
        <f>LEFT('REPORTS PER EVALUATOR'!#REF!,1)</f>
        <v>#REF!</v>
      </c>
      <c r="AR165" s="92" t="e">
        <f>(RIGHT('REPORTS PER EVALUATOR'!#REF!,1))*1</f>
        <v>#REF!</v>
      </c>
    </row>
    <row r="166" spans="2:44" x14ac:dyDescent="0.2">
      <c r="B166" s="20" t="str">
        <f t="shared" si="8"/>
        <v>L</v>
      </c>
      <c r="C166" s="10" t="str">
        <f t="shared" si="9"/>
        <v>M</v>
      </c>
      <c r="D166" s="126" t="s">
        <v>166</v>
      </c>
      <c r="E166" s="127" t="str">
        <f>LEFT('REPORTS PER EVALUATOR'!$AR$15,1)</f>
        <v/>
      </c>
      <c r="F166" s="129" t="e">
        <f>(RIGHT('REPORTS PER EVALUATOR'!$AR$15,1))*1</f>
        <v>#VALUE!</v>
      </c>
      <c r="G166" s="128" t="str">
        <f>LEFT('REPORTS PER EVALUATOR'!$AR$27,1)</f>
        <v/>
      </c>
      <c r="H166" s="129" t="e">
        <f>(RIGHT('REPORTS PER EVALUATOR'!$AR$27,1))*1</f>
        <v>#VALUE!</v>
      </c>
      <c r="I166" s="128" t="str">
        <f>LEFT('REPORTS PER EVALUATOR'!$AR$39,1)</f>
        <v/>
      </c>
      <c r="J166" s="129" t="e">
        <f>(RIGHT('REPORTS PER EVALUATOR'!$AR$39,1))*1</f>
        <v>#VALUE!</v>
      </c>
      <c r="K166" s="128" t="str">
        <f>LEFT('REPORTS PER EVALUATOR'!$AR$51,1)</f>
        <v/>
      </c>
      <c r="L166" s="129" t="e">
        <f>(RIGHT('REPORTS PER EVALUATOR'!$AR$51,1))*1</f>
        <v>#VALUE!</v>
      </c>
      <c r="M166" s="128" t="str">
        <f>LEFT('REPORTS PER EVALUATOR'!$AR$63,1)</f>
        <v/>
      </c>
      <c r="N166" s="129" t="e">
        <f>(RIGHT('REPORTS PER EVALUATOR'!$AR$63,1))*1</f>
        <v>#VALUE!</v>
      </c>
      <c r="O166" s="128" t="str">
        <f>LEFT('REPORTS PER EVALUATOR'!$AR$75,1)</f>
        <v/>
      </c>
      <c r="P166" s="129" t="e">
        <f>(RIGHT('REPORTS PER EVALUATOR'!$AR$75,1))*1</f>
        <v>#VALUE!</v>
      </c>
      <c r="Q166" s="128" t="str">
        <f>LEFT('REPORTS PER EVALUATOR'!$AR$87,1)</f>
        <v/>
      </c>
      <c r="R166" s="129" t="e">
        <f>(RIGHT('REPORTS PER EVALUATOR'!$AR$87,1))*1</f>
        <v>#VALUE!</v>
      </c>
      <c r="S166" s="128" t="str">
        <f>LEFT('REPORTS PER EVALUATOR'!$AR$99,1)</f>
        <v/>
      </c>
      <c r="T166" s="129" t="e">
        <f>(RIGHT('REPORTS PER EVALUATOR'!$AR$99,1))*1</f>
        <v>#VALUE!</v>
      </c>
      <c r="U166" s="128" t="str">
        <f>LEFT('REPORTS PER EVALUATOR'!$AR$111,1)</f>
        <v/>
      </c>
      <c r="V166" s="129" t="e">
        <f>(RIGHT('REPORTS PER EVALUATOR'!$AR$111,1))*1</f>
        <v>#VALUE!</v>
      </c>
      <c r="W166" s="128" t="str">
        <f>LEFT('REPORTS PER EVALUATOR'!$AR$123,1)</f>
        <v/>
      </c>
      <c r="X166" s="129" t="e">
        <f>(RIGHT('REPORTS PER EVALUATOR'!$AR$123,1))*1</f>
        <v>#VALUE!</v>
      </c>
      <c r="Y166" s="128" t="str">
        <f>LEFT('REPORTS PER EVALUATOR'!$AR$135,1)</f>
        <v/>
      </c>
      <c r="Z166" s="130" t="e">
        <f>(RIGHT('REPORTS PER EVALUATOR'!$AR$135,1))*1</f>
        <v>#VALUE!</v>
      </c>
      <c r="AA166" s="128" t="e">
        <f>LEFT('REPORTS PER EVALUATOR'!#REF!,1)</f>
        <v>#REF!</v>
      </c>
      <c r="AB166" s="130" t="e">
        <f>(RIGHT('REPORTS PER EVALUATOR'!#REF!,1))*1</f>
        <v>#REF!</v>
      </c>
      <c r="AC166" s="128" t="e">
        <f>LEFT('REPORTS PER EVALUATOR'!#REF!,1)</f>
        <v>#REF!</v>
      </c>
      <c r="AD166" s="130" t="e">
        <f>(RIGHT('REPORTS PER EVALUATOR'!#REF!,1))*1</f>
        <v>#REF!</v>
      </c>
      <c r="AE166" s="128" t="e">
        <f>LEFT('REPORTS PER EVALUATOR'!#REF!,1)</f>
        <v>#REF!</v>
      </c>
      <c r="AF166" s="130" t="e">
        <f>(RIGHT('REPORTS PER EVALUATOR'!#REF!,1))*1</f>
        <v>#REF!</v>
      </c>
      <c r="AG166" s="128" t="e">
        <f>LEFT('REPORTS PER EVALUATOR'!#REF!,1)</f>
        <v>#REF!</v>
      </c>
      <c r="AH166" s="130" t="e">
        <f>(RIGHT('REPORTS PER EVALUATOR'!#REF!,1))*1</f>
        <v>#REF!</v>
      </c>
      <c r="AI166" s="128" t="e">
        <f>LEFT('REPORTS PER EVALUATOR'!#REF!,1)</f>
        <v>#REF!</v>
      </c>
      <c r="AJ166" s="130" t="e">
        <f>(RIGHT('REPORTS PER EVALUATOR'!#REF!,1))*1</f>
        <v>#REF!</v>
      </c>
      <c r="AK166" s="128" t="e">
        <f>LEFT('REPORTS PER EVALUATOR'!#REF!,1)</f>
        <v>#REF!</v>
      </c>
      <c r="AL166" s="130" t="e">
        <f>(RIGHT('REPORTS PER EVALUATOR'!#REF!,1))*1</f>
        <v>#REF!</v>
      </c>
      <c r="AM166" s="128" t="e">
        <f>LEFT('REPORTS PER EVALUATOR'!#REF!,1)</f>
        <v>#REF!</v>
      </c>
      <c r="AN166" s="130" t="e">
        <f>(RIGHT('REPORTS PER EVALUATOR'!#REF!,1))*1</f>
        <v>#REF!</v>
      </c>
      <c r="AO166" s="128" t="e">
        <f>LEFT('REPORTS PER EVALUATOR'!#REF!,1)</f>
        <v>#REF!</v>
      </c>
      <c r="AP166" s="130" t="e">
        <f>(RIGHT('REPORTS PER EVALUATOR'!#REF!,1))*1</f>
        <v>#REF!</v>
      </c>
      <c r="AQ166" s="128" t="e">
        <f>LEFT('REPORTS PER EVALUATOR'!#REF!,1)</f>
        <v>#REF!</v>
      </c>
      <c r="AR166" s="130" t="e">
        <f>(RIGHT('REPORTS PER EVALUATOR'!#REF!,1))*1</f>
        <v>#REF!</v>
      </c>
    </row>
  </sheetData>
  <autoFilter ref="A1:XFB164" xr:uid="{00000000-0009-0000-0000-000002000000}"/>
  <mergeCells count="3">
    <mergeCell ref="A2:A18"/>
    <mergeCell ref="A57:A73"/>
    <mergeCell ref="A112:A12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dimension ref="A1:AO65"/>
  <sheetViews>
    <sheetView workbookViewId="0">
      <selection sqref="A1:A4"/>
    </sheetView>
  </sheetViews>
  <sheetFormatPr baseColWidth="10" defaultColWidth="8.83203125" defaultRowHeight="15" x14ac:dyDescent="0.2"/>
  <cols>
    <col min="2" max="4" width="9.1640625" style="12"/>
    <col min="5" max="6" width="9.1640625" style="7"/>
    <col min="7" max="7" width="9.6640625" style="7" bestFit="1" customWidth="1"/>
    <col min="8" max="8" width="9.1640625" style="7"/>
    <col min="9" max="9" width="9.6640625" style="7" bestFit="1" customWidth="1"/>
    <col min="10" max="10" width="9.1640625" style="7"/>
    <col min="11" max="11" width="9.6640625" style="7" bestFit="1" customWidth="1"/>
    <col min="12" max="12" width="9.1640625" style="7"/>
    <col min="13" max="13" width="9.6640625" style="7" bestFit="1" customWidth="1"/>
    <col min="14" max="14" width="9.1640625" style="7"/>
    <col min="15" max="15" width="9.6640625" style="7" bestFit="1" customWidth="1"/>
    <col min="16" max="41" width="9.1640625" style="7"/>
  </cols>
  <sheetData>
    <row r="1" spans="1:41" x14ac:dyDescent="0.2">
      <c r="A1" s="215" t="s">
        <v>1</v>
      </c>
      <c r="B1" s="13" t="s">
        <v>55</v>
      </c>
      <c r="C1" s="14" t="s">
        <v>58</v>
      </c>
      <c r="D1" s="13" t="s">
        <v>55</v>
      </c>
      <c r="E1" s="14" t="s">
        <v>60</v>
      </c>
      <c r="F1" s="13" t="s">
        <v>55</v>
      </c>
      <c r="G1" s="14" t="s">
        <v>141</v>
      </c>
      <c r="H1" s="13" t="s">
        <v>55</v>
      </c>
      <c r="I1" s="14" t="s">
        <v>143</v>
      </c>
      <c r="J1" s="13" t="s">
        <v>55</v>
      </c>
      <c r="K1" s="14" t="s">
        <v>145</v>
      </c>
      <c r="L1" s="13" t="s">
        <v>55</v>
      </c>
      <c r="M1" s="14" t="s">
        <v>147</v>
      </c>
      <c r="N1" s="13" t="s">
        <v>55</v>
      </c>
      <c r="O1" s="14" t="s">
        <v>149</v>
      </c>
      <c r="P1" s="13" t="s">
        <v>55</v>
      </c>
      <c r="Q1" s="14" t="s">
        <v>62</v>
      </c>
      <c r="R1" s="13" t="s">
        <v>55</v>
      </c>
      <c r="S1" s="14" t="s">
        <v>64</v>
      </c>
      <c r="T1" s="13" t="s">
        <v>55</v>
      </c>
      <c r="U1" s="14" t="s">
        <v>66</v>
      </c>
      <c r="V1" s="13" t="s">
        <v>55</v>
      </c>
      <c r="W1" s="14" t="s">
        <v>68</v>
      </c>
      <c r="X1" s="13" t="s">
        <v>55</v>
      </c>
      <c r="Y1" s="14" t="s">
        <v>70</v>
      </c>
      <c r="Z1" s="13" t="s">
        <v>55</v>
      </c>
      <c r="AA1" s="14" t="s">
        <v>72</v>
      </c>
      <c r="AB1" s="13" t="s">
        <v>55</v>
      </c>
      <c r="AC1" s="14" t="s">
        <v>74</v>
      </c>
      <c r="AD1" s="13" t="s">
        <v>55</v>
      </c>
      <c r="AE1" s="14" t="s">
        <v>76</v>
      </c>
      <c r="AF1" s="13" t="s">
        <v>55</v>
      </c>
      <c r="AG1" s="14" t="s">
        <v>78</v>
      </c>
      <c r="AH1" s="13" t="s">
        <v>55</v>
      </c>
      <c r="AI1" s="14" t="s">
        <v>80</v>
      </c>
      <c r="AJ1" s="13" t="s">
        <v>55</v>
      </c>
      <c r="AK1" s="14" t="s">
        <v>82</v>
      </c>
      <c r="AL1" s="13" t="s">
        <v>55</v>
      </c>
      <c r="AM1" s="14" t="s">
        <v>84</v>
      </c>
      <c r="AN1" s="13" t="s">
        <v>55</v>
      </c>
      <c r="AO1" s="15" t="s">
        <v>86</v>
      </c>
    </row>
    <row r="2" spans="1:41" x14ac:dyDescent="0.2">
      <c r="A2" s="215"/>
      <c r="B2" s="16" t="s">
        <v>1</v>
      </c>
      <c r="C2" s="10">
        <v>1</v>
      </c>
      <c r="D2" s="16" t="s">
        <v>1</v>
      </c>
      <c r="E2" s="10">
        <v>1</v>
      </c>
      <c r="F2" s="16" t="s">
        <v>1</v>
      </c>
      <c r="G2" s="10">
        <v>1</v>
      </c>
      <c r="H2" s="16" t="s">
        <v>1</v>
      </c>
      <c r="I2" s="10">
        <v>1</v>
      </c>
      <c r="J2" s="16" t="s">
        <v>1</v>
      </c>
      <c r="K2" s="10">
        <v>1</v>
      </c>
      <c r="L2" s="16" t="s">
        <v>1</v>
      </c>
      <c r="M2" s="10">
        <v>1</v>
      </c>
      <c r="N2" s="16" t="s">
        <v>1</v>
      </c>
      <c r="O2" s="10">
        <v>1</v>
      </c>
      <c r="P2" s="16" t="s">
        <v>1</v>
      </c>
      <c r="Q2" s="10">
        <v>1</v>
      </c>
      <c r="R2" s="16" t="s">
        <v>1</v>
      </c>
      <c r="S2" s="10">
        <v>1</v>
      </c>
      <c r="T2" s="16" t="s">
        <v>1</v>
      </c>
      <c r="U2" s="10">
        <v>1</v>
      </c>
      <c r="V2" s="16" t="s">
        <v>1</v>
      </c>
      <c r="W2" s="10">
        <v>1</v>
      </c>
      <c r="X2" s="16" t="s">
        <v>1</v>
      </c>
      <c r="Y2" s="10">
        <v>1</v>
      </c>
      <c r="Z2" s="16" t="s">
        <v>1</v>
      </c>
      <c r="AA2" s="10">
        <v>1</v>
      </c>
      <c r="AB2" s="16" t="s">
        <v>1</v>
      </c>
      <c r="AC2" s="10">
        <v>1</v>
      </c>
      <c r="AD2" s="16" t="s">
        <v>1</v>
      </c>
      <c r="AE2" s="10">
        <v>1</v>
      </c>
      <c r="AF2" s="16" t="s">
        <v>1</v>
      </c>
      <c r="AG2" s="10">
        <v>1</v>
      </c>
      <c r="AH2" s="16" t="s">
        <v>1</v>
      </c>
      <c r="AI2" s="10">
        <v>1</v>
      </c>
      <c r="AJ2" s="16" t="s">
        <v>1</v>
      </c>
      <c r="AK2" s="10">
        <v>1</v>
      </c>
      <c r="AL2" s="16" t="s">
        <v>1</v>
      </c>
      <c r="AM2" s="10">
        <v>1</v>
      </c>
      <c r="AN2" s="16" t="s">
        <v>1</v>
      </c>
      <c r="AO2" s="17">
        <v>1</v>
      </c>
    </row>
    <row r="3" spans="1:41" x14ac:dyDescent="0.2">
      <c r="A3" s="215"/>
      <c r="B3" s="13" t="s">
        <v>56</v>
      </c>
      <c r="C3" s="14" t="s">
        <v>58</v>
      </c>
      <c r="D3" s="13" t="s">
        <v>56</v>
      </c>
      <c r="E3" s="14" t="s">
        <v>60</v>
      </c>
      <c r="F3" s="13" t="s">
        <v>56</v>
      </c>
      <c r="G3" s="14" t="s">
        <v>141</v>
      </c>
      <c r="H3" s="13" t="s">
        <v>56</v>
      </c>
      <c r="I3" s="14" t="s">
        <v>143</v>
      </c>
      <c r="J3" s="13" t="s">
        <v>56</v>
      </c>
      <c r="K3" s="14" t="s">
        <v>145</v>
      </c>
      <c r="L3" s="13" t="s">
        <v>56</v>
      </c>
      <c r="M3" s="14" t="s">
        <v>147</v>
      </c>
      <c r="N3" s="13" t="s">
        <v>56</v>
      </c>
      <c r="O3" s="14" t="s">
        <v>149</v>
      </c>
      <c r="P3" s="13" t="s">
        <v>56</v>
      </c>
      <c r="Q3" s="14" t="s">
        <v>62</v>
      </c>
      <c r="R3" s="13" t="s">
        <v>56</v>
      </c>
      <c r="S3" s="14" t="s">
        <v>64</v>
      </c>
      <c r="T3" s="13" t="s">
        <v>56</v>
      </c>
      <c r="U3" s="14" t="s">
        <v>66</v>
      </c>
      <c r="V3" s="13" t="s">
        <v>56</v>
      </c>
      <c r="W3" s="14" t="s">
        <v>68</v>
      </c>
      <c r="X3" s="13" t="s">
        <v>56</v>
      </c>
      <c r="Y3" s="14" t="s">
        <v>70</v>
      </c>
      <c r="Z3" s="13" t="s">
        <v>56</v>
      </c>
      <c r="AA3" s="14" t="s">
        <v>72</v>
      </c>
      <c r="AB3" s="13" t="s">
        <v>56</v>
      </c>
      <c r="AC3" s="14" t="s">
        <v>74</v>
      </c>
      <c r="AD3" s="13" t="s">
        <v>56</v>
      </c>
      <c r="AE3" s="14" t="s">
        <v>76</v>
      </c>
      <c r="AF3" s="13" t="s">
        <v>56</v>
      </c>
      <c r="AG3" s="14" t="s">
        <v>78</v>
      </c>
      <c r="AH3" s="13" t="s">
        <v>56</v>
      </c>
      <c r="AI3" s="14" t="s">
        <v>80</v>
      </c>
      <c r="AJ3" s="13" t="s">
        <v>56</v>
      </c>
      <c r="AK3" s="14" t="s">
        <v>82</v>
      </c>
      <c r="AL3" s="13" t="s">
        <v>56</v>
      </c>
      <c r="AM3" s="14" t="s">
        <v>84</v>
      </c>
      <c r="AN3" s="13" t="s">
        <v>56</v>
      </c>
      <c r="AO3" s="15" t="s">
        <v>86</v>
      </c>
    </row>
    <row r="4" spans="1:41" x14ac:dyDescent="0.2">
      <c r="A4" s="215"/>
      <c r="B4" s="16" t="s">
        <v>1</v>
      </c>
      <c r="C4" s="10">
        <v>1</v>
      </c>
      <c r="D4" s="16" t="s">
        <v>1</v>
      </c>
      <c r="E4" s="10">
        <v>1</v>
      </c>
      <c r="F4" s="16" t="s">
        <v>1</v>
      </c>
      <c r="G4" s="10">
        <v>1</v>
      </c>
      <c r="H4" s="16" t="s">
        <v>1</v>
      </c>
      <c r="I4" s="10">
        <v>1</v>
      </c>
      <c r="J4" s="16" t="s">
        <v>1</v>
      </c>
      <c r="K4" s="10">
        <v>1</v>
      </c>
      <c r="L4" s="16" t="s">
        <v>1</v>
      </c>
      <c r="M4" s="10">
        <v>1</v>
      </c>
      <c r="N4" s="16" t="s">
        <v>1</v>
      </c>
      <c r="O4" s="10">
        <v>1</v>
      </c>
      <c r="P4" s="16" t="s">
        <v>1</v>
      </c>
      <c r="Q4" s="10">
        <v>1</v>
      </c>
      <c r="R4" s="16" t="s">
        <v>1</v>
      </c>
      <c r="S4" s="10">
        <v>1</v>
      </c>
      <c r="T4" s="16" t="s">
        <v>1</v>
      </c>
      <c r="U4" s="10">
        <v>1</v>
      </c>
      <c r="V4" s="16" t="s">
        <v>1</v>
      </c>
      <c r="W4" s="10">
        <v>1</v>
      </c>
      <c r="X4" s="16" t="s">
        <v>1</v>
      </c>
      <c r="Y4" s="10">
        <v>1</v>
      </c>
      <c r="Z4" s="16" t="s">
        <v>1</v>
      </c>
      <c r="AA4" s="10">
        <v>1</v>
      </c>
      <c r="AB4" s="16" t="s">
        <v>1</v>
      </c>
      <c r="AC4" s="10">
        <v>1</v>
      </c>
      <c r="AD4" s="16" t="s">
        <v>1</v>
      </c>
      <c r="AE4" s="10">
        <v>1</v>
      </c>
      <c r="AF4" s="16" t="s">
        <v>1</v>
      </c>
      <c r="AG4" s="10">
        <v>1</v>
      </c>
      <c r="AH4" s="16" t="s">
        <v>1</v>
      </c>
      <c r="AI4" s="10">
        <v>1</v>
      </c>
      <c r="AJ4" s="16" t="s">
        <v>1</v>
      </c>
      <c r="AK4" s="10">
        <v>1</v>
      </c>
      <c r="AL4" s="16" t="s">
        <v>1</v>
      </c>
      <c r="AM4" s="10">
        <v>1</v>
      </c>
      <c r="AN4" s="16" t="s">
        <v>1</v>
      </c>
      <c r="AO4" s="17">
        <v>1</v>
      </c>
    </row>
    <row r="5" spans="1:41" x14ac:dyDescent="0.2">
      <c r="C5" s="103">
        <f>DCOUNTA(SUPPORTO_punti!$B$1:$AR$166,C1,B3:C4)+DCOUNTA(SUPPORTO_punti!$B$1:$AR$166,C1,B1:C2)</f>
        <v>8</v>
      </c>
      <c r="D5" s="18"/>
      <c r="E5" s="103">
        <f>DCOUNTA(SUPPORTO_punti!$B$1:$AR$166,E1,D3:E4)+DCOUNTA(SUPPORTO_punti!$B$1:$AR$166,E1,D1:E2)</f>
        <v>2</v>
      </c>
      <c r="F5" s="18"/>
      <c r="G5" s="103">
        <f>DCOUNTA(SUPPORTO_punti!$B$1:$AR$166,G1,F3:G4)+DCOUNTA(SUPPORTO_punti!$B$1:$AR$166,G1,F1:G2)</f>
        <v>5</v>
      </c>
      <c r="H5" s="18"/>
      <c r="I5" s="103">
        <f>DCOUNTA(SUPPORTO_punti!$B$1:$AR$166,I1,H3:I4)+DCOUNTA(SUPPORTO_punti!$B$1:$AR$166,I1,H1:I2)</f>
        <v>9</v>
      </c>
      <c r="J5" s="18"/>
      <c r="K5" s="103">
        <f>DCOUNTA(SUPPORTO_punti!$B$1:$AR$166,K1,J3:K4)+DCOUNTA(SUPPORTO_punti!$B$1:$AR$166,K1,J1:K2)</f>
        <v>7</v>
      </c>
      <c r="L5" s="18"/>
      <c r="M5" s="103">
        <f>DCOUNTA(SUPPORTO_punti!$B$1:$AR$166,M1,L3:M4)+DCOUNTA(SUPPORTO_punti!$B$1:$AR$166,M1,L1:M2)</f>
        <v>8</v>
      </c>
      <c r="N5" s="18"/>
      <c r="O5" s="103">
        <f>DCOUNTA(SUPPORTO_punti!$B$1:$AR$166,O1,N3:O4)+DCOUNTA(SUPPORTO_punti!$B$1:$AR$166,O1,N1:O2)</f>
        <v>1</v>
      </c>
      <c r="P5"/>
      <c r="Q5" s="103">
        <f>DCOUNTA(SUPPORTO_punti!$B$1:$AR$166,Q1,P3:Q4)+DCOUNTA(SUPPORTO_punti!$B$1:$AR$166,Q1,P1:Q2)</f>
        <v>7</v>
      </c>
      <c r="R5"/>
      <c r="S5" s="103">
        <f>DCOUNTA(SUPPORTO_punti!$B$1:$AR$166,S1,R3:S4)+DCOUNTA(SUPPORTO_punti!$B$1:$AR$166,S1,R1:S2)</f>
        <v>7</v>
      </c>
      <c r="T5"/>
      <c r="U5" s="103">
        <f>DCOUNTA(SUPPORTO_punti!$B$1:$AR$166,U1,T3:U4)+DCOUNTA(SUPPORTO_punti!$B$1:$AR$166,U1,T1:U2)</f>
        <v>12</v>
      </c>
      <c r="V5"/>
      <c r="W5" s="103">
        <f>DCOUNTA(SUPPORTO_punti!$B$1:$AR$166,W1,V3:W4)+DCOUNTA(SUPPORTO_punti!$B$1:$AR$166,W1,V1:W2)</f>
        <v>9</v>
      </c>
      <c r="X5"/>
      <c r="Y5" s="103">
        <f>DCOUNTA(SUPPORTO_punti!$B$1:$AR$166,Y1,X3:Y4)+DCOUNTA(SUPPORTO_punti!$B$1:$AR$166,Y1,X1:Y2)</f>
        <v>0</v>
      </c>
      <c r="Z5"/>
      <c r="AA5" s="103">
        <f>DCOUNTA(SUPPORTO_punti!$B$1:$AR$166,AA1,Z3:AA4)+DCOUNTA(SUPPORTO_punti!$B$1:$AR$166,AA1,Z1:AA2)</f>
        <v>0</v>
      </c>
      <c r="AB5"/>
      <c r="AC5" s="103">
        <f>DCOUNTA(SUPPORTO_punti!$B$1:$AR$166,AC1,AB3:AC4)+DCOUNTA(SUPPORTO_punti!$B$1:$AR$166,AC1,AB1:AC2)</f>
        <v>0</v>
      </c>
      <c r="AD5"/>
      <c r="AE5" s="103">
        <f>DCOUNTA(SUPPORTO_punti!$B$1:$AR$166,AE1,AD3:AE4)+DCOUNTA(SUPPORTO_punti!$B$1:$AR$166,AE1,AD1:AE2)</f>
        <v>0</v>
      </c>
      <c r="AF5"/>
      <c r="AG5" s="103">
        <f>DCOUNTA(SUPPORTO_punti!$B$1:$AR$166,AG1,AF3:AG4)+DCOUNTA(SUPPORTO_punti!$B$1:$AR$166,AG1,AF1:AG2)</f>
        <v>0</v>
      </c>
      <c r="AH5"/>
      <c r="AI5" s="103">
        <f>DCOUNTA(SUPPORTO_punti!$B$1:$AR$166,AI1,AH3:AI4)+DCOUNTA(SUPPORTO_punti!$B$1:$AR$166,AI1,AH1:AI2)</f>
        <v>0</v>
      </c>
      <c r="AJ5"/>
      <c r="AK5" s="103">
        <f>DCOUNTA(SUPPORTO_punti!$B$1:$AR$166,AK1,AJ3:AK4)+DCOUNTA(SUPPORTO_punti!$B$1:$AR$166,AK1,AJ1:AK2)</f>
        <v>0</v>
      </c>
      <c r="AL5"/>
      <c r="AM5" s="103">
        <f>DCOUNTA(SUPPORTO_punti!$B$1:$AR$166,AM1,AL3:AM4)+DCOUNTA(SUPPORTO_punti!$B$1:$AR$166,AM1,AL1:AM2)</f>
        <v>0</v>
      </c>
      <c r="AN5"/>
      <c r="AO5" s="103">
        <f>DCOUNTA(SUPPORTO_punti!$B$1:$AR$166,AO1,AN3:AO4)+DCOUNTA(SUPPORTO_punti!$B$1:$AR$166,AO1,AN1:AO2)</f>
        <v>0</v>
      </c>
    </row>
    <row r="6" spans="1:41" x14ac:dyDescent="0.2">
      <c r="C6" s="18"/>
      <c r="D6" s="18"/>
      <c r="E6" s="18"/>
      <c r="F6" s="18"/>
      <c r="G6" s="18"/>
      <c r="H6" s="18"/>
      <c r="I6" s="18"/>
      <c r="J6" s="18"/>
      <c r="K6" s="18"/>
      <c r="L6" s="18"/>
      <c r="M6" s="18"/>
      <c r="N6" s="18"/>
      <c r="O6" s="18"/>
      <c r="P6"/>
      <c r="Q6" s="18"/>
      <c r="R6"/>
      <c r="S6" s="18"/>
      <c r="T6"/>
      <c r="U6" s="18"/>
      <c r="V6"/>
      <c r="W6" s="18"/>
      <c r="X6"/>
      <c r="Y6" s="18"/>
      <c r="Z6"/>
      <c r="AA6" s="18"/>
      <c r="AB6"/>
      <c r="AC6" s="18"/>
      <c r="AD6"/>
      <c r="AE6" s="18"/>
      <c r="AF6"/>
      <c r="AG6" s="18"/>
      <c r="AH6"/>
      <c r="AI6" s="18"/>
      <c r="AJ6"/>
      <c r="AK6" s="18"/>
      <c r="AL6"/>
      <c r="AM6" s="18"/>
      <c r="AN6"/>
      <c r="AO6" s="18"/>
    </row>
    <row r="7" spans="1:41" x14ac:dyDescent="0.2">
      <c r="A7" s="215" t="s">
        <v>2</v>
      </c>
      <c r="B7" s="13" t="s">
        <v>55</v>
      </c>
      <c r="C7" s="14" t="s">
        <v>58</v>
      </c>
      <c r="D7" s="13" t="s">
        <v>55</v>
      </c>
      <c r="E7" s="14" t="s">
        <v>60</v>
      </c>
      <c r="F7" s="13" t="s">
        <v>55</v>
      </c>
      <c r="G7" s="14" t="s">
        <v>141</v>
      </c>
      <c r="H7" s="13" t="s">
        <v>55</v>
      </c>
      <c r="I7" s="14" t="s">
        <v>143</v>
      </c>
      <c r="J7" s="13" t="s">
        <v>55</v>
      </c>
      <c r="K7" s="14" t="s">
        <v>145</v>
      </c>
      <c r="L7" s="13" t="s">
        <v>55</v>
      </c>
      <c r="M7" s="14" t="s">
        <v>147</v>
      </c>
      <c r="N7" s="13" t="s">
        <v>55</v>
      </c>
      <c r="O7" s="14" t="s">
        <v>149</v>
      </c>
      <c r="P7" s="13" t="s">
        <v>55</v>
      </c>
      <c r="Q7" s="14" t="s">
        <v>62</v>
      </c>
      <c r="R7" s="13" t="s">
        <v>55</v>
      </c>
      <c r="S7" s="14" t="s">
        <v>64</v>
      </c>
      <c r="T7" s="13" t="s">
        <v>55</v>
      </c>
      <c r="U7" s="14" t="s">
        <v>66</v>
      </c>
      <c r="V7" s="13" t="s">
        <v>55</v>
      </c>
      <c r="W7" s="14" t="s">
        <v>68</v>
      </c>
      <c r="X7" s="13" t="s">
        <v>55</v>
      </c>
      <c r="Y7" s="14" t="s">
        <v>70</v>
      </c>
      <c r="Z7" s="13" t="s">
        <v>55</v>
      </c>
      <c r="AA7" s="14" t="s">
        <v>72</v>
      </c>
      <c r="AB7" s="13" t="s">
        <v>55</v>
      </c>
      <c r="AC7" s="14" t="s">
        <v>74</v>
      </c>
      <c r="AD7" s="13" t="s">
        <v>55</v>
      </c>
      <c r="AE7" s="14" t="s">
        <v>76</v>
      </c>
      <c r="AF7" s="13" t="s">
        <v>55</v>
      </c>
      <c r="AG7" s="14" t="s">
        <v>78</v>
      </c>
      <c r="AH7" s="13" t="s">
        <v>55</v>
      </c>
      <c r="AI7" s="14" t="s">
        <v>80</v>
      </c>
      <c r="AJ7" s="13" t="s">
        <v>55</v>
      </c>
      <c r="AK7" s="14" t="s">
        <v>82</v>
      </c>
      <c r="AL7" s="13" t="s">
        <v>55</v>
      </c>
      <c r="AM7" s="14" t="s">
        <v>84</v>
      </c>
      <c r="AN7" s="13" t="s">
        <v>55</v>
      </c>
      <c r="AO7" s="15" t="s">
        <v>86</v>
      </c>
    </row>
    <row r="8" spans="1:41" x14ac:dyDescent="0.2">
      <c r="A8" s="215"/>
      <c r="B8" s="16" t="s">
        <v>2</v>
      </c>
      <c r="C8" s="10">
        <v>1</v>
      </c>
      <c r="D8" s="16" t="s">
        <v>2</v>
      </c>
      <c r="E8" s="10">
        <v>1</v>
      </c>
      <c r="F8" s="16" t="s">
        <v>2</v>
      </c>
      <c r="G8" s="10">
        <v>1</v>
      </c>
      <c r="H8" s="16" t="s">
        <v>2</v>
      </c>
      <c r="I8" s="10">
        <v>1</v>
      </c>
      <c r="J8" s="16" t="s">
        <v>2</v>
      </c>
      <c r="K8" s="10">
        <v>1</v>
      </c>
      <c r="L8" s="16" t="s">
        <v>2</v>
      </c>
      <c r="M8" s="10">
        <v>1</v>
      </c>
      <c r="N8" s="16" t="s">
        <v>2</v>
      </c>
      <c r="O8" s="10">
        <v>1</v>
      </c>
      <c r="P8" s="16" t="s">
        <v>2</v>
      </c>
      <c r="Q8" s="10">
        <v>1</v>
      </c>
      <c r="R8" s="16" t="s">
        <v>2</v>
      </c>
      <c r="S8" s="10">
        <v>1</v>
      </c>
      <c r="T8" s="16" t="s">
        <v>2</v>
      </c>
      <c r="U8" s="10">
        <v>1</v>
      </c>
      <c r="V8" s="16" t="s">
        <v>2</v>
      </c>
      <c r="W8" s="10">
        <v>1</v>
      </c>
      <c r="X8" s="16" t="s">
        <v>2</v>
      </c>
      <c r="Y8" s="10">
        <v>1</v>
      </c>
      <c r="Z8" s="16" t="s">
        <v>2</v>
      </c>
      <c r="AA8" s="10">
        <v>1</v>
      </c>
      <c r="AB8" s="16" t="s">
        <v>2</v>
      </c>
      <c r="AC8" s="10">
        <v>1</v>
      </c>
      <c r="AD8" s="16" t="s">
        <v>2</v>
      </c>
      <c r="AE8" s="10">
        <v>1</v>
      </c>
      <c r="AF8" s="16" t="s">
        <v>2</v>
      </c>
      <c r="AG8" s="10">
        <v>1</v>
      </c>
      <c r="AH8" s="16" t="s">
        <v>2</v>
      </c>
      <c r="AI8" s="10">
        <v>1</v>
      </c>
      <c r="AJ8" s="16" t="s">
        <v>2</v>
      </c>
      <c r="AK8" s="10">
        <v>1</v>
      </c>
      <c r="AL8" s="16" t="s">
        <v>2</v>
      </c>
      <c r="AM8" s="10">
        <v>1</v>
      </c>
      <c r="AN8" s="16" t="s">
        <v>2</v>
      </c>
      <c r="AO8" s="17">
        <v>1</v>
      </c>
    </row>
    <row r="9" spans="1:41" x14ac:dyDescent="0.2">
      <c r="A9" s="215"/>
      <c r="B9" s="13" t="s">
        <v>56</v>
      </c>
      <c r="C9" s="14" t="s">
        <v>58</v>
      </c>
      <c r="D9" s="13" t="s">
        <v>56</v>
      </c>
      <c r="E9" s="14" t="s">
        <v>60</v>
      </c>
      <c r="F9" s="13" t="s">
        <v>56</v>
      </c>
      <c r="G9" s="14" t="s">
        <v>141</v>
      </c>
      <c r="H9" s="13" t="s">
        <v>56</v>
      </c>
      <c r="I9" s="14" t="s">
        <v>143</v>
      </c>
      <c r="J9" s="13" t="s">
        <v>56</v>
      </c>
      <c r="K9" s="14" t="s">
        <v>145</v>
      </c>
      <c r="L9" s="13" t="s">
        <v>56</v>
      </c>
      <c r="M9" s="14" t="s">
        <v>147</v>
      </c>
      <c r="N9" s="13" t="s">
        <v>56</v>
      </c>
      <c r="O9" s="14" t="s">
        <v>149</v>
      </c>
      <c r="P9" s="13" t="s">
        <v>56</v>
      </c>
      <c r="Q9" s="14" t="s">
        <v>62</v>
      </c>
      <c r="R9" s="13" t="s">
        <v>56</v>
      </c>
      <c r="S9" s="14" t="s">
        <v>64</v>
      </c>
      <c r="T9" s="13" t="s">
        <v>56</v>
      </c>
      <c r="U9" s="14" t="s">
        <v>66</v>
      </c>
      <c r="V9" s="13" t="s">
        <v>56</v>
      </c>
      <c r="W9" s="14" t="s">
        <v>68</v>
      </c>
      <c r="X9" s="13" t="s">
        <v>56</v>
      </c>
      <c r="Y9" s="14" t="s">
        <v>70</v>
      </c>
      <c r="Z9" s="13" t="s">
        <v>56</v>
      </c>
      <c r="AA9" s="14" t="s">
        <v>72</v>
      </c>
      <c r="AB9" s="13" t="s">
        <v>56</v>
      </c>
      <c r="AC9" s="14" t="s">
        <v>74</v>
      </c>
      <c r="AD9" s="13" t="s">
        <v>56</v>
      </c>
      <c r="AE9" s="14" t="s">
        <v>76</v>
      </c>
      <c r="AF9" s="13" t="s">
        <v>56</v>
      </c>
      <c r="AG9" s="14" t="s">
        <v>78</v>
      </c>
      <c r="AH9" s="13" t="s">
        <v>56</v>
      </c>
      <c r="AI9" s="14" t="s">
        <v>80</v>
      </c>
      <c r="AJ9" s="13" t="s">
        <v>56</v>
      </c>
      <c r="AK9" s="14" t="s">
        <v>82</v>
      </c>
      <c r="AL9" s="13" t="s">
        <v>56</v>
      </c>
      <c r="AM9" s="14" t="s">
        <v>84</v>
      </c>
      <c r="AN9" s="13" t="s">
        <v>56</v>
      </c>
      <c r="AO9" s="15" t="s">
        <v>86</v>
      </c>
    </row>
    <row r="10" spans="1:41" x14ac:dyDescent="0.2">
      <c r="A10" s="215"/>
      <c r="B10" s="16" t="s">
        <v>2</v>
      </c>
      <c r="C10" s="10">
        <v>1</v>
      </c>
      <c r="D10" s="16" t="s">
        <v>2</v>
      </c>
      <c r="E10" s="10">
        <v>1</v>
      </c>
      <c r="F10" s="16" t="s">
        <v>2</v>
      </c>
      <c r="G10" s="10">
        <v>1</v>
      </c>
      <c r="H10" s="16" t="s">
        <v>2</v>
      </c>
      <c r="I10" s="10">
        <v>1</v>
      </c>
      <c r="J10" s="16" t="s">
        <v>2</v>
      </c>
      <c r="K10" s="10">
        <v>1</v>
      </c>
      <c r="L10" s="16" t="s">
        <v>2</v>
      </c>
      <c r="M10" s="10">
        <v>1</v>
      </c>
      <c r="N10" s="16" t="s">
        <v>2</v>
      </c>
      <c r="O10" s="10">
        <v>1</v>
      </c>
      <c r="P10" s="16" t="s">
        <v>2</v>
      </c>
      <c r="Q10" s="10">
        <v>1</v>
      </c>
      <c r="R10" s="16" t="s">
        <v>2</v>
      </c>
      <c r="S10" s="10">
        <v>1</v>
      </c>
      <c r="T10" s="16" t="s">
        <v>2</v>
      </c>
      <c r="U10" s="10">
        <v>1</v>
      </c>
      <c r="V10" s="16" t="s">
        <v>2</v>
      </c>
      <c r="W10" s="10">
        <v>1</v>
      </c>
      <c r="X10" s="16" t="s">
        <v>2</v>
      </c>
      <c r="Y10" s="10">
        <v>1</v>
      </c>
      <c r="Z10" s="16" t="s">
        <v>2</v>
      </c>
      <c r="AA10" s="10">
        <v>1</v>
      </c>
      <c r="AB10" s="16" t="s">
        <v>2</v>
      </c>
      <c r="AC10" s="10">
        <v>1</v>
      </c>
      <c r="AD10" s="16" t="s">
        <v>2</v>
      </c>
      <c r="AE10" s="10">
        <v>1</v>
      </c>
      <c r="AF10" s="16" t="s">
        <v>2</v>
      </c>
      <c r="AG10" s="10">
        <v>1</v>
      </c>
      <c r="AH10" s="16" t="s">
        <v>2</v>
      </c>
      <c r="AI10" s="10">
        <v>1</v>
      </c>
      <c r="AJ10" s="16" t="s">
        <v>2</v>
      </c>
      <c r="AK10" s="10">
        <v>1</v>
      </c>
      <c r="AL10" s="16" t="s">
        <v>2</v>
      </c>
      <c r="AM10" s="10">
        <v>1</v>
      </c>
      <c r="AN10" s="16" t="s">
        <v>2</v>
      </c>
      <c r="AO10" s="17">
        <v>1</v>
      </c>
    </row>
    <row r="11" spans="1:41" x14ac:dyDescent="0.2">
      <c r="C11" s="103">
        <f>DCOUNTA(SUPPORTO_punti!$B$1:$AR$166,C7,B9:C10)+DCOUNTA(SUPPORTO_punti!$B$1:$AR$166,C7,B7:C8)</f>
        <v>9</v>
      </c>
      <c r="D11" s="18"/>
      <c r="E11" s="103">
        <f>DCOUNTA(SUPPORTO_punti!$B$1:$AR$166,E7,D9:E10)+DCOUNTA(SUPPORTO_punti!$B$1:$AR$166,E7,D7:E8)</f>
        <v>3</v>
      </c>
      <c r="F11" s="18"/>
      <c r="G11" s="103">
        <f>DCOUNTA(SUPPORTO_punti!$B$1:$AR$166,G7,F9:G10)+DCOUNTA(SUPPORTO_punti!$B$1:$AR$166,G7,F7:G8)</f>
        <v>5</v>
      </c>
      <c r="H11" s="18"/>
      <c r="I11" s="103">
        <f>DCOUNTA(SUPPORTO_punti!$B$1:$AR$166,I7,H9:I10)+DCOUNTA(SUPPORTO_punti!$B$1:$AR$166,I7,H7:I8)</f>
        <v>3</v>
      </c>
      <c r="J11" s="18"/>
      <c r="K11" s="103">
        <f>DCOUNTA(SUPPORTO_punti!$B$1:$AR$166,K7,J9:K10)+DCOUNTA(SUPPORTO_punti!$B$1:$AR$166,K7,J7:K8)</f>
        <v>9</v>
      </c>
      <c r="L11" s="18"/>
      <c r="M11" s="103">
        <f>DCOUNTA(SUPPORTO_punti!$B$1:$AR$166,M7,L9:M10)+DCOUNTA(SUPPORTO_punti!$B$1:$AR$166,M7,L7:M8)</f>
        <v>12</v>
      </c>
      <c r="N11" s="18"/>
      <c r="O11" s="103">
        <f>DCOUNTA(SUPPORTO_punti!$B$1:$AR$166,O7,N9:O10)+DCOUNTA(SUPPORTO_punti!$B$1:$AR$166,O7,N7:O8)</f>
        <v>7</v>
      </c>
      <c r="P11"/>
      <c r="Q11" s="103">
        <f>DCOUNTA(SUPPORTO_punti!$B$1:$AR$166,Q7,P9:Q10)+DCOUNTA(SUPPORTO_punti!$B$1:$AR$166,Q7,P7:Q8)</f>
        <v>7</v>
      </c>
      <c r="R11"/>
      <c r="S11" s="103">
        <f>DCOUNTA(SUPPORTO_punti!$B$1:$AR$166,S7,R9:S10)+DCOUNTA(SUPPORTO_punti!$B$1:$AR$166,S7,R7:S8)</f>
        <v>3</v>
      </c>
      <c r="T11"/>
      <c r="U11" s="103">
        <f>DCOUNTA(SUPPORTO_punti!$B$1:$AR$166,U7,T9:U10)+DCOUNTA(SUPPORTO_punti!$B$1:$AR$166,U7,T7:U8)</f>
        <v>9</v>
      </c>
      <c r="V11"/>
      <c r="W11" s="103">
        <f>DCOUNTA(SUPPORTO_punti!$B$1:$AR$166,W7,V9:W10)+DCOUNTA(SUPPORTO_punti!$B$1:$AR$166,W7,V7:W8)</f>
        <v>10</v>
      </c>
      <c r="X11"/>
      <c r="Y11" s="103">
        <f>DCOUNTA(SUPPORTO_punti!$B$1:$AR$166,Y7,X9:Y10)+DCOUNTA(SUPPORTO_punti!$B$1:$AR$166,Y7,X7:Y8)</f>
        <v>0</v>
      </c>
      <c r="Z11"/>
      <c r="AA11" s="103">
        <f>DCOUNTA(SUPPORTO_punti!$B$1:$AR$166,AA7,Z9:AA10)+DCOUNTA(SUPPORTO_punti!$B$1:$AR$166,AA7,Z7:AA8)</f>
        <v>0</v>
      </c>
      <c r="AB11"/>
      <c r="AC11" s="103">
        <f>DCOUNTA(SUPPORTO_punti!$B$1:$AR$166,AC7,AB9:AC10)+DCOUNTA(SUPPORTO_punti!$B$1:$AR$166,AC7,AB7:AC8)</f>
        <v>0</v>
      </c>
      <c r="AD11"/>
      <c r="AE11" s="103">
        <f>DCOUNTA(SUPPORTO_punti!$B$1:$AR$166,AE7,AD9:AE10)+DCOUNTA(SUPPORTO_punti!$B$1:$AR$166,AE7,AD7:AE8)</f>
        <v>0</v>
      </c>
      <c r="AF11"/>
      <c r="AG11" s="103">
        <f>DCOUNTA(SUPPORTO_punti!$B$1:$AR$166,AG7,AF9:AG10)+DCOUNTA(SUPPORTO_punti!$B$1:$AR$166,AG7,AF7:AG8)</f>
        <v>0</v>
      </c>
      <c r="AH11"/>
      <c r="AI11" s="103">
        <f>DCOUNTA(SUPPORTO_punti!$B$1:$AR$166,AI7,AH9:AI10)+DCOUNTA(SUPPORTO_punti!$B$1:$AR$166,AI7,AH7:AI8)</f>
        <v>0</v>
      </c>
      <c r="AJ11"/>
      <c r="AK11" s="103">
        <f>DCOUNTA(SUPPORTO_punti!$B$1:$AR$166,AK7,AJ9:AK10)+DCOUNTA(SUPPORTO_punti!$B$1:$AR$166,AK7,AJ7:AK8)</f>
        <v>0</v>
      </c>
      <c r="AL11"/>
      <c r="AM11" s="103">
        <f>DCOUNTA(SUPPORTO_punti!$B$1:$AR$166,AM7,AL9:AM10)+DCOUNTA(SUPPORTO_punti!$B$1:$AR$166,AM7,AL7:AM8)</f>
        <v>0</v>
      </c>
      <c r="AN11"/>
      <c r="AO11" s="103">
        <f>DCOUNTA(SUPPORTO_punti!$B$1:$AR$166,AO7,AN9:AO10)+DCOUNTA(SUPPORTO_punti!$B$1:$AR$166,AO7,AN7:AO8)</f>
        <v>0</v>
      </c>
    </row>
    <row r="12" spans="1:41" x14ac:dyDescent="0.2">
      <c r="C12" s="18"/>
      <c r="D12" s="18"/>
      <c r="E12" s="18"/>
      <c r="F12" s="18"/>
      <c r="G12" s="18"/>
      <c r="H12" s="18"/>
      <c r="I12" s="18"/>
      <c r="J12" s="18"/>
      <c r="K12" s="18"/>
      <c r="L12" s="18"/>
      <c r="M12" s="18"/>
      <c r="N12" s="18"/>
      <c r="O12" s="18"/>
      <c r="P12"/>
      <c r="Q12" s="18"/>
      <c r="R12"/>
      <c r="S12" s="18"/>
      <c r="T12"/>
      <c r="U12" s="18"/>
      <c r="V12"/>
      <c r="W12" s="18"/>
      <c r="X12"/>
      <c r="Y12" s="18"/>
      <c r="Z12"/>
      <c r="AA12" s="18"/>
      <c r="AB12"/>
      <c r="AC12" s="18"/>
      <c r="AD12"/>
      <c r="AE12" s="18"/>
      <c r="AF12"/>
      <c r="AG12" s="18"/>
      <c r="AH12"/>
      <c r="AI12" s="18"/>
      <c r="AJ12"/>
      <c r="AK12" s="18"/>
      <c r="AL12"/>
      <c r="AM12" s="18"/>
      <c r="AN12"/>
      <c r="AO12" s="18"/>
    </row>
    <row r="13" spans="1:41" x14ac:dyDescent="0.2">
      <c r="A13" s="215" t="s">
        <v>3</v>
      </c>
      <c r="B13" s="13" t="s">
        <v>55</v>
      </c>
      <c r="C13" s="14" t="s">
        <v>58</v>
      </c>
      <c r="D13" s="13" t="s">
        <v>55</v>
      </c>
      <c r="E13" s="14" t="s">
        <v>60</v>
      </c>
      <c r="F13" s="13" t="s">
        <v>55</v>
      </c>
      <c r="G13" s="14" t="s">
        <v>141</v>
      </c>
      <c r="H13" s="13" t="s">
        <v>55</v>
      </c>
      <c r="I13" s="14" t="s">
        <v>143</v>
      </c>
      <c r="J13" s="13" t="s">
        <v>55</v>
      </c>
      <c r="K13" s="14" t="s">
        <v>145</v>
      </c>
      <c r="L13" s="13" t="s">
        <v>55</v>
      </c>
      <c r="M13" s="14" t="s">
        <v>147</v>
      </c>
      <c r="N13" s="13" t="s">
        <v>55</v>
      </c>
      <c r="O13" s="14" t="s">
        <v>149</v>
      </c>
      <c r="P13" s="13" t="s">
        <v>55</v>
      </c>
      <c r="Q13" s="14" t="s">
        <v>62</v>
      </c>
      <c r="R13" s="13" t="s">
        <v>55</v>
      </c>
      <c r="S13" s="14" t="s">
        <v>64</v>
      </c>
      <c r="T13" s="13" t="s">
        <v>55</v>
      </c>
      <c r="U13" s="14" t="s">
        <v>66</v>
      </c>
      <c r="V13" s="13" t="s">
        <v>55</v>
      </c>
      <c r="W13" s="14" t="s">
        <v>68</v>
      </c>
      <c r="X13" s="13" t="s">
        <v>55</v>
      </c>
      <c r="Y13" s="14" t="s">
        <v>70</v>
      </c>
      <c r="Z13" s="13" t="s">
        <v>55</v>
      </c>
      <c r="AA13" s="14" t="s">
        <v>72</v>
      </c>
      <c r="AB13" s="13" t="s">
        <v>55</v>
      </c>
      <c r="AC13" s="14" t="s">
        <v>74</v>
      </c>
      <c r="AD13" s="13" t="s">
        <v>55</v>
      </c>
      <c r="AE13" s="14" t="s">
        <v>76</v>
      </c>
      <c r="AF13" s="13" t="s">
        <v>55</v>
      </c>
      <c r="AG13" s="14" t="s">
        <v>78</v>
      </c>
      <c r="AH13" s="13" t="s">
        <v>55</v>
      </c>
      <c r="AI13" s="14" t="s">
        <v>80</v>
      </c>
      <c r="AJ13" s="13" t="s">
        <v>55</v>
      </c>
      <c r="AK13" s="14" t="s">
        <v>82</v>
      </c>
      <c r="AL13" s="13" t="s">
        <v>55</v>
      </c>
      <c r="AM13" s="14" t="s">
        <v>84</v>
      </c>
      <c r="AN13" s="13" t="s">
        <v>55</v>
      </c>
      <c r="AO13" s="15" t="s">
        <v>86</v>
      </c>
    </row>
    <row r="14" spans="1:41" x14ac:dyDescent="0.2">
      <c r="A14" s="215"/>
      <c r="B14" s="16" t="s">
        <v>3</v>
      </c>
      <c r="C14" s="10">
        <v>1</v>
      </c>
      <c r="D14" s="16" t="s">
        <v>3</v>
      </c>
      <c r="E14" s="10">
        <v>1</v>
      </c>
      <c r="F14" s="16" t="s">
        <v>3</v>
      </c>
      <c r="G14" s="10">
        <v>1</v>
      </c>
      <c r="H14" s="16" t="s">
        <v>3</v>
      </c>
      <c r="I14" s="10">
        <v>1</v>
      </c>
      <c r="J14" s="16" t="s">
        <v>3</v>
      </c>
      <c r="K14" s="10">
        <v>1</v>
      </c>
      <c r="L14" s="16" t="s">
        <v>3</v>
      </c>
      <c r="M14" s="10">
        <v>1</v>
      </c>
      <c r="N14" s="16" t="s">
        <v>3</v>
      </c>
      <c r="O14" s="10">
        <v>1</v>
      </c>
      <c r="P14" s="16" t="s">
        <v>3</v>
      </c>
      <c r="Q14" s="10">
        <v>1</v>
      </c>
      <c r="R14" s="16" t="s">
        <v>3</v>
      </c>
      <c r="S14" s="10">
        <v>1</v>
      </c>
      <c r="T14" s="16" t="s">
        <v>3</v>
      </c>
      <c r="U14" s="10">
        <v>1</v>
      </c>
      <c r="V14" s="16" t="s">
        <v>3</v>
      </c>
      <c r="W14" s="10">
        <v>1</v>
      </c>
      <c r="X14" s="16" t="s">
        <v>3</v>
      </c>
      <c r="Y14" s="10">
        <v>1</v>
      </c>
      <c r="Z14" s="16" t="s">
        <v>3</v>
      </c>
      <c r="AA14" s="10">
        <v>1</v>
      </c>
      <c r="AB14" s="16" t="s">
        <v>3</v>
      </c>
      <c r="AC14" s="10">
        <v>1</v>
      </c>
      <c r="AD14" s="16" t="s">
        <v>3</v>
      </c>
      <c r="AE14" s="10">
        <v>1</v>
      </c>
      <c r="AF14" s="16" t="s">
        <v>3</v>
      </c>
      <c r="AG14" s="10">
        <v>1</v>
      </c>
      <c r="AH14" s="16" t="s">
        <v>3</v>
      </c>
      <c r="AI14" s="10">
        <v>1</v>
      </c>
      <c r="AJ14" s="16" t="s">
        <v>3</v>
      </c>
      <c r="AK14" s="10">
        <v>1</v>
      </c>
      <c r="AL14" s="16" t="s">
        <v>3</v>
      </c>
      <c r="AM14" s="10">
        <v>1</v>
      </c>
      <c r="AN14" s="16" t="s">
        <v>3</v>
      </c>
      <c r="AO14" s="17">
        <v>1</v>
      </c>
    </row>
    <row r="15" spans="1:41" x14ac:dyDescent="0.2">
      <c r="A15" s="215"/>
      <c r="B15" s="13" t="s">
        <v>56</v>
      </c>
      <c r="C15" s="14" t="s">
        <v>58</v>
      </c>
      <c r="D15" s="13" t="s">
        <v>56</v>
      </c>
      <c r="E15" s="14" t="s">
        <v>60</v>
      </c>
      <c r="F15" s="13" t="s">
        <v>56</v>
      </c>
      <c r="G15" s="14" t="s">
        <v>141</v>
      </c>
      <c r="H15" s="13" t="s">
        <v>56</v>
      </c>
      <c r="I15" s="14" t="s">
        <v>143</v>
      </c>
      <c r="J15" s="13" t="s">
        <v>56</v>
      </c>
      <c r="K15" s="14" t="s">
        <v>145</v>
      </c>
      <c r="L15" s="13" t="s">
        <v>56</v>
      </c>
      <c r="M15" s="14" t="s">
        <v>147</v>
      </c>
      <c r="N15" s="13" t="s">
        <v>56</v>
      </c>
      <c r="O15" s="14" t="s">
        <v>149</v>
      </c>
      <c r="P15" s="13" t="s">
        <v>56</v>
      </c>
      <c r="Q15" s="14" t="s">
        <v>62</v>
      </c>
      <c r="R15" s="13" t="s">
        <v>56</v>
      </c>
      <c r="S15" s="14" t="s">
        <v>64</v>
      </c>
      <c r="T15" s="13" t="s">
        <v>56</v>
      </c>
      <c r="U15" s="14" t="s">
        <v>66</v>
      </c>
      <c r="V15" s="13" t="s">
        <v>56</v>
      </c>
      <c r="W15" s="14" t="s">
        <v>68</v>
      </c>
      <c r="X15" s="13" t="s">
        <v>56</v>
      </c>
      <c r="Y15" s="14" t="s">
        <v>70</v>
      </c>
      <c r="Z15" s="13" t="s">
        <v>56</v>
      </c>
      <c r="AA15" s="14" t="s">
        <v>72</v>
      </c>
      <c r="AB15" s="13" t="s">
        <v>56</v>
      </c>
      <c r="AC15" s="14" t="s">
        <v>74</v>
      </c>
      <c r="AD15" s="13" t="s">
        <v>56</v>
      </c>
      <c r="AE15" s="14" t="s">
        <v>76</v>
      </c>
      <c r="AF15" s="13" t="s">
        <v>56</v>
      </c>
      <c r="AG15" s="14" t="s">
        <v>78</v>
      </c>
      <c r="AH15" s="13" t="s">
        <v>56</v>
      </c>
      <c r="AI15" s="14" t="s">
        <v>80</v>
      </c>
      <c r="AJ15" s="13" t="s">
        <v>56</v>
      </c>
      <c r="AK15" s="14" t="s">
        <v>82</v>
      </c>
      <c r="AL15" s="13" t="s">
        <v>56</v>
      </c>
      <c r="AM15" s="14" t="s">
        <v>84</v>
      </c>
      <c r="AN15" s="13" t="s">
        <v>56</v>
      </c>
      <c r="AO15" s="15" t="s">
        <v>86</v>
      </c>
    </row>
    <row r="16" spans="1:41" x14ac:dyDescent="0.2">
      <c r="A16" s="215"/>
      <c r="B16" s="16" t="s">
        <v>3</v>
      </c>
      <c r="C16" s="10">
        <v>1</v>
      </c>
      <c r="D16" s="16" t="s">
        <v>3</v>
      </c>
      <c r="E16" s="10">
        <v>1</v>
      </c>
      <c r="F16" s="16" t="s">
        <v>3</v>
      </c>
      <c r="G16" s="10">
        <v>1</v>
      </c>
      <c r="H16" s="16" t="s">
        <v>3</v>
      </c>
      <c r="I16" s="10">
        <v>1</v>
      </c>
      <c r="J16" s="16" t="s">
        <v>3</v>
      </c>
      <c r="K16" s="10">
        <v>1</v>
      </c>
      <c r="L16" s="16" t="s">
        <v>3</v>
      </c>
      <c r="M16" s="10">
        <v>1</v>
      </c>
      <c r="N16" s="16" t="s">
        <v>3</v>
      </c>
      <c r="O16" s="10">
        <v>1</v>
      </c>
      <c r="P16" s="16" t="s">
        <v>3</v>
      </c>
      <c r="Q16" s="10">
        <v>1</v>
      </c>
      <c r="R16" s="16" t="s">
        <v>3</v>
      </c>
      <c r="S16" s="10">
        <v>1</v>
      </c>
      <c r="T16" s="16" t="s">
        <v>3</v>
      </c>
      <c r="U16" s="10">
        <v>1</v>
      </c>
      <c r="V16" s="16" t="s">
        <v>3</v>
      </c>
      <c r="W16" s="10">
        <v>1</v>
      </c>
      <c r="X16" s="16" t="s">
        <v>3</v>
      </c>
      <c r="Y16" s="10">
        <v>1</v>
      </c>
      <c r="Z16" s="16" t="s">
        <v>3</v>
      </c>
      <c r="AA16" s="10">
        <v>1</v>
      </c>
      <c r="AB16" s="16" t="s">
        <v>3</v>
      </c>
      <c r="AC16" s="10">
        <v>1</v>
      </c>
      <c r="AD16" s="16" t="s">
        <v>3</v>
      </c>
      <c r="AE16" s="10">
        <v>1</v>
      </c>
      <c r="AF16" s="16" t="s">
        <v>3</v>
      </c>
      <c r="AG16" s="10">
        <v>1</v>
      </c>
      <c r="AH16" s="16" t="s">
        <v>3</v>
      </c>
      <c r="AI16" s="10">
        <v>1</v>
      </c>
      <c r="AJ16" s="16" t="s">
        <v>3</v>
      </c>
      <c r="AK16" s="10">
        <v>1</v>
      </c>
      <c r="AL16" s="16" t="s">
        <v>3</v>
      </c>
      <c r="AM16" s="10">
        <v>1</v>
      </c>
      <c r="AN16" s="16" t="s">
        <v>3</v>
      </c>
      <c r="AO16" s="17">
        <v>1</v>
      </c>
    </row>
    <row r="17" spans="1:41" x14ac:dyDescent="0.2">
      <c r="C17" s="103">
        <f>DCOUNTA(SUPPORTO_punti!$B$1:$AR$166,C13,B15:C16)+DCOUNTA(SUPPORTO_punti!$B$1:$AR$166,C13,B13:C14)</f>
        <v>2</v>
      </c>
      <c r="D17" s="18"/>
      <c r="E17" s="103">
        <f>DCOUNTA(SUPPORTO_punti!$B$1:$AR$166,E13,D15:E16)+DCOUNTA(SUPPORTO_punti!$B$1:$AR$166,E13,D13:E14)</f>
        <v>2</v>
      </c>
      <c r="F17" s="18"/>
      <c r="G17" s="103">
        <f>DCOUNTA(SUPPORTO_punti!$B$1:$AR$166,G13,F15:G16)+DCOUNTA(SUPPORTO_punti!$B$1:$AR$166,G13,F13:G14)</f>
        <v>3</v>
      </c>
      <c r="H17" s="18"/>
      <c r="I17" s="103">
        <f>DCOUNTA(SUPPORTO_punti!$B$1:$AR$166,I13,H15:I16)+DCOUNTA(SUPPORTO_punti!$B$1:$AR$166,I13,H13:I14)</f>
        <v>4</v>
      </c>
      <c r="J17" s="18"/>
      <c r="K17" s="103">
        <f>DCOUNTA(SUPPORTO_punti!$B$1:$AR$166,K13,J15:K16)+DCOUNTA(SUPPORTO_punti!$B$1:$AR$166,K13,J13:K14)</f>
        <v>0</v>
      </c>
      <c r="L17" s="18"/>
      <c r="M17" s="103">
        <f>DCOUNTA(SUPPORTO_punti!$B$1:$AR$166,M13,L15:M16)+DCOUNTA(SUPPORTO_punti!$B$1:$AR$166,M13,L13:M14)</f>
        <v>1</v>
      </c>
      <c r="N17" s="18"/>
      <c r="O17" s="103">
        <f>DCOUNTA(SUPPORTO_punti!$B$1:$AR$166,O13,N15:O16)+DCOUNTA(SUPPORTO_punti!$B$1:$AR$166,O13,N13:O14)</f>
        <v>4</v>
      </c>
      <c r="P17"/>
      <c r="Q17" s="103">
        <f>DCOUNTA(SUPPORTO_punti!$B$1:$AR$166,Q13,P15:Q16)+DCOUNTA(SUPPORTO_punti!$B$1:$AR$166,Q13,P13:Q14)</f>
        <v>7</v>
      </c>
      <c r="R17"/>
      <c r="S17" s="103">
        <f>DCOUNTA(SUPPORTO_punti!$B$1:$AR$166,S13,R15:S16)+DCOUNTA(SUPPORTO_punti!$B$1:$AR$166,S13,R13:S14)</f>
        <v>7</v>
      </c>
      <c r="T17"/>
      <c r="U17" s="103">
        <f>DCOUNTA(SUPPORTO_punti!$B$1:$AR$166,U13,T15:U16)+DCOUNTA(SUPPORTO_punti!$B$1:$AR$166,U13,T13:U14)</f>
        <v>4</v>
      </c>
      <c r="V17"/>
      <c r="W17" s="103">
        <f>DCOUNTA(SUPPORTO_punti!$B$1:$AR$166,W13,V15:W16)+DCOUNTA(SUPPORTO_punti!$B$1:$AR$166,W13,V13:W14)</f>
        <v>7</v>
      </c>
      <c r="X17"/>
      <c r="Y17" s="103">
        <f>DCOUNTA(SUPPORTO_punti!$B$1:$AR$166,Y13,X15:Y16)+DCOUNTA(SUPPORTO_punti!$B$1:$AR$166,Y13,X13:Y14)</f>
        <v>0</v>
      </c>
      <c r="Z17"/>
      <c r="AA17" s="103">
        <f>DCOUNTA(SUPPORTO_punti!$B$1:$AR$166,AA13,Z15:AA16)+DCOUNTA(SUPPORTO_punti!$B$1:$AR$166,AA13,Z13:AA14)</f>
        <v>0</v>
      </c>
      <c r="AB17"/>
      <c r="AC17" s="103">
        <f>DCOUNTA(SUPPORTO_punti!$B$1:$AR$166,AC13,AB15:AC16)+DCOUNTA(SUPPORTO_punti!$B$1:$AR$166,AC13,AB13:AC14)</f>
        <v>0</v>
      </c>
      <c r="AD17"/>
      <c r="AE17" s="103">
        <f>DCOUNTA(SUPPORTO_punti!$B$1:$AR$166,AE13,AD15:AE16)+DCOUNTA(SUPPORTO_punti!$B$1:$AR$166,AE13,AD13:AE14)</f>
        <v>0</v>
      </c>
      <c r="AF17"/>
      <c r="AG17" s="103">
        <f>DCOUNTA(SUPPORTO_punti!$B$1:$AR$166,AG13,AF15:AG16)+DCOUNTA(SUPPORTO_punti!$B$1:$AR$166,AG13,AF13:AG14)</f>
        <v>0</v>
      </c>
      <c r="AH17"/>
      <c r="AI17" s="103">
        <f>DCOUNTA(SUPPORTO_punti!$B$1:$AR$166,AI13,AH15:AI16)+DCOUNTA(SUPPORTO_punti!$B$1:$AR$166,AI13,AH13:AI14)</f>
        <v>0</v>
      </c>
      <c r="AJ17"/>
      <c r="AK17" s="103">
        <f>DCOUNTA(SUPPORTO_punti!$B$1:$AR$166,AK13,AJ15:AK16)+DCOUNTA(SUPPORTO_punti!$B$1:$AR$166,AK13,AJ13:AK14)</f>
        <v>0</v>
      </c>
      <c r="AL17"/>
      <c r="AM17" s="103">
        <f>DCOUNTA(SUPPORTO_punti!$B$1:$AR$166,AM13,AL15:AM16)+DCOUNTA(SUPPORTO_punti!$B$1:$AR$166,AM13,AL13:AM14)</f>
        <v>0</v>
      </c>
      <c r="AN17"/>
      <c r="AO17" s="103">
        <f>DCOUNTA(SUPPORTO_punti!$B$1:$AR$166,AO13,AN15:AO16)+DCOUNTA(SUPPORTO_punti!$B$1:$AR$166,AO13,AN13:AO14)</f>
        <v>0</v>
      </c>
    </row>
    <row r="19" spans="1:41" x14ac:dyDescent="0.2">
      <c r="A19" s="215" t="s">
        <v>0</v>
      </c>
      <c r="B19" s="13" t="s">
        <v>55</v>
      </c>
      <c r="C19" s="14" t="s">
        <v>58</v>
      </c>
      <c r="D19" s="13" t="s">
        <v>55</v>
      </c>
      <c r="E19" s="14" t="s">
        <v>60</v>
      </c>
      <c r="F19" s="13" t="s">
        <v>55</v>
      </c>
      <c r="G19" s="14" t="s">
        <v>141</v>
      </c>
      <c r="H19" s="13" t="s">
        <v>55</v>
      </c>
      <c r="I19" s="14" t="s">
        <v>143</v>
      </c>
      <c r="J19" s="13" t="s">
        <v>55</v>
      </c>
      <c r="K19" s="14" t="s">
        <v>145</v>
      </c>
      <c r="L19" s="13" t="s">
        <v>55</v>
      </c>
      <c r="M19" s="14" t="s">
        <v>147</v>
      </c>
      <c r="N19" s="13" t="s">
        <v>55</v>
      </c>
      <c r="O19" s="14" t="s">
        <v>149</v>
      </c>
      <c r="P19" s="13" t="s">
        <v>55</v>
      </c>
      <c r="Q19" s="14" t="s">
        <v>62</v>
      </c>
      <c r="R19" s="13" t="s">
        <v>55</v>
      </c>
      <c r="S19" s="14" t="s">
        <v>64</v>
      </c>
      <c r="T19" s="13" t="s">
        <v>55</v>
      </c>
      <c r="U19" s="14" t="s">
        <v>66</v>
      </c>
      <c r="V19" s="13" t="s">
        <v>55</v>
      </c>
      <c r="W19" s="14" t="s">
        <v>68</v>
      </c>
      <c r="X19" s="13" t="s">
        <v>55</v>
      </c>
      <c r="Y19" s="14" t="s">
        <v>70</v>
      </c>
      <c r="Z19" s="13" t="s">
        <v>55</v>
      </c>
      <c r="AA19" s="14" t="s">
        <v>72</v>
      </c>
      <c r="AB19" s="13" t="s">
        <v>55</v>
      </c>
      <c r="AC19" s="14" t="s">
        <v>74</v>
      </c>
      <c r="AD19" s="13" t="s">
        <v>55</v>
      </c>
      <c r="AE19" s="14" t="s">
        <v>76</v>
      </c>
      <c r="AF19" s="13" t="s">
        <v>55</v>
      </c>
      <c r="AG19" s="14" t="s">
        <v>78</v>
      </c>
      <c r="AH19" s="13" t="s">
        <v>55</v>
      </c>
      <c r="AI19" s="14" t="s">
        <v>80</v>
      </c>
      <c r="AJ19" s="13" t="s">
        <v>55</v>
      </c>
      <c r="AK19" s="14" t="s">
        <v>82</v>
      </c>
      <c r="AL19" s="13" t="s">
        <v>55</v>
      </c>
      <c r="AM19" s="14" t="s">
        <v>84</v>
      </c>
      <c r="AN19" s="13" t="s">
        <v>55</v>
      </c>
      <c r="AO19" s="15" t="s">
        <v>86</v>
      </c>
    </row>
    <row r="20" spans="1:41" x14ac:dyDescent="0.2">
      <c r="A20" s="215"/>
      <c r="B20" s="16" t="s">
        <v>0</v>
      </c>
      <c r="C20" s="10">
        <v>1</v>
      </c>
      <c r="D20" s="16" t="s">
        <v>0</v>
      </c>
      <c r="E20" s="10">
        <v>1</v>
      </c>
      <c r="F20" s="16" t="s">
        <v>0</v>
      </c>
      <c r="G20" s="10">
        <v>1</v>
      </c>
      <c r="H20" s="16" t="s">
        <v>0</v>
      </c>
      <c r="I20" s="10">
        <v>1</v>
      </c>
      <c r="J20" s="16" t="s">
        <v>0</v>
      </c>
      <c r="K20" s="10">
        <v>1</v>
      </c>
      <c r="L20" s="16" t="s">
        <v>0</v>
      </c>
      <c r="M20" s="10">
        <v>1</v>
      </c>
      <c r="N20" s="16" t="s">
        <v>0</v>
      </c>
      <c r="O20" s="10">
        <v>1</v>
      </c>
      <c r="P20" s="16" t="s">
        <v>0</v>
      </c>
      <c r="Q20" s="10">
        <v>1</v>
      </c>
      <c r="R20" s="16" t="s">
        <v>0</v>
      </c>
      <c r="S20" s="10">
        <v>1</v>
      </c>
      <c r="T20" s="16" t="s">
        <v>0</v>
      </c>
      <c r="U20" s="10">
        <v>1</v>
      </c>
      <c r="V20" s="16" t="s">
        <v>0</v>
      </c>
      <c r="W20" s="10">
        <v>1</v>
      </c>
      <c r="X20" s="16" t="s">
        <v>0</v>
      </c>
      <c r="Y20" s="10">
        <v>1</v>
      </c>
      <c r="Z20" s="16" t="s">
        <v>0</v>
      </c>
      <c r="AA20" s="10">
        <v>1</v>
      </c>
      <c r="AB20" s="16" t="s">
        <v>0</v>
      </c>
      <c r="AC20" s="10">
        <v>1</v>
      </c>
      <c r="AD20" s="16" t="s">
        <v>0</v>
      </c>
      <c r="AE20" s="10">
        <v>1</v>
      </c>
      <c r="AF20" s="16" t="s">
        <v>0</v>
      </c>
      <c r="AG20" s="10">
        <v>1</v>
      </c>
      <c r="AH20" s="16" t="s">
        <v>0</v>
      </c>
      <c r="AI20" s="10">
        <v>1</v>
      </c>
      <c r="AJ20" s="16" t="s">
        <v>0</v>
      </c>
      <c r="AK20" s="10">
        <v>1</v>
      </c>
      <c r="AL20" s="16" t="s">
        <v>0</v>
      </c>
      <c r="AM20" s="10">
        <v>1</v>
      </c>
      <c r="AN20" s="16" t="s">
        <v>0</v>
      </c>
      <c r="AO20" s="17">
        <v>1</v>
      </c>
    </row>
    <row r="21" spans="1:41" x14ac:dyDescent="0.2">
      <c r="A21" s="215"/>
      <c r="B21" s="13" t="s">
        <v>56</v>
      </c>
      <c r="C21" s="14" t="s">
        <v>58</v>
      </c>
      <c r="D21" s="13" t="s">
        <v>56</v>
      </c>
      <c r="E21" s="14" t="s">
        <v>60</v>
      </c>
      <c r="F21" s="13" t="s">
        <v>56</v>
      </c>
      <c r="G21" s="14" t="s">
        <v>141</v>
      </c>
      <c r="H21" s="13" t="s">
        <v>56</v>
      </c>
      <c r="I21" s="14" t="s">
        <v>143</v>
      </c>
      <c r="J21" s="13" t="s">
        <v>56</v>
      </c>
      <c r="K21" s="14" t="s">
        <v>145</v>
      </c>
      <c r="L21" s="13" t="s">
        <v>56</v>
      </c>
      <c r="M21" s="14" t="s">
        <v>147</v>
      </c>
      <c r="N21" s="13" t="s">
        <v>56</v>
      </c>
      <c r="O21" s="14" t="s">
        <v>149</v>
      </c>
      <c r="P21" s="13" t="s">
        <v>56</v>
      </c>
      <c r="Q21" s="14" t="s">
        <v>62</v>
      </c>
      <c r="R21" s="13" t="s">
        <v>56</v>
      </c>
      <c r="S21" s="14" t="s">
        <v>64</v>
      </c>
      <c r="T21" s="13" t="s">
        <v>56</v>
      </c>
      <c r="U21" s="14" t="s">
        <v>66</v>
      </c>
      <c r="V21" s="13" t="s">
        <v>56</v>
      </c>
      <c r="W21" s="14" t="s">
        <v>68</v>
      </c>
      <c r="X21" s="13" t="s">
        <v>56</v>
      </c>
      <c r="Y21" s="14" t="s">
        <v>70</v>
      </c>
      <c r="Z21" s="13" t="s">
        <v>56</v>
      </c>
      <c r="AA21" s="14" t="s">
        <v>72</v>
      </c>
      <c r="AB21" s="13" t="s">
        <v>56</v>
      </c>
      <c r="AC21" s="14" t="s">
        <v>74</v>
      </c>
      <c r="AD21" s="13" t="s">
        <v>56</v>
      </c>
      <c r="AE21" s="14" t="s">
        <v>76</v>
      </c>
      <c r="AF21" s="13" t="s">
        <v>56</v>
      </c>
      <c r="AG21" s="14" t="s">
        <v>78</v>
      </c>
      <c r="AH21" s="13" t="s">
        <v>56</v>
      </c>
      <c r="AI21" s="14" t="s">
        <v>80</v>
      </c>
      <c r="AJ21" s="13" t="s">
        <v>56</v>
      </c>
      <c r="AK21" s="14" t="s">
        <v>82</v>
      </c>
      <c r="AL21" s="13" t="s">
        <v>56</v>
      </c>
      <c r="AM21" s="14" t="s">
        <v>84</v>
      </c>
      <c r="AN21" s="13" t="s">
        <v>56</v>
      </c>
      <c r="AO21" s="15" t="s">
        <v>86</v>
      </c>
    </row>
    <row r="22" spans="1:41" x14ac:dyDescent="0.2">
      <c r="A22" s="215"/>
      <c r="B22" s="16" t="s">
        <v>0</v>
      </c>
      <c r="C22" s="10">
        <v>1</v>
      </c>
      <c r="D22" s="16" t="s">
        <v>0</v>
      </c>
      <c r="E22" s="10">
        <v>1</v>
      </c>
      <c r="F22" s="16" t="s">
        <v>0</v>
      </c>
      <c r="G22" s="10">
        <v>1</v>
      </c>
      <c r="H22" s="16" t="s">
        <v>0</v>
      </c>
      <c r="I22" s="10">
        <v>1</v>
      </c>
      <c r="J22" s="16" t="s">
        <v>0</v>
      </c>
      <c r="K22" s="10">
        <v>1</v>
      </c>
      <c r="L22" s="16" t="s">
        <v>0</v>
      </c>
      <c r="M22" s="10">
        <v>1</v>
      </c>
      <c r="N22" s="16" t="s">
        <v>0</v>
      </c>
      <c r="O22" s="10">
        <v>1</v>
      </c>
      <c r="P22" s="16" t="s">
        <v>0</v>
      </c>
      <c r="Q22" s="10">
        <v>1</v>
      </c>
      <c r="R22" s="16" t="s">
        <v>0</v>
      </c>
      <c r="S22" s="10">
        <v>1</v>
      </c>
      <c r="T22" s="16" t="s">
        <v>0</v>
      </c>
      <c r="U22" s="10">
        <v>1</v>
      </c>
      <c r="V22" s="16" t="s">
        <v>0</v>
      </c>
      <c r="W22" s="10">
        <v>1</v>
      </c>
      <c r="X22" s="16" t="s">
        <v>0</v>
      </c>
      <c r="Y22" s="10">
        <v>1</v>
      </c>
      <c r="Z22" s="16" t="s">
        <v>0</v>
      </c>
      <c r="AA22" s="10">
        <v>1</v>
      </c>
      <c r="AB22" s="16" t="s">
        <v>0</v>
      </c>
      <c r="AC22" s="10">
        <v>1</v>
      </c>
      <c r="AD22" s="16" t="s">
        <v>0</v>
      </c>
      <c r="AE22" s="10">
        <v>1</v>
      </c>
      <c r="AF22" s="16" t="s">
        <v>0</v>
      </c>
      <c r="AG22" s="10">
        <v>1</v>
      </c>
      <c r="AH22" s="16" t="s">
        <v>0</v>
      </c>
      <c r="AI22" s="10">
        <v>1</v>
      </c>
      <c r="AJ22" s="16" t="s">
        <v>0</v>
      </c>
      <c r="AK22" s="10">
        <v>1</v>
      </c>
      <c r="AL22" s="16" t="s">
        <v>0</v>
      </c>
      <c r="AM22" s="10">
        <v>1</v>
      </c>
      <c r="AN22" s="16" t="s">
        <v>0</v>
      </c>
      <c r="AO22" s="17">
        <v>1</v>
      </c>
    </row>
    <row r="23" spans="1:41" x14ac:dyDescent="0.2">
      <c r="C23" s="103">
        <f>DCOUNTA(SUPPORTO_punti!$B$1:$AR$166,C19,B21:C22)+DCOUNTA(SUPPORTO_punti!$B$1:$AR$166,C19,B19:C20)</f>
        <v>3</v>
      </c>
      <c r="D23" s="18"/>
      <c r="E23" s="103">
        <f>DCOUNTA(SUPPORTO_punti!$B$1:$AR$166,E19,D21:E22)+DCOUNTA(SUPPORTO_punti!$B$1:$AR$166,E19,D19:E20)</f>
        <v>7</v>
      </c>
      <c r="F23" s="18"/>
      <c r="G23" s="103">
        <f>DCOUNTA(SUPPORTO_punti!$B$1:$AR$166,G19,F21:G22)+DCOUNTA(SUPPORTO_punti!$B$1:$AR$166,G19,F19:G20)</f>
        <v>7</v>
      </c>
      <c r="H23" s="18"/>
      <c r="I23" s="103">
        <f>DCOUNTA(SUPPORTO_punti!$B$1:$AR$166,I19,H21:I22)+DCOUNTA(SUPPORTO_punti!$B$1:$AR$166,I19,H19:I20)</f>
        <v>9</v>
      </c>
      <c r="J23" s="18"/>
      <c r="K23" s="103">
        <f>DCOUNTA(SUPPORTO_punti!$B$1:$AR$166,K19,J21:K22)+DCOUNTA(SUPPORTO_punti!$B$1:$AR$166,K19,J19:K20)</f>
        <v>4</v>
      </c>
      <c r="L23" s="18"/>
      <c r="M23" s="103">
        <f>DCOUNTA(SUPPORTO_punti!$B$1:$AR$166,M19,L21:M22)+DCOUNTA(SUPPORTO_punti!$B$1:$AR$166,M19,L19:M20)</f>
        <v>4</v>
      </c>
      <c r="N23" s="18"/>
      <c r="O23" s="103">
        <f>DCOUNTA(SUPPORTO_punti!$B$1:$AR$166,O19,N21:O22)+DCOUNTA(SUPPORTO_punti!$B$1:$AR$166,O19,N19:O20)</f>
        <v>3</v>
      </c>
      <c r="P23"/>
      <c r="Q23" s="103">
        <f>DCOUNTA(SUPPORTO_punti!$B$1:$AR$166,Q19,P21:Q22)+DCOUNTA(SUPPORTO_punti!$B$1:$AR$166,Q19,P19:Q20)</f>
        <v>4</v>
      </c>
      <c r="R23"/>
      <c r="S23" s="103">
        <f>DCOUNTA(SUPPORTO_punti!$B$1:$AR$166,S19,R21:S22)+DCOUNTA(SUPPORTO_punti!$B$1:$AR$166,S19,R19:S20)</f>
        <v>3</v>
      </c>
      <c r="T23"/>
      <c r="U23" s="103">
        <f>DCOUNTA(SUPPORTO_punti!$B$1:$AR$166,U19,T21:U22)+DCOUNTA(SUPPORTO_punti!$B$1:$AR$166,U19,T19:U20)</f>
        <v>10</v>
      </c>
      <c r="V23"/>
      <c r="W23" s="103">
        <f>DCOUNTA(SUPPORTO_punti!$B$1:$AR$166,W19,V21:W22)+DCOUNTA(SUPPORTO_punti!$B$1:$AR$166,W19,V19:W20)</f>
        <v>10</v>
      </c>
      <c r="X23"/>
      <c r="Y23" s="103">
        <f>DCOUNTA(SUPPORTO_punti!$B$1:$AR$166,Y19,X21:Y22)+DCOUNTA(SUPPORTO_punti!$B$1:$AR$166,Y19,X19:Y20)</f>
        <v>0</v>
      </c>
      <c r="Z23"/>
      <c r="AA23" s="103">
        <f>DCOUNTA(SUPPORTO_punti!$B$1:$AR$166,AA19,Z21:AA22)+DCOUNTA(SUPPORTO_punti!$B$1:$AR$166,AA19,Z19:AA20)</f>
        <v>0</v>
      </c>
      <c r="AB23"/>
      <c r="AC23" s="103">
        <f>DCOUNTA(SUPPORTO_punti!$B$1:$AR$166,AC19,AB21:AC22)+DCOUNTA(SUPPORTO_punti!$B$1:$AR$166,AC19,AB19:AC20)</f>
        <v>0</v>
      </c>
      <c r="AD23"/>
      <c r="AE23" s="103">
        <f>DCOUNTA(SUPPORTO_punti!$B$1:$AR$166,AE19,AD21:AE22)+DCOUNTA(SUPPORTO_punti!$B$1:$AR$166,AE19,AD19:AE20)</f>
        <v>0</v>
      </c>
      <c r="AF23"/>
      <c r="AG23" s="103">
        <f>DCOUNTA(SUPPORTO_punti!$B$1:$AR$166,AG19,AF21:AG22)+DCOUNTA(SUPPORTO_punti!$B$1:$AR$166,AG19,AF19:AG20)</f>
        <v>0</v>
      </c>
      <c r="AH23"/>
      <c r="AI23" s="103">
        <f>DCOUNTA(SUPPORTO_punti!$B$1:$AR$166,AI19,AH21:AI22)+DCOUNTA(SUPPORTO_punti!$B$1:$AR$166,AI19,AH19:AI20)</f>
        <v>0</v>
      </c>
      <c r="AJ23"/>
      <c r="AK23" s="103">
        <f>DCOUNTA(SUPPORTO_punti!$B$1:$AR$166,AK19,AJ21:AK22)+DCOUNTA(SUPPORTO_punti!$B$1:$AR$166,AK19,AJ19:AK20)</f>
        <v>0</v>
      </c>
      <c r="AL23"/>
      <c r="AM23" s="103">
        <f>DCOUNTA(SUPPORTO_punti!$B$1:$AR$166,AM19,AL21:AM22)+DCOUNTA(SUPPORTO_punti!$B$1:$AR$166,AM19,AL19:AM20)</f>
        <v>0</v>
      </c>
      <c r="AN23"/>
      <c r="AO23" s="103">
        <f>DCOUNTA(SUPPORTO_punti!$B$1:$AR$166,AO19,AN21:AO22)+DCOUNTA(SUPPORTO_punti!$B$1:$AR$166,AO19,AN19:AO20)</f>
        <v>0</v>
      </c>
    </row>
    <row r="25" spans="1:41" x14ac:dyDescent="0.2">
      <c r="A25" s="215" t="s">
        <v>4</v>
      </c>
      <c r="B25" s="13" t="s">
        <v>55</v>
      </c>
      <c r="C25" s="14" t="s">
        <v>58</v>
      </c>
      <c r="D25" s="13" t="s">
        <v>55</v>
      </c>
      <c r="E25" s="14" t="s">
        <v>60</v>
      </c>
      <c r="F25" s="13" t="s">
        <v>55</v>
      </c>
      <c r="G25" s="14" t="s">
        <v>141</v>
      </c>
      <c r="H25" s="13" t="s">
        <v>55</v>
      </c>
      <c r="I25" s="14" t="s">
        <v>143</v>
      </c>
      <c r="J25" s="13" t="s">
        <v>55</v>
      </c>
      <c r="K25" s="14" t="s">
        <v>145</v>
      </c>
      <c r="L25" s="13" t="s">
        <v>55</v>
      </c>
      <c r="M25" s="14" t="s">
        <v>147</v>
      </c>
      <c r="N25" s="13" t="s">
        <v>55</v>
      </c>
      <c r="O25" s="14" t="s">
        <v>149</v>
      </c>
      <c r="P25" s="13" t="s">
        <v>55</v>
      </c>
      <c r="Q25" s="14" t="s">
        <v>62</v>
      </c>
      <c r="R25" s="13" t="s">
        <v>55</v>
      </c>
      <c r="S25" s="14" t="s">
        <v>64</v>
      </c>
      <c r="T25" s="13" t="s">
        <v>55</v>
      </c>
      <c r="U25" s="14" t="s">
        <v>66</v>
      </c>
      <c r="V25" s="13" t="s">
        <v>55</v>
      </c>
      <c r="W25" s="14" t="s">
        <v>68</v>
      </c>
      <c r="X25" s="13" t="s">
        <v>55</v>
      </c>
      <c r="Y25" s="14" t="s">
        <v>70</v>
      </c>
      <c r="Z25" s="13" t="s">
        <v>55</v>
      </c>
      <c r="AA25" s="14" t="s">
        <v>72</v>
      </c>
      <c r="AB25" s="13" t="s">
        <v>55</v>
      </c>
      <c r="AC25" s="14" t="s">
        <v>74</v>
      </c>
      <c r="AD25" s="13" t="s">
        <v>55</v>
      </c>
      <c r="AE25" s="14" t="s">
        <v>76</v>
      </c>
      <c r="AF25" s="13" t="s">
        <v>55</v>
      </c>
      <c r="AG25" s="14" t="s">
        <v>78</v>
      </c>
      <c r="AH25" s="13" t="s">
        <v>55</v>
      </c>
      <c r="AI25" s="14" t="s">
        <v>80</v>
      </c>
      <c r="AJ25" s="13" t="s">
        <v>55</v>
      </c>
      <c r="AK25" s="14" t="s">
        <v>82</v>
      </c>
      <c r="AL25" s="13" t="s">
        <v>55</v>
      </c>
      <c r="AM25" s="14" t="s">
        <v>84</v>
      </c>
      <c r="AN25" s="13" t="s">
        <v>55</v>
      </c>
      <c r="AO25" s="15" t="s">
        <v>86</v>
      </c>
    </row>
    <row r="26" spans="1:41" x14ac:dyDescent="0.2">
      <c r="A26" s="215"/>
      <c r="B26" s="16" t="s">
        <v>4</v>
      </c>
      <c r="C26" s="10">
        <v>1</v>
      </c>
      <c r="D26" s="16" t="s">
        <v>4</v>
      </c>
      <c r="E26" s="10">
        <v>1</v>
      </c>
      <c r="F26" s="16" t="s">
        <v>4</v>
      </c>
      <c r="G26" s="10">
        <v>1</v>
      </c>
      <c r="H26" s="16" t="s">
        <v>4</v>
      </c>
      <c r="I26" s="10">
        <v>1</v>
      </c>
      <c r="J26" s="16" t="s">
        <v>4</v>
      </c>
      <c r="K26" s="10">
        <v>1</v>
      </c>
      <c r="L26" s="16" t="s">
        <v>4</v>
      </c>
      <c r="M26" s="10">
        <v>1</v>
      </c>
      <c r="N26" s="16" t="s">
        <v>4</v>
      </c>
      <c r="O26" s="10">
        <v>1</v>
      </c>
      <c r="P26" s="16" t="s">
        <v>4</v>
      </c>
      <c r="Q26" s="10">
        <v>1</v>
      </c>
      <c r="R26" s="16" t="s">
        <v>4</v>
      </c>
      <c r="S26" s="10">
        <v>1</v>
      </c>
      <c r="T26" s="16" t="s">
        <v>4</v>
      </c>
      <c r="U26" s="10">
        <v>1</v>
      </c>
      <c r="V26" s="16" t="s">
        <v>4</v>
      </c>
      <c r="W26" s="10">
        <v>1</v>
      </c>
      <c r="X26" s="16" t="s">
        <v>4</v>
      </c>
      <c r="Y26" s="10">
        <v>1</v>
      </c>
      <c r="Z26" s="16" t="s">
        <v>4</v>
      </c>
      <c r="AA26" s="10">
        <v>1</v>
      </c>
      <c r="AB26" s="16" t="s">
        <v>4</v>
      </c>
      <c r="AC26" s="10">
        <v>1</v>
      </c>
      <c r="AD26" s="16" t="s">
        <v>4</v>
      </c>
      <c r="AE26" s="10">
        <v>1</v>
      </c>
      <c r="AF26" s="16" t="s">
        <v>4</v>
      </c>
      <c r="AG26" s="10">
        <v>1</v>
      </c>
      <c r="AH26" s="16" t="s">
        <v>4</v>
      </c>
      <c r="AI26" s="10">
        <v>1</v>
      </c>
      <c r="AJ26" s="16" t="s">
        <v>4</v>
      </c>
      <c r="AK26" s="10">
        <v>1</v>
      </c>
      <c r="AL26" s="16" t="s">
        <v>4</v>
      </c>
      <c r="AM26" s="10">
        <v>1</v>
      </c>
      <c r="AN26" s="16" t="s">
        <v>4</v>
      </c>
      <c r="AO26" s="17">
        <v>1</v>
      </c>
    </row>
    <row r="27" spans="1:41" x14ac:dyDescent="0.2">
      <c r="A27" s="215"/>
      <c r="B27" s="13" t="s">
        <v>56</v>
      </c>
      <c r="C27" s="14" t="s">
        <v>58</v>
      </c>
      <c r="D27" s="13" t="s">
        <v>56</v>
      </c>
      <c r="E27" s="14" t="s">
        <v>60</v>
      </c>
      <c r="F27" s="13" t="s">
        <v>56</v>
      </c>
      <c r="G27" s="14" t="s">
        <v>141</v>
      </c>
      <c r="H27" s="13" t="s">
        <v>56</v>
      </c>
      <c r="I27" s="14" t="s">
        <v>143</v>
      </c>
      <c r="J27" s="13" t="s">
        <v>56</v>
      </c>
      <c r="K27" s="14" t="s">
        <v>145</v>
      </c>
      <c r="L27" s="13" t="s">
        <v>56</v>
      </c>
      <c r="M27" s="14" t="s">
        <v>147</v>
      </c>
      <c r="N27" s="13" t="s">
        <v>56</v>
      </c>
      <c r="O27" s="14" t="s">
        <v>149</v>
      </c>
      <c r="P27" s="13" t="s">
        <v>56</v>
      </c>
      <c r="Q27" s="14" t="s">
        <v>62</v>
      </c>
      <c r="R27" s="13" t="s">
        <v>56</v>
      </c>
      <c r="S27" s="14" t="s">
        <v>64</v>
      </c>
      <c r="T27" s="13" t="s">
        <v>56</v>
      </c>
      <c r="U27" s="14" t="s">
        <v>66</v>
      </c>
      <c r="V27" s="13" t="s">
        <v>56</v>
      </c>
      <c r="W27" s="14" t="s">
        <v>68</v>
      </c>
      <c r="X27" s="13" t="s">
        <v>56</v>
      </c>
      <c r="Y27" s="14" t="s">
        <v>70</v>
      </c>
      <c r="Z27" s="13" t="s">
        <v>56</v>
      </c>
      <c r="AA27" s="14" t="s">
        <v>72</v>
      </c>
      <c r="AB27" s="13" t="s">
        <v>56</v>
      </c>
      <c r="AC27" s="14" t="s">
        <v>74</v>
      </c>
      <c r="AD27" s="13" t="s">
        <v>56</v>
      </c>
      <c r="AE27" s="14" t="s">
        <v>76</v>
      </c>
      <c r="AF27" s="13" t="s">
        <v>56</v>
      </c>
      <c r="AG27" s="14" t="s">
        <v>78</v>
      </c>
      <c r="AH27" s="13" t="s">
        <v>56</v>
      </c>
      <c r="AI27" s="14" t="s">
        <v>80</v>
      </c>
      <c r="AJ27" s="13" t="s">
        <v>56</v>
      </c>
      <c r="AK27" s="14" t="s">
        <v>82</v>
      </c>
      <c r="AL27" s="13" t="s">
        <v>56</v>
      </c>
      <c r="AM27" s="14" t="s">
        <v>84</v>
      </c>
      <c r="AN27" s="13" t="s">
        <v>56</v>
      </c>
      <c r="AO27" s="15" t="s">
        <v>86</v>
      </c>
    </row>
    <row r="28" spans="1:41" x14ac:dyDescent="0.2">
      <c r="A28" s="215"/>
      <c r="B28" s="16" t="s">
        <v>4</v>
      </c>
      <c r="C28" s="10">
        <v>1</v>
      </c>
      <c r="D28" s="16" t="s">
        <v>4</v>
      </c>
      <c r="E28" s="10">
        <v>1</v>
      </c>
      <c r="F28" s="16" t="s">
        <v>4</v>
      </c>
      <c r="G28" s="10">
        <v>1</v>
      </c>
      <c r="H28" s="16" t="s">
        <v>4</v>
      </c>
      <c r="I28" s="10">
        <v>1</v>
      </c>
      <c r="J28" s="16" t="s">
        <v>4</v>
      </c>
      <c r="K28" s="10">
        <v>1</v>
      </c>
      <c r="L28" s="16" t="s">
        <v>4</v>
      </c>
      <c r="M28" s="10">
        <v>1</v>
      </c>
      <c r="N28" s="16" t="s">
        <v>4</v>
      </c>
      <c r="O28" s="10">
        <v>1</v>
      </c>
      <c r="P28" s="16" t="s">
        <v>4</v>
      </c>
      <c r="Q28" s="10">
        <v>1</v>
      </c>
      <c r="R28" s="16" t="s">
        <v>4</v>
      </c>
      <c r="S28" s="10">
        <v>1</v>
      </c>
      <c r="T28" s="16" t="s">
        <v>4</v>
      </c>
      <c r="U28" s="10">
        <v>1</v>
      </c>
      <c r="V28" s="16" t="s">
        <v>4</v>
      </c>
      <c r="W28" s="10">
        <v>1</v>
      </c>
      <c r="X28" s="16" t="s">
        <v>4</v>
      </c>
      <c r="Y28" s="10">
        <v>1</v>
      </c>
      <c r="Z28" s="16" t="s">
        <v>4</v>
      </c>
      <c r="AA28" s="10">
        <v>1</v>
      </c>
      <c r="AB28" s="16" t="s">
        <v>4</v>
      </c>
      <c r="AC28" s="10">
        <v>1</v>
      </c>
      <c r="AD28" s="16" t="s">
        <v>4</v>
      </c>
      <c r="AE28" s="10">
        <v>1</v>
      </c>
      <c r="AF28" s="16" t="s">
        <v>4</v>
      </c>
      <c r="AG28" s="10">
        <v>1</v>
      </c>
      <c r="AH28" s="16" t="s">
        <v>4</v>
      </c>
      <c r="AI28" s="10">
        <v>1</v>
      </c>
      <c r="AJ28" s="16" t="s">
        <v>4</v>
      </c>
      <c r="AK28" s="10">
        <v>1</v>
      </c>
      <c r="AL28" s="16" t="s">
        <v>4</v>
      </c>
      <c r="AM28" s="10">
        <v>1</v>
      </c>
      <c r="AN28" s="16" t="s">
        <v>4</v>
      </c>
      <c r="AO28" s="17">
        <v>1</v>
      </c>
    </row>
    <row r="29" spans="1:41" x14ac:dyDescent="0.2">
      <c r="C29" s="103">
        <f>DCOUNTA(SUPPORTO_punti!$B$1:$AR$166,C25,B27:C28)+DCOUNTA(SUPPORTO_punti!$B$1:$AR$166,C25,B25:C26)</f>
        <v>9</v>
      </c>
      <c r="D29" s="18"/>
      <c r="E29" s="103">
        <f>DCOUNTA(SUPPORTO_punti!$B$1:$AR$166,E25,D27:E28)+DCOUNTA(SUPPORTO_punti!$B$1:$AR$166,E25,D25:E26)</f>
        <v>5</v>
      </c>
      <c r="F29" s="18"/>
      <c r="G29" s="103">
        <f>DCOUNTA(SUPPORTO_punti!$B$1:$AR$166,G25,F27:G28)+DCOUNTA(SUPPORTO_punti!$B$1:$AR$166,G25,F25:G26)</f>
        <v>6</v>
      </c>
      <c r="H29" s="18"/>
      <c r="I29" s="103">
        <f>DCOUNTA(SUPPORTO_punti!$B$1:$AR$166,I25,H27:I28)+DCOUNTA(SUPPORTO_punti!$B$1:$AR$166,I25,H25:I26)</f>
        <v>5</v>
      </c>
      <c r="J29" s="18"/>
      <c r="K29" s="103">
        <f>DCOUNTA(SUPPORTO_punti!$B$1:$AR$166,K25,J27:K28)+DCOUNTA(SUPPORTO_punti!$B$1:$AR$166,K25,J25:K26)</f>
        <v>3</v>
      </c>
      <c r="L29" s="18"/>
      <c r="M29" s="103">
        <f>DCOUNTA(SUPPORTO_punti!$B$1:$AR$166,M25,L27:M28)+DCOUNTA(SUPPORTO_punti!$B$1:$AR$166,M25,L25:M26)</f>
        <v>5</v>
      </c>
      <c r="N29" s="18"/>
      <c r="O29" s="103">
        <f>DCOUNTA(SUPPORTO_punti!$B$1:$AR$166,O25,N27:O28)+DCOUNTA(SUPPORTO_punti!$B$1:$AR$166,O25,N25:O26)</f>
        <v>1</v>
      </c>
      <c r="P29"/>
      <c r="Q29" s="103">
        <f>DCOUNTA(SUPPORTO_punti!$B$1:$AR$166,Q25,P27:Q28)+DCOUNTA(SUPPORTO_punti!$B$1:$AR$166,Q25,P25:Q26)</f>
        <v>6</v>
      </c>
      <c r="R29"/>
      <c r="S29" s="103">
        <f>DCOUNTA(SUPPORTO_punti!$B$1:$AR$166,S25,R27:S28)+DCOUNTA(SUPPORTO_punti!$B$1:$AR$166,S25,R25:S26)</f>
        <v>7</v>
      </c>
      <c r="T29"/>
      <c r="U29" s="103">
        <f>DCOUNTA(SUPPORTO_punti!$B$1:$AR$166,U25,T27:U28)+DCOUNTA(SUPPORTO_punti!$B$1:$AR$166,U25,T25:U26)</f>
        <v>10</v>
      </c>
      <c r="V29"/>
      <c r="W29" s="103">
        <f>DCOUNTA(SUPPORTO_punti!$B$1:$AR$166,W25,V27:W28)+DCOUNTA(SUPPORTO_punti!$B$1:$AR$166,W25,V25:W26)</f>
        <v>8</v>
      </c>
      <c r="X29"/>
      <c r="Y29" s="103">
        <f>DCOUNTA(SUPPORTO_punti!$B$1:$AR$166,Y25,X27:Y28)+DCOUNTA(SUPPORTO_punti!$B$1:$AR$166,Y25,X25:Y26)</f>
        <v>0</v>
      </c>
      <c r="Z29"/>
      <c r="AA29" s="103">
        <f>DCOUNTA(SUPPORTO_punti!$B$1:$AR$166,AA25,Z27:AA28)+DCOUNTA(SUPPORTO_punti!$B$1:$AR$166,AA25,Z25:AA26)</f>
        <v>0</v>
      </c>
      <c r="AB29"/>
      <c r="AC29" s="103">
        <f>DCOUNTA(SUPPORTO_punti!$B$1:$AR$166,AC25,AB27:AC28)+DCOUNTA(SUPPORTO_punti!$B$1:$AR$166,AC25,AB25:AC26)</f>
        <v>0</v>
      </c>
      <c r="AD29"/>
      <c r="AE29" s="103">
        <f>DCOUNTA(SUPPORTO_punti!$B$1:$AR$166,AE25,AD27:AE28)+DCOUNTA(SUPPORTO_punti!$B$1:$AR$166,AE25,AD25:AE26)</f>
        <v>0</v>
      </c>
      <c r="AF29"/>
      <c r="AG29" s="103">
        <f>DCOUNTA(SUPPORTO_punti!$B$1:$AR$166,AG25,AF27:AG28)+DCOUNTA(SUPPORTO_punti!$B$1:$AR$166,AG25,AF25:AG26)</f>
        <v>0</v>
      </c>
      <c r="AH29"/>
      <c r="AI29" s="103">
        <f>DCOUNTA(SUPPORTO_punti!$B$1:$AR$166,AI25,AH27:AI28)+DCOUNTA(SUPPORTO_punti!$B$1:$AR$166,AI25,AH25:AI26)</f>
        <v>0</v>
      </c>
      <c r="AJ29"/>
      <c r="AK29" s="103">
        <f>DCOUNTA(SUPPORTO_punti!$B$1:$AR$166,AK25,AJ27:AK28)+DCOUNTA(SUPPORTO_punti!$B$1:$AR$166,AK25,AJ25:AK26)</f>
        <v>0</v>
      </c>
      <c r="AL29"/>
      <c r="AM29" s="103">
        <f>DCOUNTA(SUPPORTO_punti!$B$1:$AR$166,AM25,AL27:AM28)+DCOUNTA(SUPPORTO_punti!$B$1:$AR$166,AM25,AL25:AM26)</f>
        <v>0</v>
      </c>
      <c r="AN29"/>
      <c r="AO29" s="103">
        <f>DCOUNTA(SUPPORTO_punti!$B$1:$AR$166,AO25,AN27:AO28)+DCOUNTA(SUPPORTO_punti!$B$1:$AR$166,AO25,AN25:AO26)</f>
        <v>0</v>
      </c>
    </row>
    <row r="31" spans="1:41" x14ac:dyDescent="0.2">
      <c r="A31" s="215" t="s">
        <v>5</v>
      </c>
      <c r="B31" s="13" t="s">
        <v>55</v>
      </c>
      <c r="C31" s="14" t="s">
        <v>58</v>
      </c>
      <c r="D31" s="13" t="s">
        <v>55</v>
      </c>
      <c r="E31" s="14" t="s">
        <v>60</v>
      </c>
      <c r="F31" s="13" t="s">
        <v>55</v>
      </c>
      <c r="G31" s="14" t="s">
        <v>141</v>
      </c>
      <c r="H31" s="13" t="s">
        <v>55</v>
      </c>
      <c r="I31" s="14" t="s">
        <v>143</v>
      </c>
      <c r="J31" s="13" t="s">
        <v>55</v>
      </c>
      <c r="K31" s="14" t="s">
        <v>145</v>
      </c>
      <c r="L31" s="13" t="s">
        <v>55</v>
      </c>
      <c r="M31" s="14" t="s">
        <v>147</v>
      </c>
      <c r="N31" s="13" t="s">
        <v>55</v>
      </c>
      <c r="O31" s="14" t="s">
        <v>149</v>
      </c>
      <c r="P31" s="13" t="s">
        <v>55</v>
      </c>
      <c r="Q31" s="14" t="s">
        <v>62</v>
      </c>
      <c r="R31" s="13" t="s">
        <v>55</v>
      </c>
      <c r="S31" s="14" t="s">
        <v>64</v>
      </c>
      <c r="T31" s="13" t="s">
        <v>55</v>
      </c>
      <c r="U31" s="14" t="s">
        <v>66</v>
      </c>
      <c r="V31" s="13" t="s">
        <v>55</v>
      </c>
      <c r="W31" s="14" t="s">
        <v>68</v>
      </c>
      <c r="X31" s="13" t="s">
        <v>55</v>
      </c>
      <c r="Y31" s="14" t="s">
        <v>70</v>
      </c>
      <c r="Z31" s="13" t="s">
        <v>55</v>
      </c>
      <c r="AA31" s="14" t="s">
        <v>72</v>
      </c>
      <c r="AB31" s="13" t="s">
        <v>55</v>
      </c>
      <c r="AC31" s="14" t="s">
        <v>74</v>
      </c>
      <c r="AD31" s="13" t="s">
        <v>55</v>
      </c>
      <c r="AE31" s="14" t="s">
        <v>76</v>
      </c>
      <c r="AF31" s="13" t="s">
        <v>55</v>
      </c>
      <c r="AG31" s="14" t="s">
        <v>78</v>
      </c>
      <c r="AH31" s="13" t="s">
        <v>55</v>
      </c>
      <c r="AI31" s="14" t="s">
        <v>80</v>
      </c>
      <c r="AJ31" s="13" t="s">
        <v>55</v>
      </c>
      <c r="AK31" s="14" t="s">
        <v>82</v>
      </c>
      <c r="AL31" s="13" t="s">
        <v>55</v>
      </c>
      <c r="AM31" s="14" t="s">
        <v>84</v>
      </c>
      <c r="AN31" s="13" t="s">
        <v>55</v>
      </c>
      <c r="AO31" s="15" t="s">
        <v>86</v>
      </c>
    </row>
    <row r="32" spans="1:41" x14ac:dyDescent="0.2">
      <c r="A32" s="215"/>
      <c r="B32" s="16" t="s">
        <v>5</v>
      </c>
      <c r="C32" s="10">
        <v>1</v>
      </c>
      <c r="D32" s="16" t="s">
        <v>5</v>
      </c>
      <c r="E32" s="10">
        <v>1</v>
      </c>
      <c r="F32" s="16" t="s">
        <v>5</v>
      </c>
      <c r="G32" s="10">
        <v>1</v>
      </c>
      <c r="H32" s="16" t="s">
        <v>5</v>
      </c>
      <c r="I32" s="10">
        <v>1</v>
      </c>
      <c r="J32" s="16" t="s">
        <v>5</v>
      </c>
      <c r="K32" s="10">
        <v>1</v>
      </c>
      <c r="L32" s="16" t="s">
        <v>5</v>
      </c>
      <c r="M32" s="10">
        <v>1</v>
      </c>
      <c r="N32" s="16" t="s">
        <v>5</v>
      </c>
      <c r="O32" s="10">
        <v>1</v>
      </c>
      <c r="P32" s="16" t="s">
        <v>5</v>
      </c>
      <c r="Q32" s="10">
        <v>1</v>
      </c>
      <c r="R32" s="16" t="s">
        <v>5</v>
      </c>
      <c r="S32" s="10">
        <v>1</v>
      </c>
      <c r="T32" s="16" t="s">
        <v>5</v>
      </c>
      <c r="U32" s="10">
        <v>1</v>
      </c>
      <c r="V32" s="16" t="s">
        <v>5</v>
      </c>
      <c r="W32" s="10">
        <v>1</v>
      </c>
      <c r="X32" s="16" t="s">
        <v>5</v>
      </c>
      <c r="Y32" s="10">
        <v>1</v>
      </c>
      <c r="Z32" s="16" t="s">
        <v>5</v>
      </c>
      <c r="AA32" s="10">
        <v>1</v>
      </c>
      <c r="AB32" s="16" t="s">
        <v>5</v>
      </c>
      <c r="AC32" s="10">
        <v>1</v>
      </c>
      <c r="AD32" s="16" t="s">
        <v>5</v>
      </c>
      <c r="AE32" s="10">
        <v>1</v>
      </c>
      <c r="AF32" s="16" t="s">
        <v>5</v>
      </c>
      <c r="AG32" s="10">
        <v>1</v>
      </c>
      <c r="AH32" s="16" t="s">
        <v>5</v>
      </c>
      <c r="AI32" s="10">
        <v>1</v>
      </c>
      <c r="AJ32" s="16" t="s">
        <v>5</v>
      </c>
      <c r="AK32" s="10">
        <v>1</v>
      </c>
      <c r="AL32" s="16" t="s">
        <v>5</v>
      </c>
      <c r="AM32" s="10">
        <v>1</v>
      </c>
      <c r="AN32" s="16" t="s">
        <v>5</v>
      </c>
      <c r="AO32" s="17">
        <v>1</v>
      </c>
    </row>
    <row r="33" spans="1:41" x14ac:dyDescent="0.2">
      <c r="A33" s="215"/>
      <c r="B33" s="13" t="s">
        <v>56</v>
      </c>
      <c r="C33" s="14" t="s">
        <v>58</v>
      </c>
      <c r="D33" s="13" t="s">
        <v>56</v>
      </c>
      <c r="E33" s="14" t="s">
        <v>60</v>
      </c>
      <c r="F33" s="13" t="s">
        <v>56</v>
      </c>
      <c r="G33" s="14" t="s">
        <v>141</v>
      </c>
      <c r="H33" s="13" t="s">
        <v>56</v>
      </c>
      <c r="I33" s="14" t="s">
        <v>143</v>
      </c>
      <c r="J33" s="13" t="s">
        <v>56</v>
      </c>
      <c r="K33" s="14" t="s">
        <v>145</v>
      </c>
      <c r="L33" s="13" t="s">
        <v>56</v>
      </c>
      <c r="M33" s="14" t="s">
        <v>147</v>
      </c>
      <c r="N33" s="13" t="s">
        <v>56</v>
      </c>
      <c r="O33" s="14" t="s">
        <v>149</v>
      </c>
      <c r="P33" s="13" t="s">
        <v>56</v>
      </c>
      <c r="Q33" s="14" t="s">
        <v>62</v>
      </c>
      <c r="R33" s="13" t="s">
        <v>56</v>
      </c>
      <c r="S33" s="14" t="s">
        <v>64</v>
      </c>
      <c r="T33" s="13" t="s">
        <v>56</v>
      </c>
      <c r="U33" s="14" t="s">
        <v>66</v>
      </c>
      <c r="V33" s="13" t="s">
        <v>56</v>
      </c>
      <c r="W33" s="14" t="s">
        <v>68</v>
      </c>
      <c r="X33" s="13" t="s">
        <v>56</v>
      </c>
      <c r="Y33" s="14" t="s">
        <v>70</v>
      </c>
      <c r="Z33" s="13" t="s">
        <v>56</v>
      </c>
      <c r="AA33" s="14" t="s">
        <v>72</v>
      </c>
      <c r="AB33" s="13" t="s">
        <v>56</v>
      </c>
      <c r="AC33" s="14" t="s">
        <v>74</v>
      </c>
      <c r="AD33" s="13" t="s">
        <v>56</v>
      </c>
      <c r="AE33" s="14" t="s">
        <v>76</v>
      </c>
      <c r="AF33" s="13" t="s">
        <v>56</v>
      </c>
      <c r="AG33" s="14" t="s">
        <v>78</v>
      </c>
      <c r="AH33" s="13" t="s">
        <v>56</v>
      </c>
      <c r="AI33" s="14" t="s">
        <v>80</v>
      </c>
      <c r="AJ33" s="13" t="s">
        <v>56</v>
      </c>
      <c r="AK33" s="14" t="s">
        <v>82</v>
      </c>
      <c r="AL33" s="13" t="s">
        <v>56</v>
      </c>
      <c r="AM33" s="14" t="s">
        <v>84</v>
      </c>
      <c r="AN33" s="13" t="s">
        <v>56</v>
      </c>
      <c r="AO33" s="15" t="s">
        <v>86</v>
      </c>
    </row>
    <row r="34" spans="1:41" x14ac:dyDescent="0.2">
      <c r="A34" s="215"/>
      <c r="B34" s="16" t="s">
        <v>5</v>
      </c>
      <c r="C34" s="10">
        <v>1</v>
      </c>
      <c r="D34" s="16" t="s">
        <v>5</v>
      </c>
      <c r="E34" s="10">
        <v>1</v>
      </c>
      <c r="F34" s="16" t="s">
        <v>5</v>
      </c>
      <c r="G34" s="10">
        <v>1</v>
      </c>
      <c r="H34" s="16" t="s">
        <v>5</v>
      </c>
      <c r="I34" s="10">
        <v>1</v>
      </c>
      <c r="J34" s="16" t="s">
        <v>5</v>
      </c>
      <c r="K34" s="10">
        <v>1</v>
      </c>
      <c r="L34" s="16" t="s">
        <v>5</v>
      </c>
      <c r="M34" s="10">
        <v>1</v>
      </c>
      <c r="N34" s="16" t="s">
        <v>5</v>
      </c>
      <c r="O34" s="10">
        <v>1</v>
      </c>
      <c r="P34" s="16" t="s">
        <v>5</v>
      </c>
      <c r="Q34" s="10">
        <v>1</v>
      </c>
      <c r="R34" s="16" t="s">
        <v>5</v>
      </c>
      <c r="S34" s="10">
        <v>1</v>
      </c>
      <c r="T34" s="16" t="s">
        <v>5</v>
      </c>
      <c r="U34" s="10">
        <v>1</v>
      </c>
      <c r="V34" s="16" t="s">
        <v>5</v>
      </c>
      <c r="W34" s="10">
        <v>1</v>
      </c>
      <c r="X34" s="16" t="s">
        <v>5</v>
      </c>
      <c r="Y34" s="10">
        <v>1</v>
      </c>
      <c r="Z34" s="16" t="s">
        <v>5</v>
      </c>
      <c r="AA34" s="10">
        <v>1</v>
      </c>
      <c r="AB34" s="16" t="s">
        <v>5</v>
      </c>
      <c r="AC34" s="10">
        <v>1</v>
      </c>
      <c r="AD34" s="16" t="s">
        <v>5</v>
      </c>
      <c r="AE34" s="10">
        <v>1</v>
      </c>
      <c r="AF34" s="16" t="s">
        <v>5</v>
      </c>
      <c r="AG34" s="10">
        <v>1</v>
      </c>
      <c r="AH34" s="16" t="s">
        <v>5</v>
      </c>
      <c r="AI34" s="10">
        <v>1</v>
      </c>
      <c r="AJ34" s="16" t="s">
        <v>5</v>
      </c>
      <c r="AK34" s="10">
        <v>1</v>
      </c>
      <c r="AL34" s="16" t="s">
        <v>5</v>
      </c>
      <c r="AM34" s="10">
        <v>1</v>
      </c>
      <c r="AN34" s="16" t="s">
        <v>5</v>
      </c>
      <c r="AO34" s="17">
        <v>1</v>
      </c>
    </row>
    <row r="35" spans="1:41" x14ac:dyDescent="0.2">
      <c r="C35" s="103">
        <f>DCOUNTA(SUPPORTO_punti!$B$1:$AR$166,C31,B33:C34)+DCOUNTA(SUPPORTO_punti!$B$1:$AR$166,C31,B31:C32)</f>
        <v>8</v>
      </c>
      <c r="D35" s="18"/>
      <c r="E35" s="103">
        <f>DCOUNTA(SUPPORTO_punti!$B$1:$AR$166,E31,D33:E34)+DCOUNTA(SUPPORTO_punti!$B$1:$AR$166,E31,D31:E32)</f>
        <v>4</v>
      </c>
      <c r="F35" s="18"/>
      <c r="G35" s="103">
        <f>DCOUNTA(SUPPORTO_punti!$B$1:$AR$166,G31,F33:G34)+DCOUNTA(SUPPORTO_punti!$B$1:$AR$166,G31,F31:G32)</f>
        <v>3</v>
      </c>
      <c r="H35" s="18"/>
      <c r="I35" s="103">
        <f>DCOUNTA(SUPPORTO_punti!$B$1:$AR$166,I31,H33:I34)+DCOUNTA(SUPPORTO_punti!$B$1:$AR$166,I31,H31:I32)</f>
        <v>9</v>
      </c>
      <c r="J35" s="18"/>
      <c r="K35" s="103">
        <f>DCOUNTA(SUPPORTO_punti!$B$1:$AR$166,K31,J33:K34)+DCOUNTA(SUPPORTO_punti!$B$1:$AR$166,K31,J31:K32)</f>
        <v>5</v>
      </c>
      <c r="L35" s="18"/>
      <c r="M35" s="103">
        <f>DCOUNTA(SUPPORTO_punti!$B$1:$AR$166,M31,L33:M34)+DCOUNTA(SUPPORTO_punti!$B$1:$AR$166,M31,L31:M32)</f>
        <v>5</v>
      </c>
      <c r="N35" s="18"/>
      <c r="O35" s="103">
        <f>DCOUNTA(SUPPORTO_punti!$B$1:$AR$166,O31,N33:O34)+DCOUNTA(SUPPORTO_punti!$B$1:$AR$166,O31,N31:O32)</f>
        <v>2</v>
      </c>
      <c r="P35"/>
      <c r="Q35" s="103">
        <f>DCOUNTA(SUPPORTO_punti!$B$1:$AR$166,Q31,P33:Q34)+DCOUNTA(SUPPORTO_punti!$B$1:$AR$166,Q31,P31:Q32)</f>
        <v>6</v>
      </c>
      <c r="R35"/>
      <c r="S35" s="103">
        <f>DCOUNTA(SUPPORTO_punti!$B$1:$AR$166,S31,R33:S34)+DCOUNTA(SUPPORTO_punti!$B$1:$AR$166,S31,R31:S32)</f>
        <v>3</v>
      </c>
      <c r="T35"/>
      <c r="U35" s="103">
        <f>DCOUNTA(SUPPORTO_punti!$B$1:$AR$166,U31,T33:U34)+DCOUNTA(SUPPORTO_punti!$B$1:$AR$166,U31,T31:U32)</f>
        <v>9</v>
      </c>
      <c r="V35"/>
      <c r="W35" s="103">
        <f>DCOUNTA(SUPPORTO_punti!$B$1:$AR$166,W31,V33:W34)+DCOUNTA(SUPPORTO_punti!$B$1:$AR$166,W31,V31:W32)</f>
        <v>10</v>
      </c>
      <c r="X35"/>
      <c r="Y35" s="103">
        <f>DCOUNTA(SUPPORTO_punti!$B$1:$AR$166,Y31,X33:Y34)+DCOUNTA(SUPPORTO_punti!$B$1:$AR$166,Y31,X31:Y32)</f>
        <v>0</v>
      </c>
      <c r="Z35"/>
      <c r="AA35" s="103">
        <f>DCOUNTA(SUPPORTO_punti!$B$1:$AR$166,AA31,Z33:AA34)+DCOUNTA(SUPPORTO_punti!$B$1:$AR$166,AA31,Z31:AA32)</f>
        <v>0</v>
      </c>
      <c r="AB35"/>
      <c r="AC35" s="103">
        <f>DCOUNTA(SUPPORTO_punti!$B$1:$AR$166,AC31,AB33:AC34)+DCOUNTA(SUPPORTO_punti!$B$1:$AR$166,AC31,AB31:AC32)</f>
        <v>0</v>
      </c>
      <c r="AD35"/>
      <c r="AE35" s="103">
        <f>DCOUNTA(SUPPORTO_punti!$B$1:$AR$166,AE31,AD33:AE34)+DCOUNTA(SUPPORTO_punti!$B$1:$AR$166,AE31,AD31:AE32)</f>
        <v>0</v>
      </c>
      <c r="AF35"/>
      <c r="AG35" s="103">
        <f>DCOUNTA(SUPPORTO_punti!$B$1:$AR$166,AG31,AF33:AG34)+DCOUNTA(SUPPORTO_punti!$B$1:$AR$166,AG31,AF31:AG32)</f>
        <v>0</v>
      </c>
      <c r="AH35"/>
      <c r="AI35" s="103">
        <f>DCOUNTA(SUPPORTO_punti!$B$1:$AR$166,AI31,AH33:AI34)+DCOUNTA(SUPPORTO_punti!$B$1:$AR$166,AI31,AH31:AI32)</f>
        <v>0</v>
      </c>
      <c r="AJ35"/>
      <c r="AK35" s="103">
        <f>DCOUNTA(SUPPORTO_punti!$B$1:$AR$166,AK31,AJ33:AK34)+DCOUNTA(SUPPORTO_punti!$B$1:$AR$166,AK31,AJ31:AK32)</f>
        <v>0</v>
      </c>
      <c r="AL35"/>
      <c r="AM35" s="103">
        <f>DCOUNTA(SUPPORTO_punti!$B$1:$AR$166,AM31,AL33:AM34)+DCOUNTA(SUPPORTO_punti!$B$1:$AR$166,AM31,AL31:AM32)</f>
        <v>0</v>
      </c>
      <c r="AN35"/>
      <c r="AO35" s="103">
        <f>DCOUNTA(SUPPORTO_punti!$B$1:$AR$166,AO31,AN33:AO34)+DCOUNTA(SUPPORTO_punti!$B$1:$AR$166,AO31,AN31:AO32)</f>
        <v>0</v>
      </c>
    </row>
    <row r="37" spans="1:41" x14ac:dyDescent="0.2">
      <c r="A37" s="215" t="s">
        <v>6</v>
      </c>
      <c r="B37" s="13" t="s">
        <v>55</v>
      </c>
      <c r="C37" s="14" t="s">
        <v>58</v>
      </c>
      <c r="D37" s="13" t="s">
        <v>55</v>
      </c>
      <c r="E37" s="14" t="s">
        <v>60</v>
      </c>
      <c r="F37" s="13" t="s">
        <v>55</v>
      </c>
      <c r="G37" s="14" t="s">
        <v>141</v>
      </c>
      <c r="H37" s="13" t="s">
        <v>55</v>
      </c>
      <c r="I37" s="14" t="s">
        <v>143</v>
      </c>
      <c r="J37" s="13" t="s">
        <v>55</v>
      </c>
      <c r="K37" s="14" t="s">
        <v>145</v>
      </c>
      <c r="L37" s="13" t="s">
        <v>55</v>
      </c>
      <c r="M37" s="14" t="s">
        <v>147</v>
      </c>
      <c r="N37" s="13" t="s">
        <v>55</v>
      </c>
      <c r="O37" s="14" t="s">
        <v>149</v>
      </c>
      <c r="P37" s="13" t="s">
        <v>55</v>
      </c>
      <c r="Q37" s="14" t="s">
        <v>62</v>
      </c>
      <c r="R37" s="13" t="s">
        <v>55</v>
      </c>
      <c r="S37" s="14" t="s">
        <v>64</v>
      </c>
      <c r="T37" s="13" t="s">
        <v>55</v>
      </c>
      <c r="U37" s="14" t="s">
        <v>66</v>
      </c>
      <c r="V37" s="13" t="s">
        <v>55</v>
      </c>
      <c r="W37" s="14" t="s">
        <v>68</v>
      </c>
      <c r="X37" s="13" t="s">
        <v>55</v>
      </c>
      <c r="Y37" s="14" t="s">
        <v>70</v>
      </c>
      <c r="Z37" s="13" t="s">
        <v>55</v>
      </c>
      <c r="AA37" s="14" t="s">
        <v>72</v>
      </c>
      <c r="AB37" s="13" t="s">
        <v>55</v>
      </c>
      <c r="AC37" s="14" t="s">
        <v>74</v>
      </c>
      <c r="AD37" s="13" t="s">
        <v>55</v>
      </c>
      <c r="AE37" s="14" t="s">
        <v>76</v>
      </c>
      <c r="AF37" s="13" t="s">
        <v>55</v>
      </c>
      <c r="AG37" s="14" t="s">
        <v>78</v>
      </c>
      <c r="AH37" s="13" t="s">
        <v>55</v>
      </c>
      <c r="AI37" s="14" t="s">
        <v>80</v>
      </c>
      <c r="AJ37" s="13" t="s">
        <v>55</v>
      </c>
      <c r="AK37" s="14" t="s">
        <v>82</v>
      </c>
      <c r="AL37" s="13" t="s">
        <v>55</v>
      </c>
      <c r="AM37" s="14" t="s">
        <v>84</v>
      </c>
      <c r="AN37" s="13" t="s">
        <v>55</v>
      </c>
      <c r="AO37" s="15" t="s">
        <v>86</v>
      </c>
    </row>
    <row r="38" spans="1:41" x14ac:dyDescent="0.2">
      <c r="A38" s="215"/>
      <c r="B38" s="16" t="s">
        <v>6</v>
      </c>
      <c r="C38" s="10">
        <v>1</v>
      </c>
      <c r="D38" s="16" t="s">
        <v>6</v>
      </c>
      <c r="E38" s="10">
        <v>1</v>
      </c>
      <c r="F38" s="16" t="s">
        <v>6</v>
      </c>
      <c r="G38" s="10">
        <v>1</v>
      </c>
      <c r="H38" s="16" t="s">
        <v>6</v>
      </c>
      <c r="I38" s="10">
        <v>1</v>
      </c>
      <c r="J38" s="16" t="s">
        <v>6</v>
      </c>
      <c r="K38" s="10">
        <v>1</v>
      </c>
      <c r="L38" s="16" t="s">
        <v>6</v>
      </c>
      <c r="M38" s="10">
        <v>1</v>
      </c>
      <c r="N38" s="16" t="s">
        <v>6</v>
      </c>
      <c r="O38" s="10">
        <v>1</v>
      </c>
      <c r="P38" s="16" t="s">
        <v>6</v>
      </c>
      <c r="Q38" s="10">
        <v>1</v>
      </c>
      <c r="R38" s="16" t="s">
        <v>6</v>
      </c>
      <c r="S38" s="10">
        <v>1</v>
      </c>
      <c r="T38" s="16" t="s">
        <v>6</v>
      </c>
      <c r="U38" s="10">
        <v>1</v>
      </c>
      <c r="V38" s="16" t="s">
        <v>6</v>
      </c>
      <c r="W38" s="10">
        <v>1</v>
      </c>
      <c r="X38" s="16" t="s">
        <v>6</v>
      </c>
      <c r="Y38" s="10">
        <v>1</v>
      </c>
      <c r="Z38" s="16" t="s">
        <v>6</v>
      </c>
      <c r="AA38" s="10">
        <v>1</v>
      </c>
      <c r="AB38" s="16" t="s">
        <v>6</v>
      </c>
      <c r="AC38" s="10">
        <v>1</v>
      </c>
      <c r="AD38" s="16" t="s">
        <v>6</v>
      </c>
      <c r="AE38" s="10">
        <v>1</v>
      </c>
      <c r="AF38" s="16" t="s">
        <v>6</v>
      </c>
      <c r="AG38" s="10">
        <v>1</v>
      </c>
      <c r="AH38" s="16" t="s">
        <v>6</v>
      </c>
      <c r="AI38" s="10">
        <v>1</v>
      </c>
      <c r="AJ38" s="16" t="s">
        <v>6</v>
      </c>
      <c r="AK38" s="10">
        <v>1</v>
      </c>
      <c r="AL38" s="16" t="s">
        <v>6</v>
      </c>
      <c r="AM38" s="10">
        <v>1</v>
      </c>
      <c r="AN38" s="16" t="s">
        <v>6</v>
      </c>
      <c r="AO38" s="17">
        <v>1</v>
      </c>
    </row>
    <row r="39" spans="1:41" x14ac:dyDescent="0.2">
      <c r="A39" s="215"/>
      <c r="B39" s="13" t="s">
        <v>56</v>
      </c>
      <c r="C39" s="14" t="s">
        <v>58</v>
      </c>
      <c r="D39" s="13" t="s">
        <v>56</v>
      </c>
      <c r="E39" s="14" t="s">
        <v>60</v>
      </c>
      <c r="F39" s="13" t="s">
        <v>56</v>
      </c>
      <c r="G39" s="14" t="s">
        <v>141</v>
      </c>
      <c r="H39" s="13" t="s">
        <v>56</v>
      </c>
      <c r="I39" s="14" t="s">
        <v>143</v>
      </c>
      <c r="J39" s="13" t="s">
        <v>56</v>
      </c>
      <c r="K39" s="14" t="s">
        <v>145</v>
      </c>
      <c r="L39" s="13" t="s">
        <v>56</v>
      </c>
      <c r="M39" s="14" t="s">
        <v>147</v>
      </c>
      <c r="N39" s="13" t="s">
        <v>56</v>
      </c>
      <c r="O39" s="14" t="s">
        <v>149</v>
      </c>
      <c r="P39" s="13" t="s">
        <v>56</v>
      </c>
      <c r="Q39" s="14" t="s">
        <v>62</v>
      </c>
      <c r="R39" s="13" t="s">
        <v>56</v>
      </c>
      <c r="S39" s="14" t="s">
        <v>64</v>
      </c>
      <c r="T39" s="13" t="s">
        <v>56</v>
      </c>
      <c r="U39" s="14" t="s">
        <v>66</v>
      </c>
      <c r="V39" s="13" t="s">
        <v>56</v>
      </c>
      <c r="W39" s="14" t="s">
        <v>68</v>
      </c>
      <c r="X39" s="13" t="s">
        <v>56</v>
      </c>
      <c r="Y39" s="14" t="s">
        <v>70</v>
      </c>
      <c r="Z39" s="13" t="s">
        <v>56</v>
      </c>
      <c r="AA39" s="14" t="s">
        <v>72</v>
      </c>
      <c r="AB39" s="13" t="s">
        <v>56</v>
      </c>
      <c r="AC39" s="14" t="s">
        <v>74</v>
      </c>
      <c r="AD39" s="13" t="s">
        <v>56</v>
      </c>
      <c r="AE39" s="14" t="s">
        <v>76</v>
      </c>
      <c r="AF39" s="13" t="s">
        <v>56</v>
      </c>
      <c r="AG39" s="14" t="s">
        <v>78</v>
      </c>
      <c r="AH39" s="13" t="s">
        <v>56</v>
      </c>
      <c r="AI39" s="14" t="s">
        <v>80</v>
      </c>
      <c r="AJ39" s="13" t="s">
        <v>56</v>
      </c>
      <c r="AK39" s="14" t="s">
        <v>82</v>
      </c>
      <c r="AL39" s="13" t="s">
        <v>56</v>
      </c>
      <c r="AM39" s="14" t="s">
        <v>84</v>
      </c>
      <c r="AN39" s="13" t="s">
        <v>56</v>
      </c>
      <c r="AO39" s="15" t="s">
        <v>86</v>
      </c>
    </row>
    <row r="40" spans="1:41" x14ac:dyDescent="0.2">
      <c r="A40" s="215"/>
      <c r="B40" s="16" t="s">
        <v>6</v>
      </c>
      <c r="C40" s="10">
        <v>1</v>
      </c>
      <c r="D40" s="16" t="s">
        <v>6</v>
      </c>
      <c r="E40" s="10">
        <v>1</v>
      </c>
      <c r="F40" s="16" t="s">
        <v>6</v>
      </c>
      <c r="G40" s="10">
        <v>1</v>
      </c>
      <c r="H40" s="16" t="s">
        <v>6</v>
      </c>
      <c r="I40" s="10">
        <v>1</v>
      </c>
      <c r="J40" s="16" t="s">
        <v>6</v>
      </c>
      <c r="K40" s="10">
        <v>1</v>
      </c>
      <c r="L40" s="16" t="s">
        <v>6</v>
      </c>
      <c r="M40" s="10">
        <v>1</v>
      </c>
      <c r="N40" s="16" t="s">
        <v>6</v>
      </c>
      <c r="O40" s="10">
        <v>1</v>
      </c>
      <c r="P40" s="16" t="s">
        <v>6</v>
      </c>
      <c r="Q40" s="10">
        <v>1</v>
      </c>
      <c r="R40" s="16" t="s">
        <v>6</v>
      </c>
      <c r="S40" s="10">
        <v>1</v>
      </c>
      <c r="T40" s="16" t="s">
        <v>6</v>
      </c>
      <c r="U40" s="10">
        <v>1</v>
      </c>
      <c r="V40" s="16" t="s">
        <v>6</v>
      </c>
      <c r="W40" s="10">
        <v>1</v>
      </c>
      <c r="X40" s="16" t="s">
        <v>6</v>
      </c>
      <c r="Y40" s="10">
        <v>1</v>
      </c>
      <c r="Z40" s="16" t="s">
        <v>6</v>
      </c>
      <c r="AA40" s="10">
        <v>1</v>
      </c>
      <c r="AB40" s="16" t="s">
        <v>6</v>
      </c>
      <c r="AC40" s="10">
        <v>1</v>
      </c>
      <c r="AD40" s="16" t="s">
        <v>6</v>
      </c>
      <c r="AE40" s="10">
        <v>1</v>
      </c>
      <c r="AF40" s="16" t="s">
        <v>6</v>
      </c>
      <c r="AG40" s="10">
        <v>1</v>
      </c>
      <c r="AH40" s="16" t="s">
        <v>6</v>
      </c>
      <c r="AI40" s="10">
        <v>1</v>
      </c>
      <c r="AJ40" s="16" t="s">
        <v>6</v>
      </c>
      <c r="AK40" s="10">
        <v>1</v>
      </c>
      <c r="AL40" s="16" t="s">
        <v>6</v>
      </c>
      <c r="AM40" s="10">
        <v>1</v>
      </c>
      <c r="AN40" s="16" t="s">
        <v>6</v>
      </c>
      <c r="AO40" s="17">
        <v>1</v>
      </c>
    </row>
    <row r="41" spans="1:41" x14ac:dyDescent="0.2">
      <c r="C41" s="103">
        <f>DCOUNTA(SUPPORTO_punti!$B$1:$AR$166,C37,B39:C40)+DCOUNTA(SUPPORTO_punti!$B$1:$AR$166,C37,B37:C38)</f>
        <v>3</v>
      </c>
      <c r="D41" s="18"/>
      <c r="E41" s="103">
        <f>DCOUNTA(SUPPORTO_punti!$B$1:$AR$166,E37,D39:E40)+DCOUNTA(SUPPORTO_punti!$B$1:$AR$166,E37,D37:E38)</f>
        <v>3</v>
      </c>
      <c r="F41" s="18"/>
      <c r="G41" s="103">
        <f>DCOUNTA(SUPPORTO_punti!$B$1:$AR$166,G37,F39:G40)+DCOUNTA(SUPPORTO_punti!$B$1:$AR$166,G37,F37:G38)</f>
        <v>8</v>
      </c>
      <c r="H41" s="18"/>
      <c r="I41" s="103">
        <f>DCOUNTA(SUPPORTO_punti!$B$1:$AR$166,I37,H39:I40)+DCOUNTA(SUPPORTO_punti!$B$1:$AR$166,I37,H37:I38)</f>
        <v>9</v>
      </c>
      <c r="J41" s="18"/>
      <c r="K41" s="103">
        <f>DCOUNTA(SUPPORTO_punti!$B$1:$AR$166,K37,J39:K40)+DCOUNTA(SUPPORTO_punti!$B$1:$AR$166,K37,J37:K38)</f>
        <v>4</v>
      </c>
      <c r="L41" s="18"/>
      <c r="M41" s="103">
        <f>DCOUNTA(SUPPORTO_punti!$B$1:$AR$166,M37,L39:M40)+DCOUNTA(SUPPORTO_punti!$B$1:$AR$166,M37,L37:M38)</f>
        <v>2</v>
      </c>
      <c r="N41" s="18"/>
      <c r="O41" s="103">
        <f>DCOUNTA(SUPPORTO_punti!$B$1:$AR$166,O37,N39:O40)+DCOUNTA(SUPPORTO_punti!$B$1:$AR$166,O37,N37:O38)</f>
        <v>4</v>
      </c>
      <c r="P41"/>
      <c r="Q41" s="103">
        <f>DCOUNTA(SUPPORTO_punti!$B$1:$AR$166,Q37,P39:Q40)+DCOUNTA(SUPPORTO_punti!$B$1:$AR$166,Q37,P37:Q38)</f>
        <v>0</v>
      </c>
      <c r="R41"/>
      <c r="S41" s="103">
        <f>DCOUNTA(SUPPORTO_punti!$B$1:$AR$166,S37,R39:S40)+DCOUNTA(SUPPORTO_punti!$B$1:$AR$166,S37,R37:S38)</f>
        <v>1</v>
      </c>
      <c r="T41"/>
      <c r="U41" s="103">
        <f>DCOUNTA(SUPPORTO_punti!$B$1:$AR$166,U37,T39:U40)+DCOUNTA(SUPPORTO_punti!$B$1:$AR$166,U37,T37:U38)</f>
        <v>6</v>
      </c>
      <c r="V41"/>
      <c r="W41" s="103">
        <f>DCOUNTA(SUPPORTO_punti!$B$1:$AR$166,W37,V39:W40)+DCOUNTA(SUPPORTO_punti!$B$1:$AR$166,W37,V37:W38)</f>
        <v>0</v>
      </c>
      <c r="X41"/>
      <c r="Y41" s="103">
        <f>DCOUNTA(SUPPORTO_punti!$B$1:$AR$166,Y37,X39:Y40)+DCOUNTA(SUPPORTO_punti!$B$1:$AR$166,Y37,X37:Y38)</f>
        <v>0</v>
      </c>
      <c r="Z41"/>
      <c r="AA41" s="103">
        <f>DCOUNTA(SUPPORTO_punti!$B$1:$AR$166,AA37,Z39:AA40)+DCOUNTA(SUPPORTO_punti!$B$1:$AR$166,AA37,Z37:AA38)</f>
        <v>0</v>
      </c>
      <c r="AB41"/>
      <c r="AC41" s="103">
        <f>DCOUNTA(SUPPORTO_punti!$B$1:$AR$166,AC37,AB39:AC40)+DCOUNTA(SUPPORTO_punti!$B$1:$AR$166,AC37,AB37:AC38)</f>
        <v>0</v>
      </c>
      <c r="AD41"/>
      <c r="AE41" s="103">
        <f>DCOUNTA(SUPPORTO_punti!$B$1:$AR$166,AE37,AD39:AE40)+DCOUNTA(SUPPORTO_punti!$B$1:$AR$166,AE37,AD37:AE38)</f>
        <v>0</v>
      </c>
      <c r="AF41"/>
      <c r="AG41" s="103">
        <f>DCOUNTA(SUPPORTO_punti!$B$1:$AR$166,AG37,AF39:AG40)+DCOUNTA(SUPPORTO_punti!$B$1:$AR$166,AG37,AF37:AG38)</f>
        <v>0</v>
      </c>
      <c r="AH41"/>
      <c r="AI41" s="103">
        <f>DCOUNTA(SUPPORTO_punti!$B$1:$AR$166,AI37,AH39:AI40)+DCOUNTA(SUPPORTO_punti!$B$1:$AR$166,AI37,AH37:AI38)</f>
        <v>0</v>
      </c>
      <c r="AJ41"/>
      <c r="AK41" s="103">
        <f>DCOUNTA(SUPPORTO_punti!$B$1:$AR$166,AK37,AJ39:AK40)+DCOUNTA(SUPPORTO_punti!$B$1:$AR$166,AK37,AJ37:AK38)</f>
        <v>0</v>
      </c>
      <c r="AL41"/>
      <c r="AM41" s="103">
        <f>DCOUNTA(SUPPORTO_punti!$B$1:$AR$166,AM37,AL39:AM40)+DCOUNTA(SUPPORTO_punti!$B$1:$AR$166,AM37,AL37:AM38)</f>
        <v>0</v>
      </c>
      <c r="AN41"/>
      <c r="AO41" s="103">
        <f>DCOUNTA(SUPPORTO_punti!$B$1:$AR$166,AO37,AN39:AO40)+DCOUNTA(SUPPORTO_punti!$B$1:$AR$166,AO37,AN37:AO38)</f>
        <v>0</v>
      </c>
    </row>
    <row r="43" spans="1:41" x14ac:dyDescent="0.2">
      <c r="A43" s="215" t="s">
        <v>7</v>
      </c>
      <c r="B43" s="13" t="s">
        <v>55</v>
      </c>
      <c r="C43" s="14" t="s">
        <v>58</v>
      </c>
      <c r="D43" s="13" t="s">
        <v>55</v>
      </c>
      <c r="E43" s="14" t="s">
        <v>60</v>
      </c>
      <c r="F43" s="13" t="s">
        <v>55</v>
      </c>
      <c r="G43" s="14" t="s">
        <v>141</v>
      </c>
      <c r="H43" s="13" t="s">
        <v>55</v>
      </c>
      <c r="I43" s="14" t="s">
        <v>143</v>
      </c>
      <c r="J43" s="13" t="s">
        <v>55</v>
      </c>
      <c r="K43" s="14" t="s">
        <v>145</v>
      </c>
      <c r="L43" s="13" t="s">
        <v>55</v>
      </c>
      <c r="M43" s="14" t="s">
        <v>147</v>
      </c>
      <c r="N43" s="13" t="s">
        <v>55</v>
      </c>
      <c r="O43" s="14" t="s">
        <v>149</v>
      </c>
      <c r="P43" s="13" t="s">
        <v>55</v>
      </c>
      <c r="Q43" s="14" t="s">
        <v>62</v>
      </c>
      <c r="R43" s="13" t="s">
        <v>55</v>
      </c>
      <c r="S43" s="14" t="s">
        <v>64</v>
      </c>
      <c r="T43" s="13" t="s">
        <v>55</v>
      </c>
      <c r="U43" s="14" t="s">
        <v>66</v>
      </c>
      <c r="V43" s="13" t="s">
        <v>55</v>
      </c>
      <c r="W43" s="14" t="s">
        <v>68</v>
      </c>
      <c r="X43" s="13" t="s">
        <v>55</v>
      </c>
      <c r="Y43" s="14" t="s">
        <v>70</v>
      </c>
      <c r="Z43" s="13" t="s">
        <v>55</v>
      </c>
      <c r="AA43" s="14" t="s">
        <v>72</v>
      </c>
      <c r="AB43" s="13" t="s">
        <v>55</v>
      </c>
      <c r="AC43" s="14" t="s">
        <v>74</v>
      </c>
      <c r="AD43" s="13" t="s">
        <v>55</v>
      </c>
      <c r="AE43" s="14" t="s">
        <v>76</v>
      </c>
      <c r="AF43" s="13" t="s">
        <v>55</v>
      </c>
      <c r="AG43" s="14" t="s">
        <v>78</v>
      </c>
      <c r="AH43" s="13" t="s">
        <v>55</v>
      </c>
      <c r="AI43" s="14" t="s">
        <v>80</v>
      </c>
      <c r="AJ43" s="13" t="s">
        <v>55</v>
      </c>
      <c r="AK43" s="14" t="s">
        <v>82</v>
      </c>
      <c r="AL43" s="13" t="s">
        <v>55</v>
      </c>
      <c r="AM43" s="14" t="s">
        <v>84</v>
      </c>
      <c r="AN43" s="13" t="s">
        <v>55</v>
      </c>
      <c r="AO43" s="15" t="s">
        <v>86</v>
      </c>
    </row>
    <row r="44" spans="1:41" x14ac:dyDescent="0.2">
      <c r="A44" s="215"/>
      <c r="B44" s="16" t="s">
        <v>7</v>
      </c>
      <c r="C44" s="10">
        <v>1</v>
      </c>
      <c r="D44" s="16" t="s">
        <v>7</v>
      </c>
      <c r="E44" s="10">
        <v>1</v>
      </c>
      <c r="F44" s="16" t="s">
        <v>7</v>
      </c>
      <c r="G44" s="10">
        <v>1</v>
      </c>
      <c r="H44" s="16" t="s">
        <v>7</v>
      </c>
      <c r="I44" s="10">
        <v>1</v>
      </c>
      <c r="J44" s="16" t="s">
        <v>7</v>
      </c>
      <c r="K44" s="10">
        <v>1</v>
      </c>
      <c r="L44" s="16" t="s">
        <v>7</v>
      </c>
      <c r="M44" s="10">
        <v>1</v>
      </c>
      <c r="N44" s="16" t="s">
        <v>7</v>
      </c>
      <c r="O44" s="10">
        <v>1</v>
      </c>
      <c r="P44" s="16" t="s">
        <v>7</v>
      </c>
      <c r="Q44" s="10">
        <v>1</v>
      </c>
      <c r="R44" s="16" t="s">
        <v>7</v>
      </c>
      <c r="S44" s="10">
        <v>1</v>
      </c>
      <c r="T44" s="16" t="s">
        <v>7</v>
      </c>
      <c r="U44" s="10">
        <v>1</v>
      </c>
      <c r="V44" s="16" t="s">
        <v>7</v>
      </c>
      <c r="W44" s="10">
        <v>1</v>
      </c>
      <c r="X44" s="16" t="s">
        <v>7</v>
      </c>
      <c r="Y44" s="10">
        <v>1</v>
      </c>
      <c r="Z44" s="16" t="s">
        <v>7</v>
      </c>
      <c r="AA44" s="10">
        <v>1</v>
      </c>
      <c r="AB44" s="16" t="s">
        <v>7</v>
      </c>
      <c r="AC44" s="10">
        <v>1</v>
      </c>
      <c r="AD44" s="16" t="s">
        <v>7</v>
      </c>
      <c r="AE44" s="10">
        <v>1</v>
      </c>
      <c r="AF44" s="16" t="s">
        <v>7</v>
      </c>
      <c r="AG44" s="10">
        <v>1</v>
      </c>
      <c r="AH44" s="16" t="s">
        <v>7</v>
      </c>
      <c r="AI44" s="10">
        <v>1</v>
      </c>
      <c r="AJ44" s="16" t="s">
        <v>7</v>
      </c>
      <c r="AK44" s="10">
        <v>1</v>
      </c>
      <c r="AL44" s="16" t="s">
        <v>7</v>
      </c>
      <c r="AM44" s="10">
        <v>1</v>
      </c>
      <c r="AN44" s="16" t="s">
        <v>7</v>
      </c>
      <c r="AO44" s="17">
        <v>1</v>
      </c>
    </row>
    <row r="45" spans="1:41" x14ac:dyDescent="0.2">
      <c r="A45" s="215"/>
      <c r="B45" s="13" t="s">
        <v>56</v>
      </c>
      <c r="C45" s="14" t="s">
        <v>58</v>
      </c>
      <c r="D45" s="13" t="s">
        <v>56</v>
      </c>
      <c r="E45" s="14" t="s">
        <v>60</v>
      </c>
      <c r="F45" s="13" t="s">
        <v>56</v>
      </c>
      <c r="G45" s="14" t="s">
        <v>141</v>
      </c>
      <c r="H45" s="13" t="s">
        <v>56</v>
      </c>
      <c r="I45" s="14" t="s">
        <v>143</v>
      </c>
      <c r="J45" s="13" t="s">
        <v>56</v>
      </c>
      <c r="K45" s="14" t="s">
        <v>145</v>
      </c>
      <c r="L45" s="13" t="s">
        <v>56</v>
      </c>
      <c r="M45" s="14" t="s">
        <v>147</v>
      </c>
      <c r="N45" s="13" t="s">
        <v>56</v>
      </c>
      <c r="O45" s="14" t="s">
        <v>149</v>
      </c>
      <c r="P45" s="13" t="s">
        <v>56</v>
      </c>
      <c r="Q45" s="14" t="s">
        <v>62</v>
      </c>
      <c r="R45" s="13" t="s">
        <v>56</v>
      </c>
      <c r="S45" s="14" t="s">
        <v>64</v>
      </c>
      <c r="T45" s="13" t="s">
        <v>56</v>
      </c>
      <c r="U45" s="14" t="s">
        <v>66</v>
      </c>
      <c r="V45" s="13" t="s">
        <v>56</v>
      </c>
      <c r="W45" s="14" t="s">
        <v>68</v>
      </c>
      <c r="X45" s="13" t="s">
        <v>56</v>
      </c>
      <c r="Y45" s="14" t="s">
        <v>70</v>
      </c>
      <c r="Z45" s="13" t="s">
        <v>56</v>
      </c>
      <c r="AA45" s="14" t="s">
        <v>72</v>
      </c>
      <c r="AB45" s="13" t="s">
        <v>56</v>
      </c>
      <c r="AC45" s="14" t="s">
        <v>74</v>
      </c>
      <c r="AD45" s="13" t="s">
        <v>56</v>
      </c>
      <c r="AE45" s="14" t="s">
        <v>76</v>
      </c>
      <c r="AF45" s="13" t="s">
        <v>56</v>
      </c>
      <c r="AG45" s="14" t="s">
        <v>78</v>
      </c>
      <c r="AH45" s="13" t="s">
        <v>56</v>
      </c>
      <c r="AI45" s="14" t="s">
        <v>80</v>
      </c>
      <c r="AJ45" s="13" t="s">
        <v>56</v>
      </c>
      <c r="AK45" s="14" t="s">
        <v>82</v>
      </c>
      <c r="AL45" s="13" t="s">
        <v>56</v>
      </c>
      <c r="AM45" s="14" t="s">
        <v>84</v>
      </c>
      <c r="AN45" s="13" t="s">
        <v>56</v>
      </c>
      <c r="AO45" s="15" t="s">
        <v>86</v>
      </c>
    </row>
    <row r="46" spans="1:41" x14ac:dyDescent="0.2">
      <c r="A46" s="215"/>
      <c r="B46" s="16" t="s">
        <v>7</v>
      </c>
      <c r="C46" s="10">
        <v>1</v>
      </c>
      <c r="D46" s="16" t="s">
        <v>7</v>
      </c>
      <c r="E46" s="10">
        <v>1</v>
      </c>
      <c r="F46" s="16" t="s">
        <v>7</v>
      </c>
      <c r="G46" s="10">
        <v>1</v>
      </c>
      <c r="H46" s="16" t="s">
        <v>7</v>
      </c>
      <c r="I46" s="10">
        <v>1</v>
      </c>
      <c r="J46" s="16" t="s">
        <v>7</v>
      </c>
      <c r="K46" s="10">
        <v>1</v>
      </c>
      <c r="L46" s="16" t="s">
        <v>7</v>
      </c>
      <c r="M46" s="10">
        <v>1</v>
      </c>
      <c r="N46" s="16" t="s">
        <v>7</v>
      </c>
      <c r="O46" s="10">
        <v>1</v>
      </c>
      <c r="P46" s="16" t="s">
        <v>7</v>
      </c>
      <c r="Q46" s="10">
        <v>1</v>
      </c>
      <c r="R46" s="16" t="s">
        <v>7</v>
      </c>
      <c r="S46" s="10">
        <v>1</v>
      </c>
      <c r="T46" s="16" t="s">
        <v>7</v>
      </c>
      <c r="U46" s="10">
        <v>1</v>
      </c>
      <c r="V46" s="16" t="s">
        <v>7</v>
      </c>
      <c r="W46" s="10">
        <v>1</v>
      </c>
      <c r="X46" s="16" t="s">
        <v>7</v>
      </c>
      <c r="Y46" s="10">
        <v>1</v>
      </c>
      <c r="Z46" s="16" t="s">
        <v>7</v>
      </c>
      <c r="AA46" s="10">
        <v>1</v>
      </c>
      <c r="AB46" s="16" t="s">
        <v>7</v>
      </c>
      <c r="AC46" s="10">
        <v>1</v>
      </c>
      <c r="AD46" s="16" t="s">
        <v>7</v>
      </c>
      <c r="AE46" s="10">
        <v>1</v>
      </c>
      <c r="AF46" s="16" t="s">
        <v>7</v>
      </c>
      <c r="AG46" s="10">
        <v>1</v>
      </c>
      <c r="AH46" s="16" t="s">
        <v>7</v>
      </c>
      <c r="AI46" s="10">
        <v>1</v>
      </c>
      <c r="AJ46" s="16" t="s">
        <v>7</v>
      </c>
      <c r="AK46" s="10">
        <v>1</v>
      </c>
      <c r="AL46" s="16" t="s">
        <v>7</v>
      </c>
      <c r="AM46" s="10">
        <v>1</v>
      </c>
      <c r="AN46" s="16" t="s">
        <v>7</v>
      </c>
      <c r="AO46" s="17">
        <v>1</v>
      </c>
    </row>
    <row r="47" spans="1:41" x14ac:dyDescent="0.2">
      <c r="C47" s="103">
        <f>DCOUNTA(SUPPORTO_punti!$B$1:$AR$166,C43,B45:C46)+DCOUNTA(SUPPORTO_punti!$B$1:$AR$166,C43,B43:C44)</f>
        <v>9</v>
      </c>
      <c r="D47" s="18"/>
      <c r="E47" s="103">
        <f>DCOUNTA(SUPPORTO_punti!$B$1:$AR$166,E43,D45:E46)+DCOUNTA(SUPPORTO_punti!$B$1:$AR$166,E43,D43:E44)</f>
        <v>3</v>
      </c>
      <c r="F47" s="18"/>
      <c r="G47" s="103">
        <f>DCOUNTA(SUPPORTO_punti!$B$1:$AR$166,G43,F45:G46)+DCOUNTA(SUPPORTO_punti!$B$1:$AR$166,G43,F43:G44)</f>
        <v>6</v>
      </c>
      <c r="H47" s="18"/>
      <c r="I47" s="103">
        <f>DCOUNTA(SUPPORTO_punti!$B$1:$AR$166,I43,H45:I46)+DCOUNTA(SUPPORTO_punti!$B$1:$AR$166,I43,H43:I44)</f>
        <v>1</v>
      </c>
      <c r="J47" s="18"/>
      <c r="K47" s="103">
        <f>DCOUNTA(SUPPORTO_punti!$B$1:$AR$166,K43,J45:K46)+DCOUNTA(SUPPORTO_punti!$B$1:$AR$166,K43,J43:K44)</f>
        <v>3</v>
      </c>
      <c r="L47" s="18"/>
      <c r="M47" s="103">
        <f>DCOUNTA(SUPPORTO_punti!$B$1:$AR$166,M43,L45:M46)+DCOUNTA(SUPPORTO_punti!$B$1:$AR$166,M43,L43:M44)</f>
        <v>4</v>
      </c>
      <c r="N47" s="18"/>
      <c r="O47" s="103">
        <f>DCOUNTA(SUPPORTO_punti!$B$1:$AR$166,O43,N45:O46)+DCOUNTA(SUPPORTO_punti!$B$1:$AR$166,O43,N43:O44)</f>
        <v>3</v>
      </c>
      <c r="P47"/>
      <c r="Q47" s="103">
        <f>DCOUNTA(SUPPORTO_punti!$B$1:$AR$166,Q43,P45:Q46)+DCOUNTA(SUPPORTO_punti!$B$1:$AR$166,Q43,P43:Q44)</f>
        <v>8</v>
      </c>
      <c r="R47"/>
      <c r="S47" s="103">
        <f>DCOUNTA(SUPPORTO_punti!$B$1:$AR$166,S43,R45:S46)+DCOUNTA(SUPPORTO_punti!$B$1:$AR$166,S43,R43:S44)</f>
        <v>6</v>
      </c>
      <c r="T47"/>
      <c r="U47" s="103">
        <f>DCOUNTA(SUPPORTO_punti!$B$1:$AR$166,U43,T45:U46)+DCOUNTA(SUPPORTO_punti!$B$1:$AR$166,U43,T43:U44)</f>
        <v>4</v>
      </c>
      <c r="V47"/>
      <c r="W47" s="103">
        <f>DCOUNTA(SUPPORTO_punti!$B$1:$AR$166,W43,V45:W46)+DCOUNTA(SUPPORTO_punti!$B$1:$AR$166,W43,V43:W44)</f>
        <v>11</v>
      </c>
      <c r="X47"/>
      <c r="Y47" s="103">
        <f>DCOUNTA(SUPPORTO_punti!$B$1:$AR$166,Y43,X45:Y46)+DCOUNTA(SUPPORTO_punti!$B$1:$AR$166,Y43,X43:Y44)</f>
        <v>0</v>
      </c>
      <c r="Z47"/>
      <c r="AA47" s="103">
        <f>DCOUNTA(SUPPORTO_punti!$B$1:$AR$166,AA43,Z45:AA46)+DCOUNTA(SUPPORTO_punti!$B$1:$AR$166,AA43,Z43:AA44)</f>
        <v>0</v>
      </c>
      <c r="AB47"/>
      <c r="AC47" s="103">
        <f>DCOUNTA(SUPPORTO_punti!$B$1:$AR$166,AC43,AB45:AC46)+DCOUNTA(SUPPORTO_punti!$B$1:$AR$166,AC43,AB43:AC44)</f>
        <v>0</v>
      </c>
      <c r="AD47"/>
      <c r="AE47" s="103">
        <f>DCOUNTA(SUPPORTO_punti!$B$1:$AR$166,AE43,AD45:AE46)+DCOUNTA(SUPPORTO_punti!$B$1:$AR$166,AE43,AD43:AE44)</f>
        <v>0</v>
      </c>
      <c r="AF47"/>
      <c r="AG47" s="103">
        <f>DCOUNTA(SUPPORTO_punti!$B$1:$AR$166,AG43,AF45:AG46)+DCOUNTA(SUPPORTO_punti!$B$1:$AR$166,AG43,AF43:AG44)</f>
        <v>0</v>
      </c>
      <c r="AH47"/>
      <c r="AI47" s="103">
        <f>DCOUNTA(SUPPORTO_punti!$B$1:$AR$166,AI43,AH45:AI46)+DCOUNTA(SUPPORTO_punti!$B$1:$AR$166,AI43,AH43:AI44)</f>
        <v>0</v>
      </c>
      <c r="AJ47"/>
      <c r="AK47" s="103">
        <f>DCOUNTA(SUPPORTO_punti!$B$1:$AR$166,AK43,AJ45:AK46)+DCOUNTA(SUPPORTO_punti!$B$1:$AR$166,AK43,AJ43:AK44)</f>
        <v>0</v>
      </c>
      <c r="AL47"/>
      <c r="AM47" s="103">
        <f>DCOUNTA(SUPPORTO_punti!$B$1:$AR$166,AM43,AL45:AM46)+DCOUNTA(SUPPORTO_punti!$B$1:$AR$166,AM43,AL43:AM44)</f>
        <v>0</v>
      </c>
      <c r="AN47"/>
      <c r="AO47" s="103">
        <f>DCOUNTA(SUPPORTO_punti!$B$1:$AR$166,AO43,AN45:AO46)+DCOUNTA(SUPPORTO_punti!$B$1:$AR$166,AO43,AN43:AO44)</f>
        <v>0</v>
      </c>
    </row>
    <row r="49" spans="1:41" x14ac:dyDescent="0.2">
      <c r="A49" s="215" t="s">
        <v>8</v>
      </c>
      <c r="B49" s="13" t="s">
        <v>55</v>
      </c>
      <c r="C49" s="14" t="s">
        <v>58</v>
      </c>
      <c r="D49" s="13" t="s">
        <v>55</v>
      </c>
      <c r="E49" s="14" t="s">
        <v>60</v>
      </c>
      <c r="F49" s="13" t="s">
        <v>55</v>
      </c>
      <c r="G49" s="14" t="s">
        <v>141</v>
      </c>
      <c r="H49" s="13" t="s">
        <v>55</v>
      </c>
      <c r="I49" s="14" t="s">
        <v>143</v>
      </c>
      <c r="J49" s="13" t="s">
        <v>55</v>
      </c>
      <c r="K49" s="14" t="s">
        <v>145</v>
      </c>
      <c r="L49" s="13" t="s">
        <v>55</v>
      </c>
      <c r="M49" s="14" t="s">
        <v>147</v>
      </c>
      <c r="N49" s="13" t="s">
        <v>55</v>
      </c>
      <c r="O49" s="14" t="s">
        <v>149</v>
      </c>
      <c r="P49" s="13" t="s">
        <v>55</v>
      </c>
      <c r="Q49" s="14" t="s">
        <v>62</v>
      </c>
      <c r="R49" s="13" t="s">
        <v>55</v>
      </c>
      <c r="S49" s="14" t="s">
        <v>64</v>
      </c>
      <c r="T49" s="13" t="s">
        <v>55</v>
      </c>
      <c r="U49" s="14" t="s">
        <v>66</v>
      </c>
      <c r="V49" s="13" t="s">
        <v>55</v>
      </c>
      <c r="W49" s="14" t="s">
        <v>68</v>
      </c>
      <c r="X49" s="13" t="s">
        <v>55</v>
      </c>
      <c r="Y49" s="14" t="s">
        <v>70</v>
      </c>
      <c r="Z49" s="13" t="s">
        <v>55</v>
      </c>
      <c r="AA49" s="14" t="s">
        <v>72</v>
      </c>
      <c r="AB49" s="13" t="s">
        <v>55</v>
      </c>
      <c r="AC49" s="14" t="s">
        <v>74</v>
      </c>
      <c r="AD49" s="13" t="s">
        <v>55</v>
      </c>
      <c r="AE49" s="14" t="s">
        <v>76</v>
      </c>
      <c r="AF49" s="13" t="s">
        <v>55</v>
      </c>
      <c r="AG49" s="14" t="s">
        <v>78</v>
      </c>
      <c r="AH49" s="13" t="s">
        <v>55</v>
      </c>
      <c r="AI49" s="14" t="s">
        <v>80</v>
      </c>
      <c r="AJ49" s="13" t="s">
        <v>55</v>
      </c>
      <c r="AK49" s="14" t="s">
        <v>82</v>
      </c>
      <c r="AL49" s="13" t="s">
        <v>55</v>
      </c>
      <c r="AM49" s="14" t="s">
        <v>84</v>
      </c>
      <c r="AN49" s="13" t="s">
        <v>55</v>
      </c>
      <c r="AO49" s="15" t="s">
        <v>86</v>
      </c>
    </row>
    <row r="50" spans="1:41" x14ac:dyDescent="0.2">
      <c r="A50" s="215"/>
      <c r="B50" s="16" t="s">
        <v>8</v>
      </c>
      <c r="C50" s="10">
        <v>1</v>
      </c>
      <c r="D50" s="16" t="s">
        <v>8</v>
      </c>
      <c r="E50" s="10">
        <v>1</v>
      </c>
      <c r="F50" s="16" t="s">
        <v>8</v>
      </c>
      <c r="G50" s="10">
        <v>1</v>
      </c>
      <c r="H50" s="16" t="s">
        <v>8</v>
      </c>
      <c r="I50" s="10">
        <v>1</v>
      </c>
      <c r="J50" s="16" t="s">
        <v>8</v>
      </c>
      <c r="K50" s="10">
        <v>1</v>
      </c>
      <c r="L50" s="16" t="s">
        <v>8</v>
      </c>
      <c r="M50" s="10">
        <v>1</v>
      </c>
      <c r="N50" s="16" t="s">
        <v>8</v>
      </c>
      <c r="O50" s="10">
        <v>1</v>
      </c>
      <c r="P50" s="16" t="s">
        <v>8</v>
      </c>
      <c r="Q50" s="10">
        <v>1</v>
      </c>
      <c r="R50" s="16" t="s">
        <v>8</v>
      </c>
      <c r="S50" s="10">
        <v>1</v>
      </c>
      <c r="T50" s="16" t="s">
        <v>8</v>
      </c>
      <c r="U50" s="10">
        <v>1</v>
      </c>
      <c r="V50" s="16" t="s">
        <v>8</v>
      </c>
      <c r="W50" s="10">
        <v>1</v>
      </c>
      <c r="X50" s="16" t="s">
        <v>8</v>
      </c>
      <c r="Y50" s="10">
        <v>1</v>
      </c>
      <c r="Z50" s="16" t="s">
        <v>8</v>
      </c>
      <c r="AA50" s="10">
        <v>1</v>
      </c>
      <c r="AB50" s="16" t="s">
        <v>8</v>
      </c>
      <c r="AC50" s="10">
        <v>1</v>
      </c>
      <c r="AD50" s="16" t="s">
        <v>8</v>
      </c>
      <c r="AE50" s="10">
        <v>1</v>
      </c>
      <c r="AF50" s="16" t="s">
        <v>8</v>
      </c>
      <c r="AG50" s="10">
        <v>1</v>
      </c>
      <c r="AH50" s="16" t="s">
        <v>8</v>
      </c>
      <c r="AI50" s="10">
        <v>1</v>
      </c>
      <c r="AJ50" s="16" t="s">
        <v>8</v>
      </c>
      <c r="AK50" s="10">
        <v>1</v>
      </c>
      <c r="AL50" s="16" t="s">
        <v>8</v>
      </c>
      <c r="AM50" s="10">
        <v>1</v>
      </c>
      <c r="AN50" s="16" t="s">
        <v>8</v>
      </c>
      <c r="AO50" s="17">
        <v>1</v>
      </c>
    </row>
    <row r="51" spans="1:41" x14ac:dyDescent="0.2">
      <c r="A51" s="215"/>
      <c r="B51" s="13" t="s">
        <v>56</v>
      </c>
      <c r="C51" s="14" t="s">
        <v>58</v>
      </c>
      <c r="D51" s="13" t="s">
        <v>56</v>
      </c>
      <c r="E51" s="14" t="s">
        <v>60</v>
      </c>
      <c r="F51" s="13" t="s">
        <v>56</v>
      </c>
      <c r="G51" s="14" t="s">
        <v>141</v>
      </c>
      <c r="H51" s="13" t="s">
        <v>56</v>
      </c>
      <c r="I51" s="14" t="s">
        <v>143</v>
      </c>
      <c r="J51" s="13" t="s">
        <v>56</v>
      </c>
      <c r="K51" s="14" t="s">
        <v>145</v>
      </c>
      <c r="L51" s="13" t="s">
        <v>56</v>
      </c>
      <c r="M51" s="14" t="s">
        <v>147</v>
      </c>
      <c r="N51" s="13" t="s">
        <v>56</v>
      </c>
      <c r="O51" s="14" t="s">
        <v>149</v>
      </c>
      <c r="P51" s="13" t="s">
        <v>56</v>
      </c>
      <c r="Q51" s="14" t="s">
        <v>62</v>
      </c>
      <c r="R51" s="13" t="s">
        <v>56</v>
      </c>
      <c r="S51" s="14" t="s">
        <v>64</v>
      </c>
      <c r="T51" s="13" t="s">
        <v>56</v>
      </c>
      <c r="U51" s="14" t="s">
        <v>66</v>
      </c>
      <c r="V51" s="13" t="s">
        <v>56</v>
      </c>
      <c r="W51" s="14" t="s">
        <v>68</v>
      </c>
      <c r="X51" s="13" t="s">
        <v>56</v>
      </c>
      <c r="Y51" s="14" t="s">
        <v>70</v>
      </c>
      <c r="Z51" s="13" t="s">
        <v>56</v>
      </c>
      <c r="AA51" s="14" t="s">
        <v>72</v>
      </c>
      <c r="AB51" s="13" t="s">
        <v>56</v>
      </c>
      <c r="AC51" s="14" t="s">
        <v>74</v>
      </c>
      <c r="AD51" s="13" t="s">
        <v>56</v>
      </c>
      <c r="AE51" s="14" t="s">
        <v>76</v>
      </c>
      <c r="AF51" s="13" t="s">
        <v>56</v>
      </c>
      <c r="AG51" s="14" t="s">
        <v>78</v>
      </c>
      <c r="AH51" s="13" t="s">
        <v>56</v>
      </c>
      <c r="AI51" s="14" t="s">
        <v>80</v>
      </c>
      <c r="AJ51" s="13" t="s">
        <v>56</v>
      </c>
      <c r="AK51" s="14" t="s">
        <v>82</v>
      </c>
      <c r="AL51" s="13" t="s">
        <v>56</v>
      </c>
      <c r="AM51" s="14" t="s">
        <v>84</v>
      </c>
      <c r="AN51" s="13" t="s">
        <v>56</v>
      </c>
      <c r="AO51" s="15" t="s">
        <v>86</v>
      </c>
    </row>
    <row r="52" spans="1:41" x14ac:dyDescent="0.2">
      <c r="A52" s="215"/>
      <c r="B52" s="16" t="s">
        <v>8</v>
      </c>
      <c r="C52" s="10">
        <v>1</v>
      </c>
      <c r="D52" s="16" t="s">
        <v>8</v>
      </c>
      <c r="E52" s="10">
        <v>1</v>
      </c>
      <c r="F52" s="16" t="s">
        <v>8</v>
      </c>
      <c r="G52" s="10">
        <v>1</v>
      </c>
      <c r="H52" s="16" t="s">
        <v>8</v>
      </c>
      <c r="I52" s="10">
        <v>1</v>
      </c>
      <c r="J52" s="16" t="s">
        <v>8</v>
      </c>
      <c r="K52" s="10">
        <v>1</v>
      </c>
      <c r="L52" s="16" t="s">
        <v>8</v>
      </c>
      <c r="M52" s="10">
        <v>1</v>
      </c>
      <c r="N52" s="16" t="s">
        <v>8</v>
      </c>
      <c r="O52" s="10">
        <v>1</v>
      </c>
      <c r="P52" s="16" t="s">
        <v>8</v>
      </c>
      <c r="Q52" s="10">
        <v>1</v>
      </c>
      <c r="R52" s="16" t="s">
        <v>8</v>
      </c>
      <c r="S52" s="10">
        <v>1</v>
      </c>
      <c r="T52" s="16" t="s">
        <v>8</v>
      </c>
      <c r="U52" s="10">
        <v>1</v>
      </c>
      <c r="V52" s="16" t="s">
        <v>8</v>
      </c>
      <c r="W52" s="10">
        <v>1</v>
      </c>
      <c r="X52" s="16" t="s">
        <v>8</v>
      </c>
      <c r="Y52" s="10">
        <v>1</v>
      </c>
      <c r="Z52" s="16" t="s">
        <v>8</v>
      </c>
      <c r="AA52" s="10">
        <v>1</v>
      </c>
      <c r="AB52" s="16" t="s">
        <v>8</v>
      </c>
      <c r="AC52" s="10">
        <v>1</v>
      </c>
      <c r="AD52" s="16" t="s">
        <v>8</v>
      </c>
      <c r="AE52" s="10">
        <v>1</v>
      </c>
      <c r="AF52" s="16" t="s">
        <v>8</v>
      </c>
      <c r="AG52" s="10">
        <v>1</v>
      </c>
      <c r="AH52" s="16" t="s">
        <v>8</v>
      </c>
      <c r="AI52" s="10">
        <v>1</v>
      </c>
      <c r="AJ52" s="16" t="s">
        <v>8</v>
      </c>
      <c r="AK52" s="10">
        <v>1</v>
      </c>
      <c r="AL52" s="16" t="s">
        <v>8</v>
      </c>
      <c r="AM52" s="10">
        <v>1</v>
      </c>
      <c r="AN52" s="16" t="s">
        <v>8</v>
      </c>
      <c r="AO52" s="17">
        <v>1</v>
      </c>
    </row>
    <row r="53" spans="1:41" x14ac:dyDescent="0.2">
      <c r="C53" s="103">
        <f>DCOUNTA(SUPPORTO_punti!$B$1:$AR$166,C49,B51:C52)+DCOUNTA(SUPPORTO_punti!$B$1:$AR$166,C49,B49:C50)</f>
        <v>7</v>
      </c>
      <c r="D53" s="18"/>
      <c r="E53" s="103">
        <f>DCOUNTA(SUPPORTO_punti!$B$1:$AR$166,E49,D51:E52)+DCOUNTA(SUPPORTO_punti!$B$1:$AR$166,E49,D49:E50)</f>
        <v>5</v>
      </c>
      <c r="F53" s="18"/>
      <c r="G53" s="103">
        <f>DCOUNTA(SUPPORTO_punti!$B$1:$AR$166,G49,F51:G52)+DCOUNTA(SUPPORTO_punti!$B$1:$AR$166,G49,F49:G50)</f>
        <v>8</v>
      </c>
      <c r="H53" s="18"/>
      <c r="I53" s="103">
        <f>DCOUNTA(SUPPORTO_punti!$B$1:$AR$166,I49,H51:I52)+DCOUNTA(SUPPORTO_punti!$B$1:$AR$166,I49,H49:I50)</f>
        <v>10</v>
      </c>
      <c r="J53" s="18"/>
      <c r="K53" s="103">
        <f>DCOUNTA(SUPPORTO_punti!$B$1:$AR$166,K49,J51:K52)+DCOUNTA(SUPPORTO_punti!$B$1:$AR$166,K49,J49:K50)</f>
        <v>5</v>
      </c>
      <c r="L53" s="18"/>
      <c r="M53" s="103">
        <f>DCOUNTA(SUPPORTO_punti!$B$1:$AR$166,M49,L51:M52)+DCOUNTA(SUPPORTO_punti!$B$1:$AR$166,M49,L49:M50)</f>
        <v>7</v>
      </c>
      <c r="N53" s="18"/>
      <c r="O53" s="103">
        <f>DCOUNTA(SUPPORTO_punti!$B$1:$AR$166,O49,N51:O52)+DCOUNTA(SUPPORTO_punti!$B$1:$AR$166,O49,N49:O50)</f>
        <v>8</v>
      </c>
      <c r="P53"/>
      <c r="Q53" s="103">
        <f>DCOUNTA(SUPPORTO_punti!$B$1:$AR$166,Q49,P51:Q52)+DCOUNTA(SUPPORTO_punti!$B$1:$AR$166,Q49,P49:Q50)</f>
        <v>3</v>
      </c>
      <c r="R53"/>
      <c r="S53" s="103">
        <f>DCOUNTA(SUPPORTO_punti!$B$1:$AR$166,S49,R51:S52)+DCOUNTA(SUPPORTO_punti!$B$1:$AR$166,S49,R49:S50)</f>
        <v>1</v>
      </c>
      <c r="T53"/>
      <c r="U53" s="103">
        <f>DCOUNTA(SUPPORTO_punti!$B$1:$AR$166,U49,T51:U52)+DCOUNTA(SUPPORTO_punti!$B$1:$AR$166,U49,T49:U50)</f>
        <v>8</v>
      </c>
      <c r="V53"/>
      <c r="W53" s="103">
        <f>DCOUNTA(SUPPORTO_punti!$B$1:$AR$166,W49,V51:W52)+DCOUNTA(SUPPORTO_punti!$B$1:$AR$166,W49,V49:W50)</f>
        <v>12</v>
      </c>
      <c r="X53"/>
      <c r="Y53" s="103">
        <f>DCOUNTA(SUPPORTO_punti!$B$1:$AR$166,Y49,X51:Y52)+DCOUNTA(SUPPORTO_punti!$B$1:$AR$166,Y49,X49:Y50)</f>
        <v>0</v>
      </c>
      <c r="Z53"/>
      <c r="AA53" s="103">
        <f>DCOUNTA(SUPPORTO_punti!$B$1:$AR$166,AA49,Z51:AA52)+DCOUNTA(SUPPORTO_punti!$B$1:$AR$166,AA49,Z49:AA50)</f>
        <v>0</v>
      </c>
      <c r="AB53"/>
      <c r="AC53" s="103">
        <f>DCOUNTA(SUPPORTO_punti!$B$1:$AR$166,AC49,AB51:AC52)+DCOUNTA(SUPPORTO_punti!$B$1:$AR$166,AC49,AB49:AC50)</f>
        <v>0</v>
      </c>
      <c r="AD53"/>
      <c r="AE53" s="103">
        <f>DCOUNTA(SUPPORTO_punti!$B$1:$AR$166,AE49,AD51:AE52)+DCOUNTA(SUPPORTO_punti!$B$1:$AR$166,AE49,AD49:AE50)</f>
        <v>0</v>
      </c>
      <c r="AF53"/>
      <c r="AG53" s="103">
        <f>DCOUNTA(SUPPORTO_punti!$B$1:$AR$166,AG49,AF51:AG52)+DCOUNTA(SUPPORTO_punti!$B$1:$AR$166,AG49,AF49:AG50)</f>
        <v>0</v>
      </c>
      <c r="AH53"/>
      <c r="AI53" s="103">
        <f>DCOUNTA(SUPPORTO_punti!$B$1:$AR$166,AI49,AH51:AI52)+DCOUNTA(SUPPORTO_punti!$B$1:$AR$166,AI49,AH49:AI50)</f>
        <v>0</v>
      </c>
      <c r="AJ53"/>
      <c r="AK53" s="103">
        <f>DCOUNTA(SUPPORTO_punti!$B$1:$AR$166,AK49,AJ51:AK52)+DCOUNTA(SUPPORTO_punti!$B$1:$AR$166,AK49,AJ49:AK50)</f>
        <v>0</v>
      </c>
      <c r="AL53"/>
      <c r="AM53" s="103">
        <f>DCOUNTA(SUPPORTO_punti!$B$1:$AR$166,AM49,AL51:AM52)+DCOUNTA(SUPPORTO_punti!$B$1:$AR$166,AM49,AL49:AM50)</f>
        <v>0</v>
      </c>
      <c r="AN53"/>
      <c r="AO53" s="103">
        <f>DCOUNTA(SUPPORTO_punti!$B$1:$AR$166,AO49,AN51:AO52)+DCOUNTA(SUPPORTO_punti!$B$1:$AR$166,AO49,AN49:AO50)</f>
        <v>0</v>
      </c>
    </row>
    <row r="55" spans="1:41" x14ac:dyDescent="0.2">
      <c r="A55" s="215" t="s">
        <v>9</v>
      </c>
      <c r="B55" s="13" t="s">
        <v>55</v>
      </c>
      <c r="C55" s="14" t="s">
        <v>58</v>
      </c>
      <c r="D55" s="13" t="s">
        <v>55</v>
      </c>
      <c r="E55" s="14" t="s">
        <v>60</v>
      </c>
      <c r="F55" s="13" t="s">
        <v>55</v>
      </c>
      <c r="G55" s="14" t="s">
        <v>141</v>
      </c>
      <c r="H55" s="13" t="s">
        <v>55</v>
      </c>
      <c r="I55" s="14" t="s">
        <v>143</v>
      </c>
      <c r="J55" s="13" t="s">
        <v>55</v>
      </c>
      <c r="K55" s="14" t="s">
        <v>145</v>
      </c>
      <c r="L55" s="13" t="s">
        <v>55</v>
      </c>
      <c r="M55" s="14" t="s">
        <v>147</v>
      </c>
      <c r="N55" s="13" t="s">
        <v>55</v>
      </c>
      <c r="O55" s="14" t="s">
        <v>149</v>
      </c>
      <c r="P55" s="13" t="s">
        <v>55</v>
      </c>
      <c r="Q55" s="14" t="s">
        <v>62</v>
      </c>
      <c r="R55" s="13" t="s">
        <v>55</v>
      </c>
      <c r="S55" s="14" t="s">
        <v>64</v>
      </c>
      <c r="T55" s="13" t="s">
        <v>55</v>
      </c>
      <c r="U55" s="14" t="s">
        <v>66</v>
      </c>
      <c r="V55" s="13" t="s">
        <v>55</v>
      </c>
      <c r="W55" s="14" t="s">
        <v>68</v>
      </c>
      <c r="X55" s="13" t="s">
        <v>55</v>
      </c>
      <c r="Y55" s="14" t="s">
        <v>70</v>
      </c>
      <c r="Z55" s="13" t="s">
        <v>55</v>
      </c>
      <c r="AA55" s="14" t="s">
        <v>72</v>
      </c>
      <c r="AB55" s="13" t="s">
        <v>55</v>
      </c>
      <c r="AC55" s="14" t="s">
        <v>74</v>
      </c>
      <c r="AD55" s="13" t="s">
        <v>55</v>
      </c>
      <c r="AE55" s="14" t="s">
        <v>76</v>
      </c>
      <c r="AF55" s="13" t="s">
        <v>55</v>
      </c>
      <c r="AG55" s="14" t="s">
        <v>78</v>
      </c>
      <c r="AH55" s="13" t="s">
        <v>55</v>
      </c>
      <c r="AI55" s="14" t="s">
        <v>80</v>
      </c>
      <c r="AJ55" s="13" t="s">
        <v>55</v>
      </c>
      <c r="AK55" s="14" t="s">
        <v>82</v>
      </c>
      <c r="AL55" s="13" t="s">
        <v>55</v>
      </c>
      <c r="AM55" s="14" t="s">
        <v>84</v>
      </c>
      <c r="AN55" s="13" t="s">
        <v>55</v>
      </c>
      <c r="AO55" s="15" t="s">
        <v>86</v>
      </c>
    </row>
    <row r="56" spans="1:41" x14ac:dyDescent="0.2">
      <c r="A56" s="215"/>
      <c r="B56" s="16" t="s">
        <v>9</v>
      </c>
      <c r="C56" s="10">
        <v>1</v>
      </c>
      <c r="D56" s="16" t="s">
        <v>9</v>
      </c>
      <c r="E56" s="10">
        <v>1</v>
      </c>
      <c r="F56" s="16" t="s">
        <v>9</v>
      </c>
      <c r="G56" s="10">
        <v>1</v>
      </c>
      <c r="H56" s="16" t="s">
        <v>9</v>
      </c>
      <c r="I56" s="10">
        <v>1</v>
      </c>
      <c r="J56" s="16" t="s">
        <v>9</v>
      </c>
      <c r="K56" s="10">
        <v>1</v>
      </c>
      <c r="L56" s="16" t="s">
        <v>9</v>
      </c>
      <c r="M56" s="10">
        <v>1</v>
      </c>
      <c r="N56" s="16" t="s">
        <v>9</v>
      </c>
      <c r="O56" s="10">
        <v>1</v>
      </c>
      <c r="P56" s="16" t="s">
        <v>9</v>
      </c>
      <c r="Q56" s="10">
        <v>1</v>
      </c>
      <c r="R56" s="16" t="s">
        <v>9</v>
      </c>
      <c r="S56" s="10">
        <v>1</v>
      </c>
      <c r="T56" s="16" t="s">
        <v>9</v>
      </c>
      <c r="U56" s="10">
        <v>1</v>
      </c>
      <c r="V56" s="16" t="s">
        <v>9</v>
      </c>
      <c r="W56" s="10">
        <v>1</v>
      </c>
      <c r="X56" s="16" t="s">
        <v>9</v>
      </c>
      <c r="Y56" s="10">
        <v>1</v>
      </c>
      <c r="Z56" s="16" t="s">
        <v>9</v>
      </c>
      <c r="AA56" s="10">
        <v>1</v>
      </c>
      <c r="AB56" s="16" t="s">
        <v>9</v>
      </c>
      <c r="AC56" s="10">
        <v>1</v>
      </c>
      <c r="AD56" s="16" t="s">
        <v>9</v>
      </c>
      <c r="AE56" s="10">
        <v>1</v>
      </c>
      <c r="AF56" s="16" t="s">
        <v>9</v>
      </c>
      <c r="AG56" s="10">
        <v>1</v>
      </c>
      <c r="AH56" s="16" t="s">
        <v>9</v>
      </c>
      <c r="AI56" s="10">
        <v>1</v>
      </c>
      <c r="AJ56" s="16" t="s">
        <v>9</v>
      </c>
      <c r="AK56" s="10">
        <v>1</v>
      </c>
      <c r="AL56" s="16" t="s">
        <v>9</v>
      </c>
      <c r="AM56" s="10">
        <v>1</v>
      </c>
      <c r="AN56" s="16" t="s">
        <v>9</v>
      </c>
      <c r="AO56" s="17">
        <v>1</v>
      </c>
    </row>
    <row r="57" spans="1:41" x14ac:dyDescent="0.2">
      <c r="A57" s="215"/>
      <c r="B57" s="13" t="s">
        <v>56</v>
      </c>
      <c r="C57" s="14" t="s">
        <v>58</v>
      </c>
      <c r="D57" s="13" t="s">
        <v>56</v>
      </c>
      <c r="E57" s="14" t="s">
        <v>60</v>
      </c>
      <c r="F57" s="13" t="s">
        <v>56</v>
      </c>
      <c r="G57" s="14" t="s">
        <v>141</v>
      </c>
      <c r="H57" s="13" t="s">
        <v>56</v>
      </c>
      <c r="I57" s="14" t="s">
        <v>143</v>
      </c>
      <c r="J57" s="13" t="s">
        <v>56</v>
      </c>
      <c r="K57" s="14" t="s">
        <v>145</v>
      </c>
      <c r="L57" s="13" t="s">
        <v>56</v>
      </c>
      <c r="M57" s="14" t="s">
        <v>147</v>
      </c>
      <c r="N57" s="13" t="s">
        <v>56</v>
      </c>
      <c r="O57" s="14" t="s">
        <v>149</v>
      </c>
      <c r="P57" s="13" t="s">
        <v>56</v>
      </c>
      <c r="Q57" s="14" t="s">
        <v>62</v>
      </c>
      <c r="R57" s="13" t="s">
        <v>56</v>
      </c>
      <c r="S57" s="14" t="s">
        <v>64</v>
      </c>
      <c r="T57" s="13" t="s">
        <v>56</v>
      </c>
      <c r="U57" s="14" t="s">
        <v>66</v>
      </c>
      <c r="V57" s="13" t="s">
        <v>56</v>
      </c>
      <c r="W57" s="14" t="s">
        <v>68</v>
      </c>
      <c r="X57" s="13" t="s">
        <v>56</v>
      </c>
      <c r="Y57" s="14" t="s">
        <v>70</v>
      </c>
      <c r="Z57" s="13" t="s">
        <v>56</v>
      </c>
      <c r="AA57" s="14" t="s">
        <v>72</v>
      </c>
      <c r="AB57" s="13" t="s">
        <v>56</v>
      </c>
      <c r="AC57" s="14" t="s">
        <v>74</v>
      </c>
      <c r="AD57" s="13" t="s">
        <v>56</v>
      </c>
      <c r="AE57" s="14" t="s">
        <v>76</v>
      </c>
      <c r="AF57" s="13" t="s">
        <v>56</v>
      </c>
      <c r="AG57" s="14" t="s">
        <v>78</v>
      </c>
      <c r="AH57" s="13" t="s">
        <v>56</v>
      </c>
      <c r="AI57" s="14" t="s">
        <v>80</v>
      </c>
      <c r="AJ57" s="13" t="s">
        <v>56</v>
      </c>
      <c r="AK57" s="14" t="s">
        <v>82</v>
      </c>
      <c r="AL57" s="13" t="s">
        <v>56</v>
      </c>
      <c r="AM57" s="14" t="s">
        <v>84</v>
      </c>
      <c r="AN57" s="13" t="s">
        <v>56</v>
      </c>
      <c r="AO57" s="15" t="s">
        <v>86</v>
      </c>
    </row>
    <row r="58" spans="1:41" x14ac:dyDescent="0.2">
      <c r="A58" s="215"/>
      <c r="B58" s="16" t="s">
        <v>9</v>
      </c>
      <c r="C58" s="10">
        <v>1</v>
      </c>
      <c r="D58" s="16" t="s">
        <v>9</v>
      </c>
      <c r="E58" s="10">
        <v>1</v>
      </c>
      <c r="F58" s="16" t="s">
        <v>9</v>
      </c>
      <c r="G58" s="10">
        <v>1</v>
      </c>
      <c r="H58" s="16" t="s">
        <v>9</v>
      </c>
      <c r="I58" s="10">
        <v>1</v>
      </c>
      <c r="J58" s="16" t="s">
        <v>9</v>
      </c>
      <c r="K58" s="10">
        <v>1</v>
      </c>
      <c r="L58" s="16" t="s">
        <v>9</v>
      </c>
      <c r="M58" s="10">
        <v>1</v>
      </c>
      <c r="N58" s="16" t="s">
        <v>9</v>
      </c>
      <c r="O58" s="10">
        <v>1</v>
      </c>
      <c r="P58" s="16" t="s">
        <v>9</v>
      </c>
      <c r="Q58" s="10">
        <v>1</v>
      </c>
      <c r="R58" s="16" t="s">
        <v>9</v>
      </c>
      <c r="S58" s="10">
        <v>1</v>
      </c>
      <c r="T58" s="16" t="s">
        <v>9</v>
      </c>
      <c r="U58" s="10">
        <v>1</v>
      </c>
      <c r="V58" s="16" t="s">
        <v>9</v>
      </c>
      <c r="W58" s="10">
        <v>1</v>
      </c>
      <c r="X58" s="16" t="s">
        <v>9</v>
      </c>
      <c r="Y58" s="10">
        <v>1</v>
      </c>
      <c r="Z58" s="16" t="s">
        <v>9</v>
      </c>
      <c r="AA58" s="10">
        <v>1</v>
      </c>
      <c r="AB58" s="16" t="s">
        <v>9</v>
      </c>
      <c r="AC58" s="10">
        <v>1</v>
      </c>
      <c r="AD58" s="16" t="s">
        <v>9</v>
      </c>
      <c r="AE58" s="10">
        <v>1</v>
      </c>
      <c r="AF58" s="16" t="s">
        <v>9</v>
      </c>
      <c r="AG58" s="10">
        <v>1</v>
      </c>
      <c r="AH58" s="16" t="s">
        <v>9</v>
      </c>
      <c r="AI58" s="10">
        <v>1</v>
      </c>
      <c r="AJ58" s="16" t="s">
        <v>9</v>
      </c>
      <c r="AK58" s="10">
        <v>1</v>
      </c>
      <c r="AL58" s="16" t="s">
        <v>9</v>
      </c>
      <c r="AM58" s="10">
        <v>1</v>
      </c>
      <c r="AN58" s="16" t="s">
        <v>9</v>
      </c>
      <c r="AO58" s="17">
        <v>1</v>
      </c>
    </row>
    <row r="59" spans="1:41" x14ac:dyDescent="0.2">
      <c r="C59" s="103">
        <f>DCOUNTA(SUPPORTO_punti!$B$1:$AR$166,C55,B57:C58)+DCOUNTA(SUPPORTO_punti!$B$1:$AR$166,C55,B55:C56)</f>
        <v>2</v>
      </c>
      <c r="D59" s="18"/>
      <c r="E59" s="103">
        <f>DCOUNTA(SUPPORTO_punti!$B$1:$AR$166,E55,D57:E58)+DCOUNTA(SUPPORTO_punti!$B$1:$AR$166,E55,D55:E56)</f>
        <v>4</v>
      </c>
      <c r="F59" s="18"/>
      <c r="G59" s="103">
        <f>DCOUNTA(SUPPORTO_punti!$B$1:$AR$166,G55,F57:G58)+DCOUNTA(SUPPORTO_punti!$B$1:$AR$166,G55,F55:G56)</f>
        <v>5</v>
      </c>
      <c r="H59" s="18"/>
      <c r="I59" s="103">
        <f>DCOUNTA(SUPPORTO_punti!$B$1:$AR$166,I55,H57:I58)+DCOUNTA(SUPPORTO_punti!$B$1:$AR$166,I55,H55:I56)</f>
        <v>1</v>
      </c>
      <c r="J59" s="18"/>
      <c r="K59" s="103">
        <f>DCOUNTA(SUPPORTO_punti!$B$1:$AR$166,K55,J57:K58)+DCOUNTA(SUPPORTO_punti!$B$1:$AR$166,K55,J55:K56)</f>
        <v>2</v>
      </c>
      <c r="L59" s="18"/>
      <c r="M59" s="103">
        <f>DCOUNTA(SUPPORTO_punti!$B$1:$AR$166,M55,L57:M58)+DCOUNTA(SUPPORTO_punti!$B$1:$AR$166,M55,L55:M56)</f>
        <v>6</v>
      </c>
      <c r="N59" s="18"/>
      <c r="O59" s="103">
        <f>DCOUNTA(SUPPORTO_punti!$B$1:$AR$166,O55,N57:O58)+DCOUNTA(SUPPORTO_punti!$B$1:$AR$166,O55,N55:O56)</f>
        <v>9</v>
      </c>
      <c r="P59"/>
      <c r="Q59" s="103">
        <f>DCOUNTA(SUPPORTO_punti!$B$1:$AR$166,Q55,P57:Q58)+DCOUNTA(SUPPORTO_punti!$B$1:$AR$166,Q55,P55:Q56)</f>
        <v>6</v>
      </c>
      <c r="R59"/>
      <c r="S59" s="103">
        <f>DCOUNTA(SUPPORTO_punti!$B$1:$AR$166,S55,R57:S58)+DCOUNTA(SUPPORTO_punti!$B$1:$AR$166,S55,R55:S56)</f>
        <v>6</v>
      </c>
      <c r="T59"/>
      <c r="U59" s="103">
        <f>DCOUNTA(SUPPORTO_punti!$B$1:$AR$166,U55,T57:U58)+DCOUNTA(SUPPORTO_punti!$B$1:$AR$166,U55,T55:U56)</f>
        <v>8</v>
      </c>
      <c r="V59"/>
      <c r="W59" s="103">
        <f>DCOUNTA(SUPPORTO_punti!$B$1:$AR$166,W55,V57:W58)+DCOUNTA(SUPPORTO_punti!$B$1:$AR$166,W55,V55:W56)</f>
        <v>5</v>
      </c>
      <c r="X59"/>
      <c r="Y59" s="103">
        <f>DCOUNTA(SUPPORTO_punti!$B$1:$AR$166,Y55,X57:Y58)+DCOUNTA(SUPPORTO_punti!$B$1:$AR$166,Y55,X55:Y56)</f>
        <v>0</v>
      </c>
      <c r="Z59"/>
      <c r="AA59" s="103">
        <f>DCOUNTA(SUPPORTO_punti!$B$1:$AR$166,AA55,Z57:AA58)+DCOUNTA(SUPPORTO_punti!$B$1:$AR$166,AA55,Z55:AA56)</f>
        <v>0</v>
      </c>
      <c r="AB59"/>
      <c r="AC59" s="103">
        <f>DCOUNTA(SUPPORTO_punti!$B$1:$AR$166,AC55,AB57:AC58)+DCOUNTA(SUPPORTO_punti!$B$1:$AR$166,AC55,AB55:AC56)</f>
        <v>0</v>
      </c>
      <c r="AD59"/>
      <c r="AE59" s="103">
        <f>DCOUNTA(SUPPORTO_punti!$B$1:$AR$166,AE55,AD57:AE58)+DCOUNTA(SUPPORTO_punti!$B$1:$AR$166,AE55,AD55:AE56)</f>
        <v>0</v>
      </c>
      <c r="AF59"/>
      <c r="AG59" s="103">
        <f>DCOUNTA(SUPPORTO_punti!$B$1:$AR$166,AG55,AF57:AG58)+DCOUNTA(SUPPORTO_punti!$B$1:$AR$166,AG55,AF55:AG56)</f>
        <v>0</v>
      </c>
      <c r="AH59"/>
      <c r="AI59" s="103">
        <f>DCOUNTA(SUPPORTO_punti!$B$1:$AR$166,AI55,AH57:AI58)+DCOUNTA(SUPPORTO_punti!$B$1:$AR$166,AI55,AH55:AI56)</f>
        <v>0</v>
      </c>
      <c r="AJ59"/>
      <c r="AK59" s="103">
        <f>DCOUNTA(SUPPORTO_punti!$B$1:$AR$166,AK55,AJ57:AK58)+DCOUNTA(SUPPORTO_punti!$B$1:$AR$166,AK55,AJ55:AK56)</f>
        <v>0</v>
      </c>
      <c r="AL59"/>
      <c r="AM59" s="103">
        <f>DCOUNTA(SUPPORTO_punti!$B$1:$AR$166,AM55,AL57:AM58)+DCOUNTA(SUPPORTO_punti!$B$1:$AR$166,AM55,AL55:AM56)</f>
        <v>0</v>
      </c>
      <c r="AN59"/>
      <c r="AO59" s="103">
        <f>DCOUNTA(SUPPORTO_punti!$B$1:$AR$166,AO55,AN57:AO58)+DCOUNTA(SUPPORTO_punti!$B$1:$AR$166,AO55,AN55:AO56)</f>
        <v>0</v>
      </c>
    </row>
    <row r="61" spans="1:41" x14ac:dyDescent="0.2">
      <c r="A61" s="215" t="s">
        <v>156</v>
      </c>
      <c r="B61" s="13" t="s">
        <v>55</v>
      </c>
      <c r="C61" s="14" t="s">
        <v>58</v>
      </c>
      <c r="D61" s="13" t="s">
        <v>55</v>
      </c>
      <c r="E61" s="14" t="s">
        <v>60</v>
      </c>
      <c r="F61" s="13" t="s">
        <v>55</v>
      </c>
      <c r="G61" s="14" t="s">
        <v>141</v>
      </c>
      <c r="H61" s="13" t="s">
        <v>55</v>
      </c>
      <c r="I61" s="14" t="s">
        <v>143</v>
      </c>
      <c r="J61" s="13" t="s">
        <v>55</v>
      </c>
      <c r="K61" s="14" t="s">
        <v>145</v>
      </c>
      <c r="L61" s="13" t="s">
        <v>55</v>
      </c>
      <c r="M61" s="14" t="s">
        <v>147</v>
      </c>
      <c r="N61" s="13" t="s">
        <v>55</v>
      </c>
      <c r="O61" s="14" t="s">
        <v>149</v>
      </c>
      <c r="P61" s="13" t="s">
        <v>55</v>
      </c>
      <c r="Q61" s="14" t="s">
        <v>62</v>
      </c>
      <c r="R61" s="13" t="s">
        <v>55</v>
      </c>
      <c r="S61" s="14" t="s">
        <v>64</v>
      </c>
      <c r="T61" s="13" t="s">
        <v>55</v>
      </c>
      <c r="U61" s="14" t="s">
        <v>66</v>
      </c>
      <c r="V61" s="13" t="s">
        <v>55</v>
      </c>
      <c r="W61" s="14" t="s">
        <v>68</v>
      </c>
      <c r="X61" s="13" t="s">
        <v>55</v>
      </c>
      <c r="Y61" s="14" t="s">
        <v>70</v>
      </c>
      <c r="Z61" s="13" t="s">
        <v>55</v>
      </c>
      <c r="AA61" s="14" t="s">
        <v>72</v>
      </c>
      <c r="AB61" s="13" t="s">
        <v>55</v>
      </c>
      <c r="AC61" s="14" t="s">
        <v>74</v>
      </c>
      <c r="AD61" s="13" t="s">
        <v>55</v>
      </c>
      <c r="AE61" s="14" t="s">
        <v>76</v>
      </c>
      <c r="AF61" s="13" t="s">
        <v>55</v>
      </c>
      <c r="AG61" s="14" t="s">
        <v>78</v>
      </c>
      <c r="AH61" s="13" t="s">
        <v>55</v>
      </c>
      <c r="AI61" s="14" t="s">
        <v>80</v>
      </c>
      <c r="AJ61" s="13" t="s">
        <v>55</v>
      </c>
      <c r="AK61" s="14" t="s">
        <v>82</v>
      </c>
      <c r="AL61" s="13" t="s">
        <v>55</v>
      </c>
      <c r="AM61" s="14" t="s">
        <v>84</v>
      </c>
      <c r="AN61" s="13" t="s">
        <v>55</v>
      </c>
      <c r="AO61" s="15" t="s">
        <v>86</v>
      </c>
    </row>
    <row r="62" spans="1:41" x14ac:dyDescent="0.2">
      <c r="A62" s="215"/>
      <c r="B62" s="16" t="s">
        <v>156</v>
      </c>
      <c r="C62" s="10">
        <v>1</v>
      </c>
      <c r="D62" s="16" t="s">
        <v>156</v>
      </c>
      <c r="E62" s="10">
        <v>1</v>
      </c>
      <c r="F62" s="16" t="s">
        <v>156</v>
      </c>
      <c r="G62" s="10">
        <v>1</v>
      </c>
      <c r="H62" s="16" t="s">
        <v>156</v>
      </c>
      <c r="I62" s="10">
        <v>1</v>
      </c>
      <c r="J62" s="16" t="s">
        <v>156</v>
      </c>
      <c r="K62" s="10">
        <v>1</v>
      </c>
      <c r="L62" s="16" t="s">
        <v>156</v>
      </c>
      <c r="M62" s="10">
        <v>1</v>
      </c>
      <c r="N62" s="16" t="s">
        <v>156</v>
      </c>
      <c r="O62" s="10">
        <v>1</v>
      </c>
      <c r="P62" s="16" t="s">
        <v>156</v>
      </c>
      <c r="Q62" s="10">
        <v>1</v>
      </c>
      <c r="R62" s="16" t="s">
        <v>156</v>
      </c>
      <c r="S62" s="10">
        <v>1</v>
      </c>
      <c r="T62" s="16" t="s">
        <v>156</v>
      </c>
      <c r="U62" s="10">
        <v>1</v>
      </c>
      <c r="V62" s="16" t="s">
        <v>156</v>
      </c>
      <c r="W62" s="10">
        <v>1</v>
      </c>
      <c r="X62" s="16" t="s">
        <v>156</v>
      </c>
      <c r="Y62" s="10">
        <v>1</v>
      </c>
      <c r="Z62" s="16" t="s">
        <v>156</v>
      </c>
      <c r="AA62" s="10">
        <v>1</v>
      </c>
      <c r="AB62" s="16" t="s">
        <v>156</v>
      </c>
      <c r="AC62" s="10">
        <v>1</v>
      </c>
      <c r="AD62" s="16" t="s">
        <v>156</v>
      </c>
      <c r="AE62" s="10">
        <v>1</v>
      </c>
      <c r="AF62" s="16" t="s">
        <v>156</v>
      </c>
      <c r="AG62" s="10">
        <v>1</v>
      </c>
      <c r="AH62" s="16" t="s">
        <v>156</v>
      </c>
      <c r="AI62" s="10">
        <v>1</v>
      </c>
      <c r="AJ62" s="16" t="s">
        <v>156</v>
      </c>
      <c r="AK62" s="10">
        <v>1</v>
      </c>
      <c r="AL62" s="16" t="s">
        <v>156</v>
      </c>
      <c r="AM62" s="10">
        <v>1</v>
      </c>
      <c r="AN62" s="16" t="s">
        <v>156</v>
      </c>
      <c r="AO62" s="17">
        <v>1</v>
      </c>
    </row>
    <row r="63" spans="1:41" x14ac:dyDescent="0.2">
      <c r="A63" s="215"/>
      <c r="B63" s="13" t="s">
        <v>56</v>
      </c>
      <c r="C63" s="14" t="s">
        <v>58</v>
      </c>
      <c r="D63" s="13" t="s">
        <v>56</v>
      </c>
      <c r="E63" s="14" t="s">
        <v>60</v>
      </c>
      <c r="F63" s="13" t="s">
        <v>56</v>
      </c>
      <c r="G63" s="14" t="s">
        <v>141</v>
      </c>
      <c r="H63" s="13" t="s">
        <v>56</v>
      </c>
      <c r="I63" s="14" t="s">
        <v>143</v>
      </c>
      <c r="J63" s="13" t="s">
        <v>56</v>
      </c>
      <c r="K63" s="14" t="s">
        <v>145</v>
      </c>
      <c r="L63" s="13" t="s">
        <v>56</v>
      </c>
      <c r="M63" s="14" t="s">
        <v>147</v>
      </c>
      <c r="N63" s="13" t="s">
        <v>56</v>
      </c>
      <c r="O63" s="14" t="s">
        <v>149</v>
      </c>
      <c r="P63" s="13" t="s">
        <v>56</v>
      </c>
      <c r="Q63" s="14" t="s">
        <v>62</v>
      </c>
      <c r="R63" s="13" t="s">
        <v>56</v>
      </c>
      <c r="S63" s="14" t="s">
        <v>64</v>
      </c>
      <c r="T63" s="13" t="s">
        <v>56</v>
      </c>
      <c r="U63" s="14" t="s">
        <v>66</v>
      </c>
      <c r="V63" s="13" t="s">
        <v>56</v>
      </c>
      <c r="W63" s="14" t="s">
        <v>68</v>
      </c>
      <c r="X63" s="13" t="s">
        <v>56</v>
      </c>
      <c r="Y63" s="14" t="s">
        <v>70</v>
      </c>
      <c r="Z63" s="13" t="s">
        <v>56</v>
      </c>
      <c r="AA63" s="14" t="s">
        <v>72</v>
      </c>
      <c r="AB63" s="13" t="s">
        <v>56</v>
      </c>
      <c r="AC63" s="14" t="s">
        <v>74</v>
      </c>
      <c r="AD63" s="13" t="s">
        <v>56</v>
      </c>
      <c r="AE63" s="14" t="s">
        <v>76</v>
      </c>
      <c r="AF63" s="13" t="s">
        <v>56</v>
      </c>
      <c r="AG63" s="14" t="s">
        <v>78</v>
      </c>
      <c r="AH63" s="13" t="s">
        <v>56</v>
      </c>
      <c r="AI63" s="14" t="s">
        <v>80</v>
      </c>
      <c r="AJ63" s="13" t="s">
        <v>56</v>
      </c>
      <c r="AK63" s="14" t="s">
        <v>82</v>
      </c>
      <c r="AL63" s="13" t="s">
        <v>56</v>
      </c>
      <c r="AM63" s="14" t="s">
        <v>84</v>
      </c>
      <c r="AN63" s="13" t="s">
        <v>56</v>
      </c>
      <c r="AO63" s="15" t="s">
        <v>86</v>
      </c>
    </row>
    <row r="64" spans="1:41" x14ac:dyDescent="0.2">
      <c r="A64" s="215"/>
      <c r="B64" s="16" t="s">
        <v>156</v>
      </c>
      <c r="C64" s="10">
        <v>1</v>
      </c>
      <c r="D64" s="16" t="s">
        <v>156</v>
      </c>
      <c r="E64" s="10">
        <v>1</v>
      </c>
      <c r="F64" s="16" t="s">
        <v>156</v>
      </c>
      <c r="G64" s="10">
        <v>1</v>
      </c>
      <c r="H64" s="16" t="s">
        <v>156</v>
      </c>
      <c r="I64" s="10">
        <v>1</v>
      </c>
      <c r="J64" s="16" t="s">
        <v>156</v>
      </c>
      <c r="K64" s="10">
        <v>1</v>
      </c>
      <c r="L64" s="16" t="s">
        <v>156</v>
      </c>
      <c r="M64" s="10">
        <v>1</v>
      </c>
      <c r="N64" s="16" t="s">
        <v>156</v>
      </c>
      <c r="O64" s="10">
        <v>1</v>
      </c>
      <c r="P64" s="16" t="s">
        <v>156</v>
      </c>
      <c r="Q64" s="10">
        <v>1</v>
      </c>
      <c r="R64" s="16" t="s">
        <v>156</v>
      </c>
      <c r="S64" s="10">
        <v>1</v>
      </c>
      <c r="T64" s="16" t="s">
        <v>156</v>
      </c>
      <c r="U64" s="10">
        <v>1</v>
      </c>
      <c r="V64" s="16" t="s">
        <v>156</v>
      </c>
      <c r="W64" s="10">
        <v>1</v>
      </c>
      <c r="X64" s="16" t="s">
        <v>156</v>
      </c>
      <c r="Y64" s="10">
        <v>1</v>
      </c>
      <c r="Z64" s="16" t="s">
        <v>156</v>
      </c>
      <c r="AA64" s="10">
        <v>1</v>
      </c>
      <c r="AB64" s="16" t="s">
        <v>156</v>
      </c>
      <c r="AC64" s="10">
        <v>1</v>
      </c>
      <c r="AD64" s="16" t="s">
        <v>156</v>
      </c>
      <c r="AE64" s="10">
        <v>1</v>
      </c>
      <c r="AF64" s="16" t="s">
        <v>156</v>
      </c>
      <c r="AG64" s="10">
        <v>1</v>
      </c>
      <c r="AH64" s="16" t="s">
        <v>156</v>
      </c>
      <c r="AI64" s="10">
        <v>1</v>
      </c>
      <c r="AJ64" s="16" t="s">
        <v>156</v>
      </c>
      <c r="AK64" s="10">
        <v>1</v>
      </c>
      <c r="AL64" s="16" t="s">
        <v>156</v>
      </c>
      <c r="AM64" s="10">
        <v>1</v>
      </c>
      <c r="AN64" s="16" t="s">
        <v>156</v>
      </c>
      <c r="AO64" s="17">
        <v>1</v>
      </c>
    </row>
    <row r="65" spans="3:41" x14ac:dyDescent="0.2">
      <c r="C65" s="103">
        <f>DCOUNTA(SUPPORTO_punti!$B$1:$AR$166,C61,B63:C64)+DCOUNTA(SUPPORTO_punti!$B$1:$AR$166,C61,B61:C62)</f>
        <v>0</v>
      </c>
      <c r="D65" s="18"/>
      <c r="E65" s="103">
        <f>DCOUNTA(SUPPORTO_punti!$B$1:$AR$166,E61,D63:E64)+DCOUNTA(SUPPORTO_punti!$B$1:$AR$166,E61,D61:E62)</f>
        <v>0</v>
      </c>
      <c r="F65" s="18"/>
      <c r="G65" s="103">
        <f>DCOUNTA(SUPPORTO_punti!$B$1:$AR$166,G61,F63:G64)+DCOUNTA(SUPPORTO_punti!$B$1:$AR$166,G61,F61:G62)</f>
        <v>0</v>
      </c>
      <c r="H65" s="18"/>
      <c r="I65" s="103">
        <f>DCOUNTA(SUPPORTO_punti!$B$1:$AR$166,I61,H63:I64)+DCOUNTA(SUPPORTO_punti!$B$1:$AR$166,I61,H61:I62)</f>
        <v>0</v>
      </c>
      <c r="J65" s="18"/>
      <c r="K65" s="103">
        <f>DCOUNTA(SUPPORTO_punti!$B$1:$AR$166,K61,J63:K64)+DCOUNTA(SUPPORTO_punti!$B$1:$AR$166,K61,J61:K62)</f>
        <v>0</v>
      </c>
      <c r="L65" s="18"/>
      <c r="M65" s="103">
        <f>DCOUNTA(SUPPORTO_punti!$B$1:$AR$166,M61,L63:M64)+DCOUNTA(SUPPORTO_punti!$B$1:$AR$166,M61,L61:M62)</f>
        <v>0</v>
      </c>
      <c r="N65" s="18"/>
      <c r="O65" s="103">
        <f>DCOUNTA(SUPPORTO_punti!$B$1:$AR$166,O61,N63:O64)+DCOUNTA(SUPPORTO_punti!$B$1:$AR$166,O61,N61:O62)</f>
        <v>0</v>
      </c>
      <c r="P65"/>
      <c r="Q65" s="103">
        <f>DCOUNTA(SUPPORTO_punti!$B$1:$AR$166,Q61,P63:Q64)+DCOUNTA(SUPPORTO_punti!$B$1:$AR$166,Q61,P61:Q62)</f>
        <v>0</v>
      </c>
      <c r="R65"/>
      <c r="S65" s="103">
        <f>DCOUNTA(SUPPORTO_punti!$B$1:$AR$166,S61,R63:S64)+DCOUNTA(SUPPORTO_punti!$B$1:$AR$166,S61,R61:S62)</f>
        <v>0</v>
      </c>
      <c r="T65"/>
      <c r="U65" s="103">
        <f>DCOUNTA(SUPPORTO_punti!$B$1:$AR$166,U61,T63:U64)+DCOUNTA(SUPPORTO_punti!$B$1:$AR$166,U61,T61:U62)</f>
        <v>0</v>
      </c>
      <c r="V65"/>
      <c r="W65" s="103">
        <f>DCOUNTA(SUPPORTO_punti!$B$1:$AR$166,W61,V63:W64)+DCOUNTA(SUPPORTO_punti!$B$1:$AR$166,W61,V61:W62)</f>
        <v>0</v>
      </c>
      <c r="X65"/>
      <c r="Y65" s="103">
        <f>DCOUNTA(SUPPORTO_punti!$B$1:$AR$166,Y61,X63:Y64)+DCOUNTA(SUPPORTO_punti!$B$1:$AR$166,Y61,X61:Y62)</f>
        <v>0</v>
      </c>
      <c r="Z65"/>
      <c r="AA65" s="103">
        <f>DCOUNTA(SUPPORTO_punti!$B$1:$AR$166,AA61,Z63:AA64)+DCOUNTA(SUPPORTO_punti!$B$1:$AR$166,AA61,Z61:AA62)</f>
        <v>0</v>
      </c>
      <c r="AB65"/>
      <c r="AC65" s="103">
        <f>DCOUNTA(SUPPORTO_punti!$B$1:$AR$166,AC61,AB63:AC64)+DCOUNTA(SUPPORTO_punti!$B$1:$AR$166,AC61,AB61:AC62)</f>
        <v>0</v>
      </c>
      <c r="AD65"/>
      <c r="AE65" s="103">
        <f>DCOUNTA(SUPPORTO_punti!$B$1:$AR$166,AE61,AD63:AE64)+DCOUNTA(SUPPORTO_punti!$B$1:$AR$166,AE61,AD61:AE62)</f>
        <v>0</v>
      </c>
      <c r="AF65"/>
      <c r="AG65" s="103">
        <f>DCOUNTA(SUPPORTO_punti!$B$1:$AR$166,AG61,AF63:AG64)+DCOUNTA(SUPPORTO_punti!$B$1:$AR$166,AG61,AF61:AG62)</f>
        <v>0</v>
      </c>
      <c r="AH65"/>
      <c r="AI65" s="103">
        <f>DCOUNTA(SUPPORTO_punti!$B$1:$AR$166,AI61,AH63:AI64)+DCOUNTA(SUPPORTO_punti!$B$1:$AR$166,AI61,AH61:AI62)</f>
        <v>0</v>
      </c>
      <c r="AJ65"/>
      <c r="AK65" s="103">
        <f>DCOUNTA(SUPPORTO_punti!$B$1:$AR$166,AK61,AJ63:AK64)+DCOUNTA(SUPPORTO_punti!$B$1:$AR$166,AK61,AJ61:AK62)</f>
        <v>0</v>
      </c>
      <c r="AL65"/>
      <c r="AM65" s="103">
        <f>DCOUNTA(SUPPORTO_punti!$B$1:$AR$166,AM61,AL63:AM64)+DCOUNTA(SUPPORTO_punti!$B$1:$AR$166,AM61,AL61:AM62)</f>
        <v>0</v>
      </c>
      <c r="AN65"/>
      <c r="AO65" s="103">
        <f>DCOUNTA(SUPPORTO_punti!$B$1:$AR$166,AO61,AN63:AO64)+DCOUNTA(SUPPORTO_punti!$B$1:$AR$166,AO61,AN61:AO62)</f>
        <v>0</v>
      </c>
    </row>
  </sheetData>
  <mergeCells count="11">
    <mergeCell ref="A31:A34"/>
    <mergeCell ref="A1:A4"/>
    <mergeCell ref="A7:A10"/>
    <mergeCell ref="A13:A16"/>
    <mergeCell ref="A19:A22"/>
    <mergeCell ref="A25:A28"/>
    <mergeCell ref="A61:A64"/>
    <mergeCell ref="A37:A40"/>
    <mergeCell ref="A43:A46"/>
    <mergeCell ref="A49:A52"/>
    <mergeCell ref="A55:A58"/>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B14"/>
  <sheetViews>
    <sheetView workbookViewId="0">
      <selection activeCell="M6" sqref="M6"/>
    </sheetView>
  </sheetViews>
  <sheetFormatPr baseColWidth="10" defaultColWidth="8.83203125" defaultRowHeight="15" x14ac:dyDescent="0.2"/>
  <cols>
    <col min="1" max="1" width="10.6640625" style="139" customWidth="1"/>
    <col min="2" max="2" width="9.1640625" style="160"/>
    <col min="3" max="3" width="3.6640625" style="161" customWidth="1"/>
    <col min="4" max="4" width="9.1640625" style="162"/>
    <col min="5" max="5" width="10.6640625" style="104" customWidth="1"/>
    <col min="6" max="6" width="4.6640625" customWidth="1"/>
    <col min="7" max="7" width="10.6640625" customWidth="1"/>
    <col min="9" max="9" width="3.6640625" customWidth="1"/>
    <col min="11" max="11" width="10.6640625" customWidth="1"/>
    <col min="12" max="12" width="4.6640625" customWidth="1"/>
    <col min="13" max="13" width="12.6640625" style="161" customWidth="1"/>
    <col min="14" max="14" width="12.6640625" style="184" customWidth="1"/>
    <col min="15" max="24" width="12.6640625" style="174" customWidth="1"/>
    <col min="26" max="28" width="16.6640625" style="180" customWidth="1"/>
  </cols>
  <sheetData>
    <row r="1" spans="1:28" s="176" customFormat="1" ht="45" customHeight="1" x14ac:dyDescent="0.2">
      <c r="A1" s="216" t="s">
        <v>197</v>
      </c>
      <c r="B1" s="217"/>
      <c r="C1" s="217"/>
      <c r="D1" s="217"/>
      <c r="E1" s="217"/>
      <c r="F1" s="175"/>
      <c r="G1" s="217" t="s">
        <v>202</v>
      </c>
      <c r="H1" s="217"/>
      <c r="I1" s="217"/>
      <c r="J1" s="217"/>
      <c r="K1" s="217"/>
      <c r="L1" s="175"/>
      <c r="M1" s="178" t="s">
        <v>200</v>
      </c>
      <c r="N1" s="185"/>
      <c r="O1" s="218" t="s">
        <v>205</v>
      </c>
      <c r="P1" s="218" t="s">
        <v>206</v>
      </c>
      <c r="Q1" s="218" t="s">
        <v>208</v>
      </c>
      <c r="R1" s="218" t="s">
        <v>207</v>
      </c>
      <c r="S1" s="218" t="s">
        <v>209</v>
      </c>
      <c r="T1" s="218" t="s">
        <v>211</v>
      </c>
      <c r="U1" s="218" t="s">
        <v>210</v>
      </c>
      <c r="V1" s="218" t="s">
        <v>212</v>
      </c>
      <c r="W1" s="218" t="s">
        <v>221</v>
      </c>
      <c r="X1" s="218" t="s">
        <v>213</v>
      </c>
      <c r="Z1" s="220" t="s">
        <v>215</v>
      </c>
      <c r="AA1" s="220" t="s">
        <v>214</v>
      </c>
      <c r="AB1" s="220" t="s">
        <v>216</v>
      </c>
    </row>
    <row r="2" spans="1:28" s="139" customFormat="1" ht="64" x14ac:dyDescent="0.2">
      <c r="A2" s="202" t="s">
        <v>204</v>
      </c>
      <c r="B2" s="193" t="s">
        <v>169</v>
      </c>
      <c r="C2" s="145"/>
      <c r="D2" s="195" t="s">
        <v>170</v>
      </c>
      <c r="E2" s="196" t="s">
        <v>203</v>
      </c>
      <c r="F2" s="138"/>
      <c r="G2" s="135" t="s">
        <v>204</v>
      </c>
      <c r="H2" s="207" t="s">
        <v>169</v>
      </c>
      <c r="I2" s="136"/>
      <c r="J2" s="137" t="s">
        <v>170</v>
      </c>
      <c r="K2" s="204" t="s">
        <v>222</v>
      </c>
      <c r="L2" s="138"/>
      <c r="M2" s="177" t="s">
        <v>201</v>
      </c>
      <c r="N2" s="185"/>
      <c r="O2" s="219"/>
      <c r="P2" s="219"/>
      <c r="Q2" s="219"/>
      <c r="R2" s="219"/>
      <c r="S2" s="219"/>
      <c r="T2" s="219"/>
      <c r="U2" s="219"/>
      <c r="V2" s="219"/>
      <c r="W2" s="219"/>
      <c r="X2" s="219"/>
      <c r="Z2" s="221"/>
      <c r="AA2" s="221"/>
      <c r="AB2" s="221"/>
    </row>
    <row r="3" spans="1:28" x14ac:dyDescent="0.2">
      <c r="A3" s="202" t="s">
        <v>1</v>
      </c>
      <c r="B3" s="141">
        <f>SUM(Q3)</f>
        <v>0</v>
      </c>
      <c r="C3" s="142">
        <f t="shared" ref="C3:C12" si="0">IF(B3&lt;=B$13,0,1)</f>
        <v>0</v>
      </c>
      <c r="D3" s="143" t="e">
        <f t="shared" ref="D3:D12" si="1">IF(C3=0,0.8*(B3/B$13),0.8+0.2*(B3-B$13)/(B$14-B$13))</f>
        <v>#DIV/0!</v>
      </c>
      <c r="E3" s="199" t="e">
        <f>SUM(D3*20)</f>
        <v>#DIV/0!</v>
      </c>
      <c r="F3" s="144"/>
      <c r="G3" s="140" t="s">
        <v>1</v>
      </c>
      <c r="H3" s="205">
        <f>SUM(S3)</f>
        <v>0</v>
      </c>
      <c r="I3" s="148">
        <f t="shared" ref="I3:I12" si="2">IF(H3&lt;=H$13,0,1)</f>
        <v>0</v>
      </c>
      <c r="J3" s="149" t="e">
        <f t="shared" ref="J3:J12" si="3">IF(I3=0,0.8*(H3/H$13),0.8+0.2*(H3-H$13)/(H$14-H$13))</f>
        <v>#DIV/0!</v>
      </c>
      <c r="K3" s="200" t="e">
        <f>SUM(J3*20)</f>
        <v>#DIV/0!</v>
      </c>
      <c r="L3" s="144"/>
      <c r="M3" s="187" t="e">
        <f>SUM(E3+K3)</f>
        <v>#DIV/0!</v>
      </c>
      <c r="N3" s="186"/>
      <c r="O3" s="192"/>
      <c r="P3" s="192"/>
      <c r="Q3" s="208"/>
      <c r="R3" s="192"/>
      <c r="S3" s="208"/>
      <c r="T3" s="192"/>
      <c r="U3" s="192"/>
      <c r="V3" s="192"/>
      <c r="W3" s="192"/>
      <c r="X3" s="192"/>
      <c r="Z3" s="181">
        <f>SUM((950000-P3)/950000)-Q3/100</f>
        <v>1</v>
      </c>
      <c r="AA3" s="181">
        <f>SUM((1620000-R3)/1620000)-S3/100</f>
        <v>1</v>
      </c>
      <c r="AB3" s="209">
        <f>SUM(P3+R3-O3)</f>
        <v>0</v>
      </c>
    </row>
    <row r="4" spans="1:28" x14ac:dyDescent="0.2">
      <c r="A4" s="203" t="s">
        <v>2</v>
      </c>
      <c r="B4" s="147">
        <f t="shared" ref="B4:B12" si="4">SUM(Q4)</f>
        <v>0</v>
      </c>
      <c r="C4" s="148">
        <f t="shared" si="0"/>
        <v>0</v>
      </c>
      <c r="D4" s="149" t="e">
        <f t="shared" si="1"/>
        <v>#DIV/0!</v>
      </c>
      <c r="E4" s="200" t="e">
        <f t="shared" ref="E4:E12" si="5">SUM(D4*20)</f>
        <v>#DIV/0!</v>
      </c>
      <c r="F4" s="150"/>
      <c r="G4" s="146" t="s">
        <v>2</v>
      </c>
      <c r="H4" s="205">
        <f t="shared" ref="H4:H12" si="6">SUM(S4)</f>
        <v>0</v>
      </c>
      <c r="I4" s="148">
        <f t="shared" si="2"/>
        <v>0</v>
      </c>
      <c r="J4" s="149" t="e">
        <f t="shared" si="3"/>
        <v>#DIV/0!</v>
      </c>
      <c r="K4" s="200" t="e">
        <f t="shared" ref="K4:K12" si="7">SUM(J4*20)</f>
        <v>#DIV/0!</v>
      </c>
      <c r="L4" s="150"/>
      <c r="M4" s="188" t="e">
        <f t="shared" ref="M4:M12" si="8">SUM(E4+K4)</f>
        <v>#DIV/0!</v>
      </c>
      <c r="N4" s="186"/>
      <c r="O4" s="192"/>
      <c r="P4" s="192"/>
      <c r="Q4" s="208"/>
      <c r="R4" s="192"/>
      <c r="S4" s="208"/>
      <c r="T4" s="192"/>
      <c r="U4" s="192"/>
      <c r="V4" s="192"/>
      <c r="W4" s="192"/>
      <c r="X4" s="192"/>
      <c r="Z4" s="181">
        <f t="shared" ref="Z4:Z12" si="9">SUM((950000-P4)/950000)-Q4/100</f>
        <v>1</v>
      </c>
      <c r="AA4" s="181">
        <f t="shared" ref="AA4:AA12" si="10">SUM(R4-1620000)/1620000-S4</f>
        <v>-1</v>
      </c>
      <c r="AB4" s="209">
        <f t="shared" ref="AB4:AB12" si="11">SUM(P4+R4-O4)</f>
        <v>0</v>
      </c>
    </row>
    <row r="5" spans="1:28" x14ac:dyDescent="0.2">
      <c r="A5" s="203" t="s">
        <v>3</v>
      </c>
      <c r="B5" s="147">
        <f t="shared" si="4"/>
        <v>0</v>
      </c>
      <c r="C5" s="148">
        <f t="shared" si="0"/>
        <v>0</v>
      </c>
      <c r="D5" s="149" t="e">
        <f t="shared" si="1"/>
        <v>#DIV/0!</v>
      </c>
      <c r="E5" s="200" t="e">
        <f t="shared" si="5"/>
        <v>#DIV/0!</v>
      </c>
      <c r="F5" s="150"/>
      <c r="G5" s="146" t="s">
        <v>3</v>
      </c>
      <c r="H5" s="205">
        <f t="shared" si="6"/>
        <v>0</v>
      </c>
      <c r="I5" s="148">
        <f t="shared" si="2"/>
        <v>0</v>
      </c>
      <c r="J5" s="149" t="e">
        <f t="shared" si="3"/>
        <v>#DIV/0!</v>
      </c>
      <c r="K5" s="200" t="e">
        <f t="shared" si="7"/>
        <v>#DIV/0!</v>
      </c>
      <c r="L5" s="150"/>
      <c r="M5" s="188" t="e">
        <f t="shared" si="8"/>
        <v>#DIV/0!</v>
      </c>
      <c r="N5" s="186"/>
      <c r="O5" s="192"/>
      <c r="P5" s="192"/>
      <c r="Q5" s="208"/>
      <c r="R5" s="192"/>
      <c r="S5" s="208"/>
      <c r="T5" s="192"/>
      <c r="U5" s="192"/>
      <c r="V5" s="192"/>
      <c r="W5" s="192"/>
      <c r="X5" s="192"/>
      <c r="Z5" s="181">
        <f t="shared" si="9"/>
        <v>1</v>
      </c>
      <c r="AA5" s="181">
        <f t="shared" si="10"/>
        <v>-1</v>
      </c>
      <c r="AB5" s="209">
        <f t="shared" si="11"/>
        <v>0</v>
      </c>
    </row>
    <row r="6" spans="1:28" x14ac:dyDescent="0.2">
      <c r="A6" s="203" t="s">
        <v>0</v>
      </c>
      <c r="B6" s="147">
        <f t="shared" si="4"/>
        <v>0</v>
      </c>
      <c r="C6" s="148">
        <f t="shared" si="0"/>
        <v>0</v>
      </c>
      <c r="D6" s="149" t="e">
        <f t="shared" si="1"/>
        <v>#DIV/0!</v>
      </c>
      <c r="E6" s="200" t="e">
        <f t="shared" si="5"/>
        <v>#DIV/0!</v>
      </c>
      <c r="F6" s="150"/>
      <c r="G6" s="146" t="s">
        <v>0</v>
      </c>
      <c r="H6" s="205">
        <f t="shared" si="6"/>
        <v>0</v>
      </c>
      <c r="I6" s="148">
        <f t="shared" si="2"/>
        <v>0</v>
      </c>
      <c r="J6" s="149" t="e">
        <f t="shared" si="3"/>
        <v>#DIV/0!</v>
      </c>
      <c r="K6" s="200" t="e">
        <f t="shared" si="7"/>
        <v>#DIV/0!</v>
      </c>
      <c r="L6" s="150"/>
      <c r="M6" s="188" t="e">
        <f t="shared" si="8"/>
        <v>#DIV/0!</v>
      </c>
      <c r="N6" s="186"/>
      <c r="O6" s="192"/>
      <c r="P6" s="192"/>
      <c r="Q6" s="208"/>
      <c r="R6" s="192"/>
      <c r="S6" s="208"/>
      <c r="T6" s="192"/>
      <c r="U6" s="192"/>
      <c r="V6" s="192"/>
      <c r="W6" s="192"/>
      <c r="X6" s="192"/>
      <c r="Z6" s="181">
        <f t="shared" si="9"/>
        <v>1</v>
      </c>
      <c r="AA6" s="181">
        <f t="shared" si="10"/>
        <v>-1</v>
      </c>
      <c r="AB6" s="209">
        <f t="shared" si="11"/>
        <v>0</v>
      </c>
    </row>
    <row r="7" spans="1:28" x14ac:dyDescent="0.2">
      <c r="A7" s="203" t="s">
        <v>4</v>
      </c>
      <c r="B7" s="147">
        <f t="shared" si="4"/>
        <v>0</v>
      </c>
      <c r="C7" s="148">
        <f t="shared" si="0"/>
        <v>0</v>
      </c>
      <c r="D7" s="149" t="e">
        <f t="shared" si="1"/>
        <v>#DIV/0!</v>
      </c>
      <c r="E7" s="200" t="e">
        <f t="shared" si="5"/>
        <v>#DIV/0!</v>
      </c>
      <c r="F7" s="150"/>
      <c r="G7" s="146" t="s">
        <v>4</v>
      </c>
      <c r="H7" s="205">
        <f t="shared" si="6"/>
        <v>0</v>
      </c>
      <c r="I7" s="148">
        <f t="shared" si="2"/>
        <v>0</v>
      </c>
      <c r="J7" s="149" t="e">
        <f t="shared" si="3"/>
        <v>#DIV/0!</v>
      </c>
      <c r="K7" s="200" t="e">
        <f t="shared" si="7"/>
        <v>#DIV/0!</v>
      </c>
      <c r="L7" s="150"/>
      <c r="M7" s="188" t="e">
        <f t="shared" si="8"/>
        <v>#DIV/0!</v>
      </c>
      <c r="N7" s="186"/>
      <c r="O7" s="192"/>
      <c r="P7" s="192"/>
      <c r="Q7" s="208"/>
      <c r="R7" s="192"/>
      <c r="S7" s="208"/>
      <c r="T7" s="192"/>
      <c r="U7" s="192"/>
      <c r="V7" s="192"/>
      <c r="W7" s="192"/>
      <c r="X7" s="192"/>
      <c r="Z7" s="181">
        <f t="shared" si="9"/>
        <v>1</v>
      </c>
      <c r="AA7" s="181">
        <f t="shared" si="10"/>
        <v>-1</v>
      </c>
      <c r="AB7" s="209">
        <f t="shared" si="11"/>
        <v>0</v>
      </c>
    </row>
    <row r="8" spans="1:28" x14ac:dyDescent="0.2">
      <c r="A8" s="203" t="s">
        <v>5</v>
      </c>
      <c r="B8" s="147">
        <f t="shared" si="4"/>
        <v>0</v>
      </c>
      <c r="C8" s="148">
        <f t="shared" si="0"/>
        <v>0</v>
      </c>
      <c r="D8" s="149" t="e">
        <f t="shared" si="1"/>
        <v>#DIV/0!</v>
      </c>
      <c r="E8" s="200" t="e">
        <f t="shared" si="5"/>
        <v>#DIV/0!</v>
      </c>
      <c r="F8" s="150"/>
      <c r="G8" s="146" t="s">
        <v>5</v>
      </c>
      <c r="H8" s="205">
        <f t="shared" si="6"/>
        <v>0</v>
      </c>
      <c r="I8" s="148">
        <f t="shared" si="2"/>
        <v>0</v>
      </c>
      <c r="J8" s="149" t="e">
        <f t="shared" si="3"/>
        <v>#DIV/0!</v>
      </c>
      <c r="K8" s="200" t="e">
        <f t="shared" si="7"/>
        <v>#DIV/0!</v>
      </c>
      <c r="L8" s="150"/>
      <c r="M8" s="188" t="e">
        <f t="shared" si="8"/>
        <v>#DIV/0!</v>
      </c>
      <c r="N8" s="186"/>
      <c r="O8" s="192"/>
      <c r="P8" s="192"/>
      <c r="Q8" s="208"/>
      <c r="R8" s="192"/>
      <c r="S8" s="208"/>
      <c r="T8" s="192"/>
      <c r="U8" s="192"/>
      <c r="V8" s="192"/>
      <c r="W8" s="192"/>
      <c r="X8" s="192"/>
      <c r="Z8" s="181">
        <f t="shared" si="9"/>
        <v>1</v>
      </c>
      <c r="AA8" s="181">
        <f t="shared" si="10"/>
        <v>-1</v>
      </c>
      <c r="AB8" s="209">
        <f t="shared" si="11"/>
        <v>0</v>
      </c>
    </row>
    <row r="9" spans="1:28" x14ac:dyDescent="0.2">
      <c r="A9" s="203" t="s">
        <v>6</v>
      </c>
      <c r="B9" s="147">
        <f t="shared" si="4"/>
        <v>0</v>
      </c>
      <c r="C9" s="148">
        <f t="shared" si="0"/>
        <v>0</v>
      </c>
      <c r="D9" s="149" t="e">
        <f t="shared" si="1"/>
        <v>#DIV/0!</v>
      </c>
      <c r="E9" s="200" t="e">
        <f t="shared" si="5"/>
        <v>#DIV/0!</v>
      </c>
      <c r="F9" s="150"/>
      <c r="G9" s="146" t="s">
        <v>6</v>
      </c>
      <c r="H9" s="205">
        <f t="shared" si="6"/>
        <v>0</v>
      </c>
      <c r="I9" s="148">
        <f t="shared" si="2"/>
        <v>0</v>
      </c>
      <c r="J9" s="149" t="e">
        <f t="shared" si="3"/>
        <v>#DIV/0!</v>
      </c>
      <c r="K9" s="200" t="e">
        <f t="shared" si="7"/>
        <v>#DIV/0!</v>
      </c>
      <c r="L9" s="150"/>
      <c r="M9" s="188" t="e">
        <f t="shared" si="8"/>
        <v>#DIV/0!</v>
      </c>
      <c r="N9" s="186"/>
      <c r="O9" s="192"/>
      <c r="P9" s="192"/>
      <c r="Q9" s="208"/>
      <c r="R9" s="192"/>
      <c r="S9" s="208"/>
      <c r="T9" s="192"/>
      <c r="U9" s="192"/>
      <c r="V9" s="192"/>
      <c r="W9" s="192"/>
      <c r="X9" s="192"/>
      <c r="Z9" s="181">
        <f t="shared" si="9"/>
        <v>1</v>
      </c>
      <c r="AA9" s="181">
        <f t="shared" si="10"/>
        <v>-1</v>
      </c>
      <c r="AB9" s="209">
        <f t="shared" si="11"/>
        <v>0</v>
      </c>
    </row>
    <row r="10" spans="1:28" x14ac:dyDescent="0.2">
      <c r="A10" s="203" t="s">
        <v>7</v>
      </c>
      <c r="B10" s="147">
        <f t="shared" si="4"/>
        <v>0</v>
      </c>
      <c r="C10" s="148">
        <f t="shared" si="0"/>
        <v>0</v>
      </c>
      <c r="D10" s="149" t="e">
        <f t="shared" si="1"/>
        <v>#DIV/0!</v>
      </c>
      <c r="E10" s="200" t="e">
        <f t="shared" si="5"/>
        <v>#DIV/0!</v>
      </c>
      <c r="F10" s="150"/>
      <c r="G10" s="146" t="s">
        <v>7</v>
      </c>
      <c r="H10" s="205">
        <f t="shared" si="6"/>
        <v>0</v>
      </c>
      <c r="I10" s="148">
        <f t="shared" si="2"/>
        <v>0</v>
      </c>
      <c r="J10" s="149" t="e">
        <f t="shared" si="3"/>
        <v>#DIV/0!</v>
      </c>
      <c r="K10" s="200" t="e">
        <f t="shared" si="7"/>
        <v>#DIV/0!</v>
      </c>
      <c r="L10" s="150"/>
      <c r="M10" s="188" t="e">
        <f t="shared" si="8"/>
        <v>#DIV/0!</v>
      </c>
      <c r="N10" s="186"/>
      <c r="O10" s="192"/>
      <c r="P10" s="192"/>
      <c r="Q10" s="208"/>
      <c r="R10" s="192"/>
      <c r="S10" s="208"/>
      <c r="T10" s="192"/>
      <c r="U10" s="192"/>
      <c r="V10" s="192"/>
      <c r="W10" s="192"/>
      <c r="X10" s="192"/>
      <c r="Z10" s="181">
        <f t="shared" si="9"/>
        <v>1</v>
      </c>
      <c r="AA10" s="181">
        <f t="shared" si="10"/>
        <v>-1</v>
      </c>
      <c r="AB10" s="209">
        <f t="shared" si="11"/>
        <v>0</v>
      </c>
    </row>
    <row r="11" spans="1:28" x14ac:dyDescent="0.2">
      <c r="A11" s="203" t="s">
        <v>8</v>
      </c>
      <c r="B11" s="147">
        <f t="shared" si="4"/>
        <v>0</v>
      </c>
      <c r="C11" s="148">
        <f t="shared" si="0"/>
        <v>0</v>
      </c>
      <c r="D11" s="149" t="e">
        <f t="shared" si="1"/>
        <v>#DIV/0!</v>
      </c>
      <c r="E11" s="200" t="e">
        <f t="shared" si="5"/>
        <v>#DIV/0!</v>
      </c>
      <c r="F11" s="150"/>
      <c r="G11" s="146" t="s">
        <v>8</v>
      </c>
      <c r="H11" s="205">
        <f t="shared" si="6"/>
        <v>0</v>
      </c>
      <c r="I11" s="148">
        <f t="shared" si="2"/>
        <v>0</v>
      </c>
      <c r="J11" s="149" t="e">
        <f t="shared" si="3"/>
        <v>#DIV/0!</v>
      </c>
      <c r="K11" s="200" t="e">
        <f t="shared" si="7"/>
        <v>#DIV/0!</v>
      </c>
      <c r="L11" s="150"/>
      <c r="M11" s="188" t="e">
        <f t="shared" si="8"/>
        <v>#DIV/0!</v>
      </c>
      <c r="N11" s="186"/>
      <c r="O11" s="192"/>
      <c r="P11" s="192"/>
      <c r="Q11" s="208"/>
      <c r="R11" s="192"/>
      <c r="S11" s="208"/>
      <c r="T11" s="192"/>
      <c r="U11" s="192"/>
      <c r="V11" s="192"/>
      <c r="W11" s="192"/>
      <c r="X11" s="192"/>
      <c r="Z11" s="181">
        <f t="shared" si="9"/>
        <v>1</v>
      </c>
      <c r="AA11" s="181">
        <f t="shared" si="10"/>
        <v>-1</v>
      </c>
      <c r="AB11" s="209">
        <f t="shared" si="11"/>
        <v>0</v>
      </c>
    </row>
    <row r="12" spans="1:28" x14ac:dyDescent="0.2">
      <c r="A12" s="179" t="s">
        <v>9</v>
      </c>
      <c r="B12" s="152">
        <f t="shared" si="4"/>
        <v>0</v>
      </c>
      <c r="C12" s="153">
        <f t="shared" si="0"/>
        <v>0</v>
      </c>
      <c r="D12" s="154" t="e">
        <f t="shared" si="1"/>
        <v>#DIV/0!</v>
      </c>
      <c r="E12" s="201" t="e">
        <f t="shared" si="5"/>
        <v>#DIV/0!</v>
      </c>
      <c r="F12" s="155"/>
      <c r="G12" s="151" t="s">
        <v>9</v>
      </c>
      <c r="H12" s="206">
        <f t="shared" si="6"/>
        <v>0</v>
      </c>
      <c r="I12" s="153">
        <f t="shared" si="2"/>
        <v>0</v>
      </c>
      <c r="J12" s="154" t="e">
        <f t="shared" si="3"/>
        <v>#DIV/0!</v>
      </c>
      <c r="K12" s="201" t="e">
        <f t="shared" si="7"/>
        <v>#DIV/0!</v>
      </c>
      <c r="L12" s="155"/>
      <c r="M12" s="189" t="e">
        <f t="shared" si="8"/>
        <v>#DIV/0!</v>
      </c>
      <c r="N12" s="186"/>
      <c r="O12" s="192"/>
      <c r="P12" s="192"/>
      <c r="Q12" s="208"/>
      <c r="R12" s="192"/>
      <c r="S12" s="208"/>
      <c r="T12" s="192"/>
      <c r="U12" s="192"/>
      <c r="V12" s="192"/>
      <c r="W12" s="192"/>
      <c r="X12" s="192"/>
      <c r="Z12" s="181">
        <f t="shared" si="9"/>
        <v>1</v>
      </c>
      <c r="AA12" s="181">
        <f t="shared" si="10"/>
        <v>-1</v>
      </c>
      <c r="AB12" s="209">
        <f t="shared" si="11"/>
        <v>0</v>
      </c>
    </row>
    <row r="13" spans="1:28" x14ac:dyDescent="0.2">
      <c r="A13" s="203" t="s">
        <v>171</v>
      </c>
      <c r="B13" s="194">
        <f>SUM(B3:B12)/10</f>
        <v>0</v>
      </c>
      <c r="C13" s="182"/>
      <c r="D13" s="197"/>
      <c r="E13" s="198"/>
      <c r="F13" s="144"/>
      <c r="G13" s="202" t="s">
        <v>171</v>
      </c>
      <c r="H13" s="194">
        <f>SUM(H3:H12)/10</f>
        <v>0</v>
      </c>
      <c r="I13" s="182"/>
      <c r="J13" s="197"/>
      <c r="K13" s="198"/>
      <c r="L13" s="144"/>
      <c r="M13" s="190"/>
      <c r="N13" s="183"/>
    </row>
    <row r="14" spans="1:28" x14ac:dyDescent="0.2">
      <c r="A14" s="179" t="s">
        <v>172</v>
      </c>
      <c r="B14" s="156">
        <f>MAX(B3:B12)</f>
        <v>0</v>
      </c>
      <c r="C14" s="157"/>
      <c r="D14" s="158"/>
      <c r="E14" s="159"/>
      <c r="F14" s="155"/>
      <c r="G14" s="179" t="s">
        <v>172</v>
      </c>
      <c r="H14" s="156">
        <f>MAX(H3:H12)</f>
        <v>0</v>
      </c>
      <c r="I14" s="157"/>
      <c r="J14" s="158"/>
      <c r="K14" s="159"/>
      <c r="L14" s="155"/>
      <c r="M14" s="191"/>
      <c r="N14" s="183"/>
    </row>
  </sheetData>
  <mergeCells count="15">
    <mergeCell ref="W1:W2"/>
    <mergeCell ref="X1:X2"/>
    <mergeCell ref="Z1:Z2"/>
    <mergeCell ref="AA1:AA2"/>
    <mergeCell ref="AB1:AB2"/>
    <mergeCell ref="R1:R2"/>
    <mergeCell ref="S1:S2"/>
    <mergeCell ref="T1:T2"/>
    <mergeCell ref="U1:U2"/>
    <mergeCell ref="V1:V2"/>
    <mergeCell ref="A1:E1"/>
    <mergeCell ref="G1:K1"/>
    <mergeCell ref="O1:O2"/>
    <mergeCell ref="P1:P2"/>
    <mergeCell ref="Q1:Q2"/>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79B0C26-0237-4D99-85A8-C590FE54E2DE}">
  <ds:schemaRefs>
    <ds:schemaRef ds:uri="http://www.w3.org/XML/1998/namespace"/>
    <ds:schemaRef ds:uri="http://purl.org/dc/dcmitype/"/>
    <ds:schemaRef ds:uri="http://purl.org/dc/elements/1.1/"/>
    <ds:schemaRef ds:uri="http://schemas.microsoft.com/office/infopath/2007/PartnerControls"/>
    <ds:schemaRef ds:uri="http://schemas.microsoft.com/office/2006/documentManagement/types"/>
    <ds:schemaRef ds:uri="http://purl.org/dc/terms/"/>
    <ds:schemaRef ds:uri="http://schemas.microsoft.com/office/2006/metadata/properties"/>
    <ds:schemaRef ds:uri="http://schemas.openxmlformats.org/package/2006/metadata/core-properties"/>
    <ds:schemaRef ds:uri="6b2d526b-f179-4f8c-9fce-7a2c6e455f6f"/>
    <ds:schemaRef ds:uri="8253af2a-fd0f-40a4-8001-231cdeab6c87"/>
  </ds:schemaRefs>
</ds:datastoreItem>
</file>

<file path=customXml/itemProps2.xml><?xml version="1.0" encoding="utf-8"?>
<ds:datastoreItem xmlns:ds="http://schemas.openxmlformats.org/officeDocument/2006/customXml" ds:itemID="{E6A671C4-0C66-4934-8F20-B438B95A8B2E}">
  <ds:schemaRefs>
    <ds:schemaRef ds:uri="http://schemas.microsoft.com/sharepoint/v3/contenttype/forms"/>
  </ds:schemaRefs>
</ds:datastoreItem>
</file>

<file path=customXml/itemProps3.xml><?xml version="1.0" encoding="utf-8"?>
<ds:datastoreItem xmlns:ds="http://schemas.openxmlformats.org/officeDocument/2006/customXml" ds:itemID="{095C7770-E749-4FC5-AE10-FCC0937CD44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5</vt:i4>
      </vt:variant>
      <vt:variant>
        <vt:lpstr>Rangos con nombre</vt:lpstr>
      </vt:variant>
      <vt:variant>
        <vt:i4>45</vt:i4>
      </vt:variant>
    </vt:vector>
  </HeadingPairs>
  <TitlesOfParts>
    <vt:vector size="50" baseType="lpstr">
      <vt:lpstr>MAIN REPORT</vt:lpstr>
      <vt:lpstr>REPORTS PER EVALUATOR</vt:lpstr>
      <vt:lpstr>SUPPORTO_punti</vt:lpstr>
      <vt:lpstr>SUPPORTO_pareggi</vt:lpstr>
      <vt:lpstr>economical offer</vt:lpstr>
      <vt:lpstr>AB</vt:lpstr>
      <vt:lpstr>AC</vt:lpstr>
      <vt:lpstr>AD</vt:lpstr>
      <vt:lpstr>AE</vt:lpstr>
      <vt:lpstr>AF</vt:lpstr>
      <vt:lpstr>AG</vt:lpstr>
      <vt:lpstr>AH</vt:lpstr>
      <vt:lpstr>AI</vt:lpstr>
      <vt:lpstr>AL</vt:lpstr>
      <vt:lpstr>BC</vt:lpstr>
      <vt:lpstr>BD</vt:lpstr>
      <vt:lpstr>BE</vt:lpstr>
      <vt:lpstr>BF</vt:lpstr>
      <vt:lpstr>BG</vt:lpstr>
      <vt:lpstr>BH</vt:lpstr>
      <vt:lpstr>BI</vt:lpstr>
      <vt:lpstr>BL</vt:lpstr>
      <vt:lpstr>CD</vt:lpstr>
      <vt:lpstr>CE</vt:lpstr>
      <vt:lpstr>CF</vt:lpstr>
      <vt:lpstr>CG</vt:lpstr>
      <vt:lpstr>CH</vt:lpstr>
      <vt:lpstr>CI</vt:lpstr>
      <vt:lpstr>CL</vt:lpstr>
      <vt:lpstr>DE</vt:lpstr>
      <vt:lpstr>DF</vt:lpstr>
      <vt:lpstr>DG</vt:lpstr>
      <vt:lpstr>DH</vt:lpstr>
      <vt:lpstr>DI</vt:lpstr>
      <vt:lpstr>DL</vt:lpstr>
      <vt:lpstr>EF</vt:lpstr>
      <vt:lpstr>EG</vt:lpstr>
      <vt:lpstr>EH</vt:lpstr>
      <vt:lpstr>EI</vt:lpstr>
      <vt:lpstr>EL</vt:lpstr>
      <vt:lpstr>FG</vt:lpstr>
      <vt:lpstr>FH</vt:lpstr>
      <vt:lpstr>FI</vt:lpstr>
      <vt:lpstr>FL</vt:lpstr>
      <vt:lpstr>GH</vt:lpstr>
      <vt:lpstr>GI</vt:lpstr>
      <vt:lpstr>GL</vt:lpstr>
      <vt:lpstr>HI</vt:lpstr>
      <vt:lpstr>HL</vt:lpstr>
      <vt:lpstr>IL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a.baratta@anticorruzione.it</dc:creator>
  <cp:lastModifiedBy>Microsoft Office User</cp:lastModifiedBy>
  <cp:lastPrinted>2015-10-20T10:59:33Z</cp:lastPrinted>
  <dcterms:created xsi:type="dcterms:W3CDTF">2012-04-10T15:21:46Z</dcterms:created>
  <dcterms:modified xsi:type="dcterms:W3CDTF">2020-12-09T12:05:45Z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ies>
</file>